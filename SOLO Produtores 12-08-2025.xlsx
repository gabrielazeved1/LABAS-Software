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filterPrivacy="1" updateLinks="always" defaultThemeVersion="124226"/>
  <xr:revisionPtr revIDLastSave="0" documentId="13_ncr:1_{C30D5638-BF45-0E48-B899-BF3AF081D060}" xr6:coauthVersionLast="47" xr6:coauthVersionMax="47" xr10:uidLastSave="{00000000-0000-0000-0000-000000000000}"/>
  <bookViews>
    <workbookView xWindow="14280" yWindow="660" windowWidth="14580" windowHeight="17200" tabRatio="903" firstSheet="16" activeTab="21" xr2:uid="{00000000-000D-0000-FFFF-FFFF00000000}"/>
  </bookViews>
  <sheets>
    <sheet name="Cadastro" sheetId="25" r:id="rId1"/>
    <sheet name="pH_água" sheetId="7" r:id="rId2"/>
    <sheet name="pH_KCl" sheetId="8" r:id="rId3"/>
    <sheet name="pH CaCl2" sheetId="10" r:id="rId4"/>
    <sheet name="P_Mehlich1" sheetId="26" r:id="rId5"/>
    <sheet name="Prem" sheetId="17" r:id="rId6"/>
    <sheet name="P_resina" sheetId="27" r:id="rId7"/>
    <sheet name="K" sheetId="5" r:id="rId8"/>
    <sheet name="Na" sheetId="11" r:id="rId9"/>
    <sheet name="Al³" sheetId="14" r:id="rId10"/>
    <sheet name="H + Al" sheetId="15" r:id="rId11"/>
    <sheet name="B" sheetId="19" r:id="rId12"/>
    <sheet name="S" sheetId="18" r:id="rId13"/>
    <sheet name="M.O" sheetId="20" r:id="rId14"/>
    <sheet name="Ca2+" sheetId="12" r:id="rId15"/>
    <sheet name="Mg²" sheetId="13" r:id="rId16"/>
    <sheet name="Cu" sheetId="21" r:id="rId17"/>
    <sheet name="Fe" sheetId="23" r:id="rId18"/>
    <sheet name="Mn" sheetId="22" r:id="rId19"/>
    <sheet name="Zn" sheetId="24" r:id="rId20"/>
    <sheet name="Absorção atômica" sheetId="32" r:id="rId21"/>
    <sheet name="Planilha mestra" sheetId="31" r:id="rId22"/>
    <sheet name="LAUDO" sheetId="4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1" l="1"/>
  <c r="G8" i="11"/>
  <c r="G9" i="11"/>
  <c r="G10" i="11"/>
  <c r="G11" i="11"/>
  <c r="G12" i="11"/>
  <c r="G13" i="11"/>
  <c r="G14" i="11"/>
  <c r="G15" i="11"/>
  <c r="G16" i="11"/>
  <c r="G17" i="11"/>
  <c r="G18" i="11"/>
  <c r="D7" i="15"/>
  <c r="D8" i="15"/>
  <c r="D9" i="15"/>
  <c r="D10" i="15"/>
  <c r="D11" i="15"/>
  <c r="D12" i="15"/>
  <c r="D13" i="15"/>
  <c r="D14" i="15"/>
  <c r="D15" i="15"/>
  <c r="D16" i="15"/>
  <c r="D17" i="15"/>
  <c r="D6" i="15"/>
  <c r="D7" i="14"/>
  <c r="D8" i="14"/>
  <c r="D9" i="14"/>
  <c r="D10" i="14"/>
  <c r="D11" i="14"/>
  <c r="D12" i="14"/>
  <c r="D13" i="14"/>
  <c r="D14" i="14"/>
  <c r="D15" i="14"/>
  <c r="D16" i="14"/>
  <c r="D17" i="14"/>
  <c r="D6" i="14"/>
  <c r="H10" i="26"/>
  <c r="H10" i="17"/>
  <c r="M5" i="17"/>
  <c r="M6" i="17"/>
  <c r="M7" i="17"/>
  <c r="M8" i="17"/>
  <c r="M9" i="17"/>
  <c r="M4" i="17"/>
  <c r="G6" i="11"/>
  <c r="J4" i="32"/>
  <c r="K4" i="32"/>
  <c r="L4" i="32"/>
  <c r="M4" i="32"/>
  <c r="N4" i="32"/>
  <c r="J5" i="32"/>
  <c r="K5" i="32"/>
  <c r="L5" i="32"/>
  <c r="M5" i="32"/>
  <c r="N5" i="32"/>
  <c r="J6" i="32"/>
  <c r="K6" i="32"/>
  <c r="L6" i="32"/>
  <c r="M6" i="32"/>
  <c r="N6" i="32"/>
  <c r="J7" i="32"/>
  <c r="K7" i="32"/>
  <c r="L7" i="32"/>
  <c r="M7" i="32"/>
  <c r="N7" i="32"/>
  <c r="J8" i="32"/>
  <c r="K8" i="32"/>
  <c r="L8" i="32"/>
  <c r="M8" i="32"/>
  <c r="N8" i="32"/>
  <c r="J9" i="32"/>
  <c r="K9" i="32"/>
  <c r="L9" i="32"/>
  <c r="M9" i="32"/>
  <c r="N9" i="32"/>
  <c r="J10" i="32"/>
  <c r="K10" i="32"/>
  <c r="L10" i="32"/>
  <c r="M10" i="32"/>
  <c r="N10" i="32"/>
  <c r="J11" i="32"/>
  <c r="K11" i="32"/>
  <c r="L11" i="32"/>
  <c r="M11" i="32"/>
  <c r="N11" i="32"/>
  <c r="J12" i="32"/>
  <c r="K12" i="32"/>
  <c r="L12" i="32"/>
  <c r="M12" i="32"/>
  <c r="N12" i="32"/>
  <c r="J13" i="32"/>
  <c r="K13" i="32"/>
  <c r="L13" i="32"/>
  <c r="M13" i="32"/>
  <c r="N13" i="32"/>
  <c r="J14" i="32"/>
  <c r="K14" i="32"/>
  <c r="L14" i="32"/>
  <c r="M14" i="32"/>
  <c r="N14" i="32"/>
  <c r="J15" i="32"/>
  <c r="K15" i="32"/>
  <c r="L15" i="32"/>
  <c r="M15" i="32"/>
  <c r="N15" i="32"/>
  <c r="I5" i="32"/>
  <c r="I6" i="32"/>
  <c r="I7" i="32"/>
  <c r="I8" i="32"/>
  <c r="I9" i="32"/>
  <c r="I10" i="32"/>
  <c r="I11" i="32"/>
  <c r="I12" i="32"/>
  <c r="I13" i="32"/>
  <c r="I14" i="32"/>
  <c r="I15" i="32"/>
  <c r="I4" i="32"/>
  <c r="B12" i="18" l="1"/>
  <c r="G12" i="18"/>
  <c r="B13" i="18"/>
  <c r="G13" i="18"/>
  <c r="B14" i="18"/>
  <c r="G14" i="18"/>
  <c r="B15" i="18"/>
  <c r="G15" i="18"/>
  <c r="B16" i="18"/>
  <c r="G16" i="18"/>
  <c r="B17" i="18"/>
  <c r="G17" i="18"/>
  <c r="B16" i="7"/>
  <c r="B11" i="18"/>
  <c r="G11" i="18"/>
  <c r="G6" i="20" l="1"/>
  <c r="G7" i="20"/>
  <c r="B4" i="31"/>
  <c r="B5" i="31"/>
  <c r="B6" i="31"/>
  <c r="B7" i="31"/>
  <c r="B8" i="31"/>
  <c r="B9" i="31"/>
  <c r="B10" i="31"/>
  <c r="B11" i="31"/>
  <c r="B12" i="31"/>
  <c r="B13" i="31"/>
  <c r="B14" i="31"/>
  <c r="B15" i="31"/>
  <c r="B11" i="15"/>
  <c r="B12" i="15"/>
  <c r="B13" i="15"/>
  <c r="B14" i="15"/>
  <c r="B15" i="15"/>
  <c r="B16" i="15"/>
  <c r="B17" i="15"/>
  <c r="B16" i="11"/>
  <c r="B17" i="11"/>
  <c r="B18" i="11"/>
  <c r="E6" i="31" l="1"/>
  <c r="E7" i="31"/>
  <c r="E8" i="31"/>
  <c r="E9" i="31"/>
  <c r="E10" i="31"/>
  <c r="E11" i="31"/>
  <c r="E12" i="31"/>
  <c r="E13" i="31"/>
  <c r="E14" i="31"/>
  <c r="E15" i="31"/>
  <c r="C4" i="31"/>
  <c r="C5" i="31"/>
  <c r="C6" i="31"/>
  <c r="C7" i="31"/>
  <c r="C8" i="31"/>
  <c r="C9" i="31"/>
  <c r="C10" i="31"/>
  <c r="C11" i="31"/>
  <c r="C12" i="31"/>
  <c r="C13" i="31"/>
  <c r="C14" i="31"/>
  <c r="C15" i="31"/>
  <c r="A5" i="31"/>
  <c r="A6" i="31"/>
  <c r="A7" i="31"/>
  <c r="A8" i="31"/>
  <c r="A9" i="31"/>
  <c r="A10" i="31"/>
  <c r="A11" i="31"/>
  <c r="A12" i="31"/>
  <c r="A13" i="31"/>
  <c r="A14" i="31"/>
  <c r="A15" i="31"/>
  <c r="B8" i="24"/>
  <c r="B9" i="24"/>
  <c r="B10" i="24"/>
  <c r="B11" i="24"/>
  <c r="B12" i="24"/>
  <c r="B13" i="24"/>
  <c r="B14" i="24"/>
  <c r="B15" i="24"/>
  <c r="B16" i="24"/>
  <c r="B17" i="24"/>
  <c r="B8" i="22"/>
  <c r="B9" i="22"/>
  <c r="B10" i="22"/>
  <c r="B11" i="22"/>
  <c r="B12" i="22"/>
  <c r="B13" i="22"/>
  <c r="B14" i="22"/>
  <c r="B15" i="22"/>
  <c r="B16" i="22"/>
  <c r="B17" i="22"/>
  <c r="B8" i="23"/>
  <c r="B9" i="23"/>
  <c r="B10" i="23"/>
  <c r="B11" i="23"/>
  <c r="B12" i="23"/>
  <c r="B13" i="23"/>
  <c r="B14" i="23"/>
  <c r="B15" i="23"/>
  <c r="B16" i="23"/>
  <c r="B17" i="23"/>
  <c r="B8" i="21"/>
  <c r="B9" i="21"/>
  <c r="B10" i="21"/>
  <c r="B11" i="21"/>
  <c r="B12" i="21"/>
  <c r="B13" i="21"/>
  <c r="B14" i="21"/>
  <c r="B15" i="21"/>
  <c r="B16" i="21"/>
  <c r="B17" i="21"/>
  <c r="B8" i="13"/>
  <c r="B9" i="13"/>
  <c r="B10" i="13"/>
  <c r="B11" i="13"/>
  <c r="B12" i="13"/>
  <c r="B13" i="13"/>
  <c r="B14" i="13"/>
  <c r="B15" i="13"/>
  <c r="B16" i="13"/>
  <c r="B17" i="13"/>
  <c r="B8" i="12"/>
  <c r="B9" i="12"/>
  <c r="B10" i="12"/>
  <c r="B11" i="12"/>
  <c r="B12" i="12"/>
  <c r="B13" i="12"/>
  <c r="B14" i="12"/>
  <c r="B15" i="12"/>
  <c r="B16" i="12"/>
  <c r="B17" i="12"/>
  <c r="B8" i="20"/>
  <c r="B9" i="20"/>
  <c r="B10" i="20"/>
  <c r="B11" i="20"/>
  <c r="B12" i="20"/>
  <c r="B13" i="20"/>
  <c r="B14" i="20"/>
  <c r="B15" i="20"/>
  <c r="B16" i="20"/>
  <c r="B17" i="20"/>
  <c r="B8" i="18"/>
  <c r="B9" i="18"/>
  <c r="B10" i="18"/>
  <c r="B8" i="19"/>
  <c r="B9" i="19"/>
  <c r="B10" i="19"/>
  <c r="B11" i="19"/>
  <c r="B12" i="19"/>
  <c r="B13" i="19"/>
  <c r="B14" i="19"/>
  <c r="B15" i="19"/>
  <c r="B16" i="19"/>
  <c r="B17" i="19"/>
  <c r="B8" i="15"/>
  <c r="B9" i="15"/>
  <c r="B10" i="15"/>
  <c r="B8" i="17"/>
  <c r="B9" i="17"/>
  <c r="B10" i="17"/>
  <c r="B11" i="17"/>
  <c r="B12" i="17"/>
  <c r="B8" i="14"/>
  <c r="B9" i="14"/>
  <c r="B10" i="14"/>
  <c r="B11" i="14"/>
  <c r="B12" i="14"/>
  <c r="B13" i="14"/>
  <c r="B14" i="14"/>
  <c r="B15" i="14"/>
  <c r="B16" i="14"/>
  <c r="B17" i="14"/>
  <c r="B8" i="11"/>
  <c r="B9" i="11"/>
  <c r="B10" i="11"/>
  <c r="B11" i="11"/>
  <c r="B12" i="11"/>
  <c r="B13" i="11"/>
  <c r="B14" i="11"/>
  <c r="B15" i="11"/>
  <c r="B8" i="5"/>
  <c r="B9" i="5"/>
  <c r="B10" i="5"/>
  <c r="B11" i="5"/>
  <c r="B12" i="5"/>
  <c r="B13" i="5"/>
  <c r="B14" i="5"/>
  <c r="B15" i="5"/>
  <c r="B16" i="5"/>
  <c r="B17" i="5"/>
  <c r="B8" i="27"/>
  <c r="B9" i="27"/>
  <c r="B10" i="27"/>
  <c r="B11" i="27"/>
  <c r="B12" i="27"/>
  <c r="B13" i="27"/>
  <c r="B14" i="27"/>
  <c r="B15" i="27"/>
  <c r="B8" i="26"/>
  <c r="B9" i="26"/>
  <c r="B10" i="26"/>
  <c r="B11" i="26"/>
  <c r="B12" i="26"/>
  <c r="B13" i="26"/>
  <c r="B14" i="26"/>
  <c r="B15" i="26"/>
  <c r="B16" i="26"/>
  <c r="B17" i="26"/>
  <c r="B7" i="8"/>
  <c r="B8" i="8"/>
  <c r="B9" i="8"/>
  <c r="B10" i="8"/>
  <c r="B11" i="8"/>
  <c r="B12" i="8"/>
  <c r="B13" i="8"/>
  <c r="B14" i="8"/>
  <c r="B15" i="8"/>
  <c r="B16" i="8"/>
  <c r="B17" i="8"/>
  <c r="B18" i="8"/>
  <c r="K157" i="4"/>
  <c r="G157" i="4"/>
  <c r="H110" i="4"/>
  <c r="C110" i="4"/>
  <c r="C109" i="4"/>
  <c r="K108" i="4"/>
  <c r="G108" i="4"/>
  <c r="G7" i="18"/>
  <c r="G8" i="18"/>
  <c r="G9" i="18"/>
  <c r="G10" i="18"/>
  <c r="G12" i="26"/>
  <c r="G13" i="26"/>
  <c r="G14" i="26"/>
  <c r="G15" i="26"/>
  <c r="G16" i="26"/>
  <c r="G17" i="26"/>
  <c r="B10" i="7"/>
  <c r="B11" i="7"/>
  <c r="B12" i="7"/>
  <c r="B13" i="7"/>
  <c r="B14" i="7"/>
  <c r="B15" i="7"/>
  <c r="G17" i="20"/>
  <c r="H17" i="20" s="1"/>
  <c r="Z15" i="31" s="1"/>
  <c r="AD15" i="31" s="1"/>
  <c r="G16" i="20"/>
  <c r="H16" i="20" s="1"/>
  <c r="Z14" i="31" s="1"/>
  <c r="AD14" i="31" s="1"/>
  <c r="G15" i="20"/>
  <c r="H15" i="20" s="1"/>
  <c r="Z13" i="31" s="1"/>
  <c r="AD13" i="31" s="1"/>
  <c r="G14" i="20"/>
  <c r="H14" i="20" s="1"/>
  <c r="Z12" i="31" s="1"/>
  <c r="AD12" i="31" s="1"/>
  <c r="G17" i="19"/>
  <c r="G16" i="19"/>
  <c r="G15" i="19"/>
  <c r="G14" i="19"/>
  <c r="M12" i="31"/>
  <c r="G10" i="20"/>
  <c r="H10" i="20" s="1"/>
  <c r="Z8" i="31" s="1"/>
  <c r="AD8" i="31" s="1"/>
  <c r="G11" i="20"/>
  <c r="H11" i="20" s="1"/>
  <c r="Z9" i="31" s="1"/>
  <c r="AD9" i="31" s="1"/>
  <c r="G12" i="20"/>
  <c r="H12" i="20" s="1"/>
  <c r="Z10" i="31" s="1"/>
  <c r="AD10" i="31" s="1"/>
  <c r="G13" i="20"/>
  <c r="H13" i="20" s="1"/>
  <c r="Z11" i="31" s="1"/>
  <c r="AD11" i="31" s="1"/>
  <c r="G10" i="19"/>
  <c r="G11" i="19"/>
  <c r="G12" i="19"/>
  <c r="G13" i="19"/>
  <c r="B7" i="5"/>
  <c r="G10" i="26"/>
  <c r="G11" i="26"/>
  <c r="G9" i="26"/>
  <c r="B6" i="7"/>
  <c r="B7" i="7"/>
  <c r="B8" i="7"/>
  <c r="B9" i="7"/>
  <c r="A4" i="31"/>
  <c r="S11" i="31"/>
  <c r="S12" i="31"/>
  <c r="S13" i="31"/>
  <c r="S14" i="31"/>
  <c r="S15" i="31"/>
  <c r="M8" i="31"/>
  <c r="M9" i="31"/>
  <c r="M10" i="31"/>
  <c r="M11" i="31"/>
  <c r="M13" i="31"/>
  <c r="M14" i="31"/>
  <c r="M15" i="31"/>
  <c r="L4" i="31"/>
  <c r="L5" i="31"/>
  <c r="L6" i="31"/>
  <c r="L7" i="31"/>
  <c r="L8" i="31"/>
  <c r="L9" i="31"/>
  <c r="L10" i="31"/>
  <c r="L11" i="31"/>
  <c r="L12" i="31"/>
  <c r="L13" i="31"/>
  <c r="L14" i="31"/>
  <c r="L15" i="31"/>
  <c r="B4" i="24"/>
  <c r="B5" i="24"/>
  <c r="B6" i="24"/>
  <c r="B7" i="24"/>
  <c r="B4" i="22"/>
  <c r="B5" i="22"/>
  <c r="B6" i="22"/>
  <c r="B7" i="22"/>
  <c r="B4" i="23"/>
  <c r="B5" i="23"/>
  <c r="B6" i="23"/>
  <c r="B7" i="23"/>
  <c r="B4" i="21"/>
  <c r="B5" i="21"/>
  <c r="B6" i="21"/>
  <c r="B7" i="21"/>
  <c r="B4" i="13"/>
  <c r="B5" i="13"/>
  <c r="B6" i="13"/>
  <c r="B7" i="13"/>
  <c r="B4" i="12"/>
  <c r="B5" i="12"/>
  <c r="B6" i="12"/>
  <c r="B7" i="12"/>
  <c r="B4" i="20"/>
  <c r="B5" i="20"/>
  <c r="B6" i="20"/>
  <c r="B7" i="20"/>
  <c r="B4" i="18"/>
  <c r="B5" i="18"/>
  <c r="B6" i="18"/>
  <c r="B7" i="18"/>
  <c r="B4" i="19"/>
  <c r="B5" i="19"/>
  <c r="B6" i="19"/>
  <c r="B7" i="19"/>
  <c r="B4" i="17"/>
  <c r="B5" i="17"/>
  <c r="B6" i="17"/>
  <c r="B7" i="17"/>
  <c r="B4" i="15"/>
  <c r="B5" i="15"/>
  <c r="B6" i="15"/>
  <c r="B7" i="15"/>
  <c r="B4" i="14"/>
  <c r="B5" i="14"/>
  <c r="B6" i="14"/>
  <c r="B7" i="14"/>
  <c r="B4" i="11"/>
  <c r="B5" i="11"/>
  <c r="B6" i="11"/>
  <c r="B7" i="11"/>
  <c r="B4" i="5"/>
  <c r="B5" i="5"/>
  <c r="B6" i="5"/>
  <c r="B4" i="27"/>
  <c r="B5" i="27"/>
  <c r="B6" i="27"/>
  <c r="B7" i="27"/>
  <c r="B4" i="26"/>
  <c r="B5" i="26"/>
  <c r="B6" i="26"/>
  <c r="B7" i="26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3" i="8"/>
  <c r="B4" i="8"/>
  <c r="B5" i="8"/>
  <c r="B6" i="8"/>
  <c r="B3" i="7"/>
  <c r="B4" i="7"/>
  <c r="B5" i="7"/>
  <c r="M13" i="19"/>
  <c r="M13" i="26"/>
  <c r="M17" i="18"/>
  <c r="M13" i="18"/>
  <c r="N13" i="18" s="1"/>
  <c r="M12" i="18"/>
  <c r="N12" i="18" s="1"/>
  <c r="M11" i="18"/>
  <c r="N11" i="18" s="1"/>
  <c r="M10" i="18"/>
  <c r="N10" i="18" s="1"/>
  <c r="M9" i="18"/>
  <c r="N9" i="18" s="1"/>
  <c r="M8" i="18"/>
  <c r="N8" i="18" s="1"/>
  <c r="M7" i="18"/>
  <c r="N7" i="18" s="1"/>
  <c r="M6" i="18"/>
  <c r="N6" i="18" s="1"/>
  <c r="M5" i="18"/>
  <c r="N5" i="18" s="1"/>
  <c r="M4" i="18"/>
  <c r="N4" i="18" s="1"/>
  <c r="M9" i="26"/>
  <c r="N9" i="26" s="1"/>
  <c r="G10" i="4"/>
  <c r="H61" i="4"/>
  <c r="C61" i="4"/>
  <c r="C60" i="4"/>
  <c r="K59" i="4"/>
  <c r="G59" i="4"/>
  <c r="M5" i="31" l="1"/>
  <c r="M6" i="31"/>
  <c r="M7" i="31"/>
  <c r="K10" i="4" l="1"/>
  <c r="A3" i="31" l="1"/>
  <c r="B3" i="31" l="1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G14" i="31"/>
  <c r="G15" i="31"/>
  <c r="D14" i="31"/>
  <c r="D15" i="31"/>
  <c r="G4" i="27" l="1"/>
  <c r="G5" i="27" l="1"/>
  <c r="G6" i="27"/>
  <c r="G7" i="27"/>
  <c r="G8" i="27"/>
  <c r="G9" i="27"/>
  <c r="G10" i="27"/>
  <c r="G11" i="27"/>
  <c r="G12" i="27"/>
  <c r="G13" i="27"/>
  <c r="G14" i="27"/>
  <c r="G15" i="27"/>
  <c r="M16" i="27"/>
  <c r="M11" i="27"/>
  <c r="N11" i="27" s="1"/>
  <c r="M10" i="27"/>
  <c r="N10" i="27" s="1"/>
  <c r="M9" i="27"/>
  <c r="N9" i="27" s="1"/>
  <c r="G6" i="18" l="1"/>
  <c r="G5" i="20"/>
  <c r="H6" i="20"/>
  <c r="H7" i="20"/>
  <c r="G8" i="20"/>
  <c r="H8" i="20" s="1"/>
  <c r="Z6" i="31" s="1"/>
  <c r="AD6" i="31" s="1"/>
  <c r="G9" i="20"/>
  <c r="H9" i="20" s="1"/>
  <c r="Z7" i="31" s="1"/>
  <c r="AD7" i="31" s="1"/>
  <c r="G6" i="19"/>
  <c r="G7" i="19"/>
  <c r="G8" i="19"/>
  <c r="G9" i="19"/>
  <c r="G5" i="17"/>
  <c r="G6" i="17"/>
  <c r="G7" i="17"/>
  <c r="G8" i="17"/>
  <c r="G9" i="17"/>
  <c r="G10" i="17"/>
  <c r="G11" i="17"/>
  <c r="G12" i="17"/>
  <c r="G4" i="17"/>
  <c r="Z5" i="31" l="1"/>
  <c r="Z4" i="31"/>
  <c r="AD4" i="31" s="1"/>
  <c r="AD5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55" i="31"/>
  <c r="G256" i="31"/>
  <c r="G257" i="31"/>
  <c r="G258" i="31"/>
  <c r="G259" i="31"/>
  <c r="G260" i="31"/>
  <c r="G261" i="31"/>
  <c r="G262" i="31"/>
  <c r="G263" i="31"/>
  <c r="G264" i="31"/>
  <c r="G265" i="31"/>
  <c r="G266" i="31"/>
  <c r="G267" i="31"/>
  <c r="G268" i="31"/>
  <c r="G269" i="31"/>
  <c r="G270" i="31"/>
  <c r="G271" i="31"/>
  <c r="G272" i="31"/>
  <c r="G273" i="31"/>
  <c r="G274" i="31"/>
  <c r="G275" i="31"/>
  <c r="G276" i="31"/>
  <c r="G277" i="31"/>
  <c r="G278" i="31"/>
  <c r="G279" i="31"/>
  <c r="G280" i="31"/>
  <c r="G281" i="31"/>
  <c r="G282" i="31"/>
  <c r="G283" i="31"/>
  <c r="G284" i="31"/>
  <c r="G285" i="31"/>
  <c r="G286" i="31"/>
  <c r="G287" i="31"/>
  <c r="G288" i="31"/>
  <c r="G289" i="31"/>
  <c r="G290" i="31"/>
  <c r="G291" i="31"/>
  <c r="G292" i="31"/>
  <c r="G293" i="31"/>
  <c r="G294" i="31"/>
  <c r="G295" i="31"/>
  <c r="G296" i="31"/>
  <c r="G297" i="31"/>
  <c r="G298" i="31"/>
  <c r="G299" i="31"/>
  <c r="G300" i="31"/>
  <c r="G301" i="31"/>
  <c r="G302" i="31"/>
  <c r="G303" i="31"/>
  <c r="G304" i="31"/>
  <c r="G305" i="31"/>
  <c r="G306" i="31"/>
  <c r="G307" i="31"/>
  <c r="G308" i="31"/>
  <c r="G309" i="31"/>
  <c r="G310" i="31"/>
  <c r="G311" i="31"/>
  <c r="G312" i="31"/>
  <c r="G313" i="31"/>
  <c r="G314" i="31"/>
  <c r="G315" i="31"/>
  <c r="G316" i="31"/>
  <c r="G317" i="31"/>
  <c r="G318" i="31"/>
  <c r="G319" i="31"/>
  <c r="G320" i="31"/>
  <c r="G321" i="31"/>
  <c r="G322" i="31"/>
  <c r="G323" i="31"/>
  <c r="G324" i="31"/>
  <c r="G325" i="31"/>
  <c r="G326" i="31"/>
  <c r="G327" i="31"/>
  <c r="G328" i="31"/>
  <c r="G329" i="31"/>
  <c r="G330" i="31"/>
  <c r="G331" i="31"/>
  <c r="G332" i="31"/>
  <c r="G333" i="31"/>
  <c r="G334" i="31"/>
  <c r="G335" i="31"/>
  <c r="G336" i="31"/>
  <c r="G337" i="31"/>
  <c r="G338" i="31"/>
  <c r="G339" i="31"/>
  <c r="G340" i="31"/>
  <c r="G341" i="31"/>
  <c r="G342" i="31"/>
  <c r="G343" i="31"/>
  <c r="G344" i="31"/>
  <c r="G345" i="31"/>
  <c r="G346" i="31"/>
  <c r="G347" i="31"/>
  <c r="G348" i="31"/>
  <c r="G349" i="31"/>
  <c r="G350" i="31"/>
  <c r="G351" i="31"/>
  <c r="G352" i="31"/>
  <c r="G353" i="31"/>
  <c r="G354" i="31"/>
  <c r="G355" i="31"/>
  <c r="G356" i="31"/>
  <c r="G357" i="31"/>
  <c r="G358" i="31"/>
  <c r="G359" i="31"/>
  <c r="G360" i="31"/>
  <c r="G361" i="31"/>
  <c r="G362" i="31"/>
  <c r="G363" i="31"/>
  <c r="G364" i="31"/>
  <c r="G365" i="31"/>
  <c r="G366" i="31"/>
  <c r="G367" i="31"/>
  <c r="G368" i="31"/>
  <c r="G369" i="31"/>
  <c r="G370" i="31"/>
  <c r="G371" i="31"/>
  <c r="G372" i="31"/>
  <c r="G373" i="31"/>
  <c r="G374" i="31"/>
  <c r="G375" i="31"/>
  <c r="G376" i="31"/>
  <c r="G377" i="31"/>
  <c r="G378" i="31"/>
  <c r="G379" i="31"/>
  <c r="G380" i="31"/>
  <c r="G381" i="31"/>
  <c r="G382" i="31"/>
  <c r="G383" i="31"/>
  <c r="G384" i="31"/>
  <c r="G385" i="31"/>
  <c r="G386" i="31"/>
  <c r="G387" i="31"/>
  <c r="G388" i="31"/>
  <c r="G389" i="31"/>
  <c r="G390" i="31"/>
  <c r="G391" i="31"/>
  <c r="G392" i="31"/>
  <c r="G393" i="31"/>
  <c r="G394" i="31"/>
  <c r="G395" i="31"/>
  <c r="G396" i="31"/>
  <c r="G397" i="31"/>
  <c r="G398" i="31"/>
  <c r="G399" i="31"/>
  <c r="G400" i="31"/>
  <c r="G401" i="31"/>
  <c r="G402" i="31"/>
  <c r="G403" i="31"/>
  <c r="G404" i="31"/>
  <c r="G405" i="31"/>
  <c r="G406" i="31"/>
  <c r="G407" i="31"/>
  <c r="G408" i="31"/>
  <c r="G409" i="31"/>
  <c r="G410" i="31"/>
  <c r="G411" i="31"/>
  <c r="G412" i="31"/>
  <c r="G413" i="31"/>
  <c r="G414" i="31"/>
  <c r="G415" i="31"/>
  <c r="G416" i="31"/>
  <c r="G417" i="31"/>
  <c r="G418" i="31"/>
  <c r="G419" i="31"/>
  <c r="G420" i="31"/>
  <c r="G421" i="31"/>
  <c r="G422" i="31"/>
  <c r="G423" i="31"/>
  <c r="G424" i="31"/>
  <c r="G425" i="31"/>
  <c r="G426" i="31"/>
  <c r="G427" i="31"/>
  <c r="G428" i="31"/>
  <c r="G429" i="31"/>
  <c r="G430" i="31"/>
  <c r="G431" i="31"/>
  <c r="G432" i="31"/>
  <c r="G433" i="31"/>
  <c r="G434" i="31"/>
  <c r="G435" i="31"/>
  <c r="G436" i="31"/>
  <c r="G437" i="31"/>
  <c r="G438" i="31"/>
  <c r="G439" i="31"/>
  <c r="G440" i="31"/>
  <c r="G441" i="31"/>
  <c r="G442" i="31"/>
  <c r="G443" i="31"/>
  <c r="G444" i="31"/>
  <c r="G445" i="31"/>
  <c r="G446" i="31"/>
  <c r="G447" i="31"/>
  <c r="G448" i="31"/>
  <c r="G449" i="31"/>
  <c r="G450" i="31"/>
  <c r="G451" i="31"/>
  <c r="G452" i="31"/>
  <c r="G453" i="31"/>
  <c r="G454" i="31"/>
  <c r="G455" i="31"/>
  <c r="G456" i="31"/>
  <c r="G457" i="31"/>
  <c r="G458" i="31"/>
  <c r="G459" i="31"/>
  <c r="G460" i="31"/>
  <c r="G461" i="31"/>
  <c r="G462" i="31"/>
  <c r="G463" i="31"/>
  <c r="G464" i="31"/>
  <c r="G465" i="31"/>
  <c r="G466" i="31"/>
  <c r="G467" i="31"/>
  <c r="G468" i="31"/>
  <c r="G469" i="31"/>
  <c r="G470" i="31"/>
  <c r="G471" i="31"/>
  <c r="G472" i="31"/>
  <c r="G473" i="31"/>
  <c r="G474" i="31"/>
  <c r="G475" i="31"/>
  <c r="G476" i="31"/>
  <c r="G477" i="31"/>
  <c r="G478" i="31"/>
  <c r="G479" i="31"/>
  <c r="G480" i="31"/>
  <c r="G481" i="31"/>
  <c r="G482" i="31"/>
  <c r="G483" i="31"/>
  <c r="G484" i="31"/>
  <c r="G485" i="31"/>
  <c r="G486" i="31"/>
  <c r="G487" i="31"/>
  <c r="G488" i="31"/>
  <c r="G489" i="31"/>
  <c r="G490" i="31"/>
  <c r="G491" i="31"/>
  <c r="G492" i="31"/>
  <c r="G493" i="31"/>
  <c r="G494" i="31"/>
  <c r="G495" i="31"/>
  <c r="G496" i="31"/>
  <c r="G497" i="31"/>
  <c r="G498" i="31"/>
  <c r="G499" i="31"/>
  <c r="G500" i="31"/>
  <c r="G501" i="31"/>
  <c r="G502" i="31"/>
  <c r="G503" i="31"/>
  <c r="G504" i="31"/>
  <c r="G505" i="31"/>
  <c r="G506" i="31"/>
  <c r="G507" i="31"/>
  <c r="G508" i="31"/>
  <c r="G509" i="31"/>
  <c r="G510" i="31"/>
  <c r="G511" i="31"/>
  <c r="G512" i="31"/>
  <c r="G513" i="31"/>
  <c r="G514" i="31"/>
  <c r="G515" i="31"/>
  <c r="G516" i="31"/>
  <c r="G517" i="31"/>
  <c r="G518" i="31"/>
  <c r="G519" i="31"/>
  <c r="G520" i="31"/>
  <c r="G521" i="31"/>
  <c r="G522" i="31"/>
  <c r="G523" i="31"/>
  <c r="G524" i="31"/>
  <c r="G525" i="31"/>
  <c r="G526" i="31"/>
  <c r="G527" i="31"/>
  <c r="G528" i="31"/>
  <c r="G529" i="31"/>
  <c r="G530" i="31"/>
  <c r="G531" i="31"/>
  <c r="G532" i="31"/>
  <c r="G533" i="31"/>
  <c r="G534" i="31"/>
  <c r="G535" i="31"/>
  <c r="G536" i="31"/>
  <c r="G537" i="31"/>
  <c r="G538" i="31"/>
  <c r="G539" i="31"/>
  <c r="G540" i="31"/>
  <c r="G541" i="31"/>
  <c r="G542" i="31"/>
  <c r="G543" i="31"/>
  <c r="G544" i="31"/>
  <c r="G545" i="31"/>
  <c r="G546" i="31"/>
  <c r="G547" i="31"/>
  <c r="G548" i="31"/>
  <c r="G549" i="31"/>
  <c r="G550" i="31"/>
  <c r="G551" i="31"/>
  <c r="G552" i="31"/>
  <c r="G553" i="31"/>
  <c r="G554" i="31"/>
  <c r="G555" i="31"/>
  <c r="G556" i="31"/>
  <c r="G557" i="31"/>
  <c r="G558" i="31"/>
  <c r="G559" i="31"/>
  <c r="G560" i="31"/>
  <c r="G561" i="31"/>
  <c r="G562" i="31"/>
  <c r="G563" i="31"/>
  <c r="G564" i="31"/>
  <c r="G565" i="31"/>
  <c r="G566" i="31"/>
  <c r="G567" i="31"/>
  <c r="G568" i="31"/>
  <c r="G569" i="31"/>
  <c r="G570" i="31"/>
  <c r="G571" i="31"/>
  <c r="G572" i="31"/>
  <c r="G573" i="31"/>
  <c r="G574" i="31"/>
  <c r="G575" i="31"/>
  <c r="G576" i="31"/>
  <c r="G577" i="31"/>
  <c r="G578" i="31"/>
  <c r="G579" i="31"/>
  <c r="G580" i="31"/>
  <c r="G581" i="31"/>
  <c r="G582" i="31"/>
  <c r="G583" i="31"/>
  <c r="G584" i="31"/>
  <c r="G585" i="31"/>
  <c r="G586" i="31"/>
  <c r="G587" i="31"/>
  <c r="G588" i="31"/>
  <c r="G589" i="31"/>
  <c r="G590" i="31"/>
  <c r="G591" i="31"/>
  <c r="G592" i="31"/>
  <c r="G593" i="31"/>
  <c r="G594" i="31"/>
  <c r="G595" i="31"/>
  <c r="G596" i="31"/>
  <c r="G597" i="31"/>
  <c r="G598" i="31"/>
  <c r="G599" i="31"/>
  <c r="G600" i="31"/>
  <c r="G601" i="31"/>
  <c r="G602" i="31"/>
  <c r="G603" i="31"/>
  <c r="G604" i="31"/>
  <c r="G605" i="31"/>
  <c r="G606" i="31"/>
  <c r="G607" i="31"/>
  <c r="G608" i="31"/>
  <c r="G609" i="31"/>
  <c r="G610" i="31"/>
  <c r="G611" i="31"/>
  <c r="G612" i="31"/>
  <c r="G613" i="31"/>
  <c r="G614" i="31"/>
  <c r="G615" i="31"/>
  <c r="G616" i="31"/>
  <c r="G617" i="31"/>
  <c r="G618" i="31"/>
  <c r="G619" i="31"/>
  <c r="G620" i="31"/>
  <c r="G621" i="31"/>
  <c r="G622" i="31"/>
  <c r="G623" i="31"/>
  <c r="G624" i="31"/>
  <c r="G625" i="31"/>
  <c r="G626" i="31"/>
  <c r="G627" i="31"/>
  <c r="G628" i="31"/>
  <c r="G629" i="31"/>
  <c r="G630" i="31"/>
  <c r="G631" i="31"/>
  <c r="G632" i="31"/>
  <c r="G633" i="31"/>
  <c r="G634" i="31"/>
  <c r="G635" i="31"/>
  <c r="G636" i="31"/>
  <c r="G637" i="31"/>
  <c r="G638" i="31"/>
  <c r="G639" i="31"/>
  <c r="G640" i="31"/>
  <c r="G641" i="31"/>
  <c r="G642" i="31"/>
  <c r="G643" i="31"/>
  <c r="G644" i="31"/>
  <c r="G645" i="31"/>
  <c r="G646" i="31"/>
  <c r="G647" i="31"/>
  <c r="G648" i="31"/>
  <c r="G649" i="31"/>
  <c r="G650" i="31"/>
  <c r="G651" i="31"/>
  <c r="G652" i="31"/>
  <c r="G653" i="31"/>
  <c r="G654" i="31"/>
  <c r="G655" i="31"/>
  <c r="G656" i="31"/>
  <c r="G657" i="31"/>
  <c r="G658" i="31"/>
  <c r="G659" i="31"/>
  <c r="G660" i="31"/>
  <c r="G661" i="31"/>
  <c r="G662" i="31"/>
  <c r="G663" i="31"/>
  <c r="G664" i="31"/>
  <c r="G665" i="31"/>
  <c r="G666" i="31"/>
  <c r="G667" i="31"/>
  <c r="G668" i="31"/>
  <c r="G669" i="31"/>
  <c r="G670" i="31"/>
  <c r="G671" i="31"/>
  <c r="G672" i="31"/>
  <c r="G673" i="31"/>
  <c r="G674" i="31"/>
  <c r="G675" i="31"/>
  <c r="G676" i="31"/>
  <c r="G677" i="31"/>
  <c r="G678" i="31"/>
  <c r="G679" i="31"/>
  <c r="G680" i="31"/>
  <c r="G681" i="31"/>
  <c r="G682" i="31"/>
  <c r="G683" i="31"/>
  <c r="G684" i="31"/>
  <c r="G685" i="31"/>
  <c r="G686" i="31"/>
  <c r="G687" i="31"/>
  <c r="G688" i="31"/>
  <c r="G689" i="31"/>
  <c r="G690" i="31"/>
  <c r="G691" i="31"/>
  <c r="G692" i="31"/>
  <c r="G693" i="31"/>
  <c r="G694" i="31"/>
  <c r="G695" i="31"/>
  <c r="G696" i="31"/>
  <c r="G697" i="31"/>
  <c r="G698" i="31"/>
  <c r="G699" i="31"/>
  <c r="G700" i="31"/>
  <c r="G701" i="31"/>
  <c r="G702" i="31"/>
  <c r="G703" i="31"/>
  <c r="G704" i="31"/>
  <c r="G705" i="31"/>
  <c r="G706" i="31"/>
  <c r="G707" i="31"/>
  <c r="G708" i="31"/>
  <c r="G709" i="31"/>
  <c r="G710" i="31"/>
  <c r="G711" i="31"/>
  <c r="G712" i="31"/>
  <c r="G713" i="31"/>
  <c r="G714" i="31"/>
  <c r="G715" i="31"/>
  <c r="G716" i="31"/>
  <c r="G717" i="31"/>
  <c r="G718" i="31"/>
  <c r="G719" i="31"/>
  <c r="G720" i="31"/>
  <c r="G721" i="31"/>
  <c r="G722" i="31"/>
  <c r="G723" i="31"/>
  <c r="G724" i="31"/>
  <c r="G725" i="31"/>
  <c r="G726" i="31"/>
  <c r="G727" i="31"/>
  <c r="G728" i="31"/>
  <c r="G729" i="31"/>
  <c r="G730" i="31"/>
  <c r="G731" i="31"/>
  <c r="G732" i="31"/>
  <c r="G733" i="31"/>
  <c r="G734" i="31"/>
  <c r="G735" i="31"/>
  <c r="G736" i="31"/>
  <c r="G737" i="31"/>
  <c r="G738" i="31"/>
  <c r="G739" i="31"/>
  <c r="G740" i="31"/>
  <c r="G741" i="31"/>
  <c r="G742" i="31"/>
  <c r="G743" i="31"/>
  <c r="G744" i="31"/>
  <c r="G745" i="31"/>
  <c r="G746" i="31"/>
  <c r="G747" i="31"/>
  <c r="G748" i="31"/>
  <c r="G749" i="31"/>
  <c r="G750" i="31"/>
  <c r="G751" i="31"/>
  <c r="G752" i="31"/>
  <c r="G753" i="31"/>
  <c r="G754" i="31"/>
  <c r="G755" i="31"/>
  <c r="G756" i="31"/>
  <c r="G757" i="31"/>
  <c r="G758" i="31"/>
  <c r="G759" i="31"/>
  <c r="G760" i="31"/>
  <c r="G761" i="31"/>
  <c r="G762" i="31"/>
  <c r="G763" i="31"/>
  <c r="G764" i="31"/>
  <c r="G765" i="31"/>
  <c r="G766" i="31"/>
  <c r="B3" i="12" l="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372" i="31"/>
  <c r="C373" i="31"/>
  <c r="C374" i="31"/>
  <c r="C375" i="31"/>
  <c r="C376" i="31"/>
  <c r="C377" i="31"/>
  <c r="C378" i="31"/>
  <c r="C379" i="31"/>
  <c r="C380" i="31"/>
  <c r="C381" i="31"/>
  <c r="C382" i="31"/>
  <c r="C383" i="31"/>
  <c r="C384" i="31"/>
  <c r="C385" i="31"/>
  <c r="C386" i="31"/>
  <c r="C387" i="31"/>
  <c r="C388" i="31"/>
  <c r="C389" i="31"/>
  <c r="C390" i="31"/>
  <c r="C391" i="31"/>
  <c r="C392" i="31"/>
  <c r="C393" i="31"/>
  <c r="C394" i="31"/>
  <c r="C395" i="31"/>
  <c r="C396" i="31"/>
  <c r="C397" i="31"/>
  <c r="C398" i="31"/>
  <c r="C399" i="31"/>
  <c r="C400" i="31"/>
  <c r="C401" i="31"/>
  <c r="C402" i="31"/>
  <c r="C403" i="31"/>
  <c r="C404" i="31"/>
  <c r="C405" i="31"/>
  <c r="C406" i="31"/>
  <c r="C407" i="31"/>
  <c r="C408" i="31"/>
  <c r="C409" i="31"/>
  <c r="C410" i="31"/>
  <c r="C411" i="31"/>
  <c r="C412" i="31"/>
  <c r="C413" i="31"/>
  <c r="C414" i="31"/>
  <c r="C415" i="31"/>
  <c r="C416" i="31"/>
  <c r="C417" i="31"/>
  <c r="C418" i="31"/>
  <c r="C419" i="31"/>
  <c r="C420" i="31"/>
  <c r="C421" i="31"/>
  <c r="C422" i="31"/>
  <c r="C423" i="31"/>
  <c r="C424" i="31"/>
  <c r="C425" i="31"/>
  <c r="C426" i="31"/>
  <c r="C427" i="31"/>
  <c r="C428" i="31"/>
  <c r="C429" i="31"/>
  <c r="C430" i="31"/>
  <c r="C431" i="31"/>
  <c r="C432" i="31"/>
  <c r="C433" i="31"/>
  <c r="C434" i="31"/>
  <c r="C435" i="31"/>
  <c r="C436" i="31"/>
  <c r="C437" i="31"/>
  <c r="C438" i="31"/>
  <c r="C439" i="31"/>
  <c r="C440" i="31"/>
  <c r="C441" i="31"/>
  <c r="C442" i="31"/>
  <c r="C443" i="31"/>
  <c r="C444" i="31"/>
  <c r="C445" i="31"/>
  <c r="C446" i="31"/>
  <c r="C447" i="31"/>
  <c r="C448" i="31"/>
  <c r="C449" i="31"/>
  <c r="C450" i="31"/>
  <c r="C451" i="31"/>
  <c r="C452" i="31"/>
  <c r="C453" i="31"/>
  <c r="C454" i="31"/>
  <c r="C455" i="31"/>
  <c r="C456" i="31"/>
  <c r="C457" i="31"/>
  <c r="C458" i="31"/>
  <c r="C459" i="31"/>
  <c r="C460" i="31"/>
  <c r="C461" i="31"/>
  <c r="C462" i="31"/>
  <c r="C463" i="31"/>
  <c r="C464" i="31"/>
  <c r="C465" i="31"/>
  <c r="C466" i="31"/>
  <c r="C467" i="31"/>
  <c r="C468" i="31"/>
  <c r="C469" i="31"/>
  <c r="C470" i="31"/>
  <c r="C471" i="31"/>
  <c r="C472" i="31"/>
  <c r="C473" i="31"/>
  <c r="C474" i="31"/>
  <c r="C475" i="31"/>
  <c r="C476" i="31"/>
  <c r="C477" i="31"/>
  <c r="C478" i="31"/>
  <c r="C479" i="31"/>
  <c r="C480" i="31"/>
  <c r="C481" i="31"/>
  <c r="C482" i="31"/>
  <c r="C483" i="31"/>
  <c r="C484" i="31"/>
  <c r="C485" i="31"/>
  <c r="C486" i="31"/>
  <c r="C487" i="31"/>
  <c r="C488" i="31"/>
  <c r="C489" i="31"/>
  <c r="C490" i="31"/>
  <c r="C491" i="31"/>
  <c r="C492" i="31"/>
  <c r="C493" i="31"/>
  <c r="C494" i="31"/>
  <c r="C495" i="31"/>
  <c r="C496" i="31"/>
  <c r="C497" i="31"/>
  <c r="C498" i="31"/>
  <c r="C499" i="31"/>
  <c r="C500" i="31"/>
  <c r="C501" i="31"/>
  <c r="C502" i="31"/>
  <c r="C503" i="31"/>
  <c r="C504" i="31"/>
  <c r="C505" i="31"/>
  <c r="C506" i="31"/>
  <c r="C507" i="31"/>
  <c r="C508" i="31"/>
  <c r="C509" i="31"/>
  <c r="C510" i="31"/>
  <c r="C511" i="31"/>
  <c r="C512" i="31"/>
  <c r="C513" i="31"/>
  <c r="C514" i="31"/>
  <c r="C515" i="31"/>
  <c r="C516" i="31"/>
  <c r="C517" i="31"/>
  <c r="C518" i="31"/>
  <c r="C519" i="31"/>
  <c r="C520" i="31"/>
  <c r="C521" i="31"/>
  <c r="C522" i="31"/>
  <c r="C523" i="31"/>
  <c r="C524" i="31"/>
  <c r="C525" i="31"/>
  <c r="C526" i="31"/>
  <c r="C527" i="31"/>
  <c r="C528" i="31"/>
  <c r="C529" i="31"/>
  <c r="C530" i="31"/>
  <c r="C531" i="31"/>
  <c r="C532" i="31"/>
  <c r="C533" i="31"/>
  <c r="C534" i="31"/>
  <c r="C535" i="31"/>
  <c r="C536" i="31"/>
  <c r="C537" i="31"/>
  <c r="C538" i="31"/>
  <c r="C539" i="31"/>
  <c r="C540" i="31"/>
  <c r="C541" i="31"/>
  <c r="C542" i="31"/>
  <c r="C543" i="31"/>
  <c r="C544" i="31"/>
  <c r="C545" i="31"/>
  <c r="C546" i="31"/>
  <c r="C547" i="31"/>
  <c r="C548" i="31"/>
  <c r="C549" i="31"/>
  <c r="C550" i="31"/>
  <c r="C551" i="31"/>
  <c r="C552" i="31"/>
  <c r="C553" i="31"/>
  <c r="C554" i="31"/>
  <c r="C555" i="31"/>
  <c r="C556" i="31"/>
  <c r="C557" i="31"/>
  <c r="C558" i="31"/>
  <c r="C559" i="31"/>
  <c r="C560" i="31"/>
  <c r="C561" i="31"/>
  <c r="C562" i="31"/>
  <c r="C563" i="31"/>
  <c r="C564" i="31"/>
  <c r="C565" i="31"/>
  <c r="C566" i="31"/>
  <c r="C567" i="31"/>
  <c r="C568" i="31"/>
  <c r="C569" i="31"/>
  <c r="C570" i="31"/>
  <c r="C571" i="31"/>
  <c r="C572" i="31"/>
  <c r="C573" i="31"/>
  <c r="C574" i="31"/>
  <c r="C575" i="31"/>
  <c r="C576" i="31"/>
  <c r="C577" i="31"/>
  <c r="C578" i="31"/>
  <c r="C579" i="31"/>
  <c r="C580" i="31"/>
  <c r="C581" i="31"/>
  <c r="C582" i="31"/>
  <c r="C583" i="31"/>
  <c r="C584" i="31"/>
  <c r="C585" i="31"/>
  <c r="C586" i="31"/>
  <c r="C587" i="31"/>
  <c r="C588" i="31"/>
  <c r="C589" i="31"/>
  <c r="C590" i="31"/>
  <c r="C591" i="31"/>
  <c r="C592" i="31"/>
  <c r="C593" i="31"/>
  <c r="C594" i="31"/>
  <c r="C595" i="31"/>
  <c r="C596" i="31"/>
  <c r="C597" i="31"/>
  <c r="C598" i="31"/>
  <c r="C599" i="31"/>
  <c r="C600" i="31"/>
  <c r="C601" i="31"/>
  <c r="C602" i="31"/>
  <c r="C603" i="31"/>
  <c r="C604" i="31"/>
  <c r="C605" i="31"/>
  <c r="C606" i="31"/>
  <c r="C607" i="31"/>
  <c r="C608" i="31"/>
  <c r="C609" i="31"/>
  <c r="C610" i="31"/>
  <c r="C611" i="31"/>
  <c r="C612" i="31"/>
  <c r="C613" i="31"/>
  <c r="C614" i="31"/>
  <c r="C615" i="31"/>
  <c r="C616" i="31"/>
  <c r="C617" i="31"/>
  <c r="C618" i="31"/>
  <c r="C619" i="31"/>
  <c r="C620" i="31"/>
  <c r="C621" i="31"/>
  <c r="C622" i="31"/>
  <c r="C623" i="31"/>
  <c r="C624" i="31"/>
  <c r="C625" i="31"/>
  <c r="C626" i="31"/>
  <c r="C627" i="31"/>
  <c r="C628" i="31"/>
  <c r="C629" i="31"/>
  <c r="C630" i="31"/>
  <c r="C631" i="31"/>
  <c r="C632" i="31"/>
  <c r="C633" i="31"/>
  <c r="C634" i="31"/>
  <c r="C635" i="31"/>
  <c r="C636" i="31"/>
  <c r="C637" i="31"/>
  <c r="C638" i="31"/>
  <c r="C639" i="31"/>
  <c r="C640" i="31"/>
  <c r="C641" i="31"/>
  <c r="C642" i="31"/>
  <c r="C643" i="31"/>
  <c r="C644" i="31"/>
  <c r="C645" i="31"/>
  <c r="C646" i="31"/>
  <c r="C647" i="31"/>
  <c r="C648" i="31"/>
  <c r="C649" i="31"/>
  <c r="C650" i="31"/>
  <c r="C651" i="31"/>
  <c r="C652" i="31"/>
  <c r="C653" i="31"/>
  <c r="C654" i="31"/>
  <c r="C655" i="31"/>
  <c r="C656" i="31"/>
  <c r="C657" i="31"/>
  <c r="C658" i="31"/>
  <c r="C659" i="31"/>
  <c r="C660" i="31"/>
  <c r="C661" i="31"/>
  <c r="C662" i="31"/>
  <c r="C663" i="31"/>
  <c r="C664" i="31"/>
  <c r="C665" i="31"/>
  <c r="C666" i="31"/>
  <c r="C667" i="31"/>
  <c r="C668" i="31"/>
  <c r="C669" i="31"/>
  <c r="C670" i="31"/>
  <c r="C671" i="31"/>
  <c r="C672" i="31"/>
  <c r="C673" i="31"/>
  <c r="C674" i="31"/>
  <c r="C675" i="31"/>
  <c r="C676" i="31"/>
  <c r="C677" i="31"/>
  <c r="C678" i="31"/>
  <c r="C679" i="31"/>
  <c r="C680" i="31"/>
  <c r="C681" i="31"/>
  <c r="C682" i="31"/>
  <c r="C683" i="31"/>
  <c r="C684" i="31"/>
  <c r="C685" i="31"/>
  <c r="C686" i="31"/>
  <c r="C687" i="31"/>
  <c r="C688" i="31"/>
  <c r="C689" i="31"/>
  <c r="C690" i="31"/>
  <c r="C691" i="31"/>
  <c r="C692" i="31"/>
  <c r="C693" i="31"/>
  <c r="C694" i="31"/>
  <c r="C695" i="31"/>
  <c r="C696" i="31"/>
  <c r="C697" i="31"/>
  <c r="C698" i="31"/>
  <c r="C699" i="31"/>
  <c r="C700" i="31"/>
  <c r="C701" i="31"/>
  <c r="C702" i="31"/>
  <c r="C703" i="31"/>
  <c r="C704" i="31"/>
  <c r="C705" i="31"/>
  <c r="C706" i="31"/>
  <c r="C707" i="31"/>
  <c r="C708" i="31"/>
  <c r="C709" i="31"/>
  <c r="C710" i="31"/>
  <c r="C711" i="31"/>
  <c r="C712" i="31"/>
  <c r="C713" i="31"/>
  <c r="C714" i="31"/>
  <c r="C715" i="31"/>
  <c r="C716" i="31"/>
  <c r="C717" i="31"/>
  <c r="C718" i="31"/>
  <c r="C719" i="31"/>
  <c r="C720" i="31"/>
  <c r="C721" i="31"/>
  <c r="C722" i="31"/>
  <c r="C723" i="31"/>
  <c r="C724" i="31"/>
  <c r="C725" i="31"/>
  <c r="C726" i="31"/>
  <c r="C727" i="31"/>
  <c r="C728" i="31"/>
  <c r="C729" i="31"/>
  <c r="C730" i="31"/>
  <c r="C731" i="31"/>
  <c r="C732" i="31"/>
  <c r="C733" i="31"/>
  <c r="C734" i="31"/>
  <c r="C735" i="31"/>
  <c r="C736" i="31"/>
  <c r="C737" i="31"/>
  <c r="C738" i="31"/>
  <c r="C739" i="31"/>
  <c r="C740" i="31"/>
  <c r="C741" i="31"/>
  <c r="C742" i="31"/>
  <c r="C743" i="31"/>
  <c r="C744" i="31"/>
  <c r="C745" i="31"/>
  <c r="C746" i="31"/>
  <c r="C747" i="31"/>
  <c r="C748" i="31"/>
  <c r="C749" i="31"/>
  <c r="C750" i="31"/>
  <c r="C751" i="31"/>
  <c r="C752" i="31"/>
  <c r="C753" i="31"/>
  <c r="C754" i="31"/>
  <c r="C755" i="31"/>
  <c r="C756" i="31"/>
  <c r="C757" i="31"/>
  <c r="C758" i="31"/>
  <c r="C759" i="31"/>
  <c r="C760" i="31"/>
  <c r="C761" i="31"/>
  <c r="C762" i="31"/>
  <c r="C763" i="31"/>
  <c r="C764" i="31"/>
  <c r="C765" i="31"/>
  <c r="C766" i="31"/>
  <c r="K204" i="31" l="1"/>
  <c r="K205" i="31"/>
  <c r="K206" i="31"/>
  <c r="K207" i="31"/>
  <c r="K208" i="31"/>
  <c r="K209" i="31"/>
  <c r="K210" i="31"/>
  <c r="K211" i="31"/>
  <c r="K212" i="31"/>
  <c r="K213" i="31"/>
  <c r="K214" i="31"/>
  <c r="K215" i="31"/>
  <c r="K216" i="31"/>
  <c r="K217" i="31"/>
  <c r="K218" i="31"/>
  <c r="K219" i="31"/>
  <c r="K220" i="31"/>
  <c r="K221" i="31"/>
  <c r="K222" i="31"/>
  <c r="K223" i="31"/>
  <c r="K224" i="31"/>
  <c r="K225" i="31"/>
  <c r="K226" i="31"/>
  <c r="K227" i="31"/>
  <c r="K228" i="31"/>
  <c r="K229" i="31"/>
  <c r="K230" i="31"/>
  <c r="K231" i="31"/>
  <c r="K232" i="31"/>
  <c r="K233" i="31"/>
  <c r="K234" i="31"/>
  <c r="K235" i="31"/>
  <c r="K236" i="31"/>
  <c r="K237" i="31"/>
  <c r="K238" i="31"/>
  <c r="K239" i="31"/>
  <c r="K240" i="31"/>
  <c r="K241" i="31"/>
  <c r="K242" i="31"/>
  <c r="K243" i="31"/>
  <c r="K244" i="31"/>
  <c r="K245" i="31"/>
  <c r="K246" i="31"/>
  <c r="K247" i="31"/>
  <c r="K248" i="31"/>
  <c r="K249" i="31"/>
  <c r="K250" i="31"/>
  <c r="K251" i="31"/>
  <c r="K252" i="31"/>
  <c r="K253" i="31"/>
  <c r="K254" i="31"/>
  <c r="K255" i="31"/>
  <c r="K256" i="31"/>
  <c r="K257" i="31"/>
  <c r="K258" i="31"/>
  <c r="K259" i="31"/>
  <c r="K260" i="31"/>
  <c r="K261" i="31"/>
  <c r="K262" i="31"/>
  <c r="K263" i="31"/>
  <c r="K264" i="31"/>
  <c r="K265" i="31"/>
  <c r="K266" i="31"/>
  <c r="K267" i="31"/>
  <c r="K268" i="31"/>
  <c r="K269" i="31"/>
  <c r="K270" i="31"/>
  <c r="K271" i="31"/>
  <c r="K272" i="31"/>
  <c r="K273" i="31"/>
  <c r="K274" i="31"/>
  <c r="K275" i="31"/>
  <c r="K276" i="31"/>
  <c r="K277" i="31"/>
  <c r="K278" i="31"/>
  <c r="K279" i="31"/>
  <c r="K280" i="31"/>
  <c r="K281" i="31"/>
  <c r="K282" i="31"/>
  <c r="K283" i="31"/>
  <c r="K284" i="31"/>
  <c r="K285" i="31"/>
  <c r="K286" i="31"/>
  <c r="K287" i="31"/>
  <c r="K288" i="31"/>
  <c r="K289" i="31"/>
  <c r="K290" i="31"/>
  <c r="K291" i="31"/>
  <c r="K292" i="31"/>
  <c r="K293" i="31"/>
  <c r="K294" i="31"/>
  <c r="K295" i="31"/>
  <c r="K296" i="31"/>
  <c r="K297" i="31"/>
  <c r="K298" i="31"/>
  <c r="K299" i="31"/>
  <c r="K300" i="31"/>
  <c r="K301" i="31"/>
  <c r="K302" i="31"/>
  <c r="K303" i="31"/>
  <c r="K304" i="31"/>
  <c r="K305" i="31"/>
  <c r="K306" i="31"/>
  <c r="K307" i="31"/>
  <c r="K308" i="31"/>
  <c r="K309" i="31"/>
  <c r="K310" i="31"/>
  <c r="K311" i="31"/>
  <c r="K312" i="31"/>
  <c r="K313" i="31"/>
  <c r="K314" i="31"/>
  <c r="K315" i="31"/>
  <c r="K316" i="31"/>
  <c r="K317" i="31"/>
  <c r="K318" i="31"/>
  <c r="K319" i="31"/>
  <c r="K320" i="31"/>
  <c r="K321" i="31"/>
  <c r="K322" i="31"/>
  <c r="K323" i="31"/>
  <c r="K324" i="31"/>
  <c r="K325" i="31"/>
  <c r="K326" i="31"/>
  <c r="K327" i="31"/>
  <c r="K328" i="31"/>
  <c r="K329" i="31"/>
  <c r="K330" i="31"/>
  <c r="K331" i="31"/>
  <c r="K332" i="31"/>
  <c r="K333" i="31"/>
  <c r="K334" i="31"/>
  <c r="K335" i="31"/>
  <c r="K336" i="31"/>
  <c r="K337" i="31"/>
  <c r="K338" i="31"/>
  <c r="K339" i="31"/>
  <c r="K340" i="31"/>
  <c r="K341" i="31"/>
  <c r="K342" i="31"/>
  <c r="K343" i="31"/>
  <c r="K344" i="31"/>
  <c r="K345" i="31"/>
  <c r="K346" i="31"/>
  <c r="K347" i="31"/>
  <c r="K348" i="31"/>
  <c r="K349" i="31"/>
  <c r="K350" i="31"/>
  <c r="K351" i="31"/>
  <c r="K352" i="31"/>
  <c r="K353" i="31"/>
  <c r="K354" i="31"/>
  <c r="K355" i="31"/>
  <c r="K356" i="31"/>
  <c r="K357" i="31"/>
  <c r="K358" i="31"/>
  <c r="K359" i="31"/>
  <c r="K360" i="31"/>
  <c r="K361" i="31"/>
  <c r="K362" i="31"/>
  <c r="K363" i="31"/>
  <c r="K364" i="31"/>
  <c r="K365" i="31"/>
  <c r="K366" i="31"/>
  <c r="K367" i="31"/>
  <c r="K368" i="31"/>
  <c r="K369" i="31"/>
  <c r="K370" i="31"/>
  <c r="K371" i="31"/>
  <c r="K372" i="31"/>
  <c r="K373" i="31"/>
  <c r="K374" i="31"/>
  <c r="K375" i="31"/>
  <c r="K376" i="31"/>
  <c r="K377" i="31"/>
  <c r="K378" i="31"/>
  <c r="K379" i="31"/>
  <c r="K380" i="31"/>
  <c r="K381" i="31"/>
  <c r="K382" i="31"/>
  <c r="K383" i="31"/>
  <c r="K384" i="31"/>
  <c r="K385" i="31"/>
  <c r="K386" i="31"/>
  <c r="K387" i="31"/>
  <c r="K388" i="31"/>
  <c r="K389" i="31"/>
  <c r="K390" i="31"/>
  <c r="K391" i="31"/>
  <c r="K392" i="31"/>
  <c r="K393" i="31"/>
  <c r="K394" i="31"/>
  <c r="K395" i="31"/>
  <c r="K396" i="31"/>
  <c r="K397" i="31"/>
  <c r="K398" i="31"/>
  <c r="K399" i="31"/>
  <c r="K400" i="31"/>
  <c r="K401" i="31"/>
  <c r="K402" i="31"/>
  <c r="K403" i="31"/>
  <c r="K404" i="31"/>
  <c r="K405" i="31"/>
  <c r="K406" i="31"/>
  <c r="K407" i="31"/>
  <c r="K408" i="31"/>
  <c r="K409" i="31"/>
  <c r="K410" i="31"/>
  <c r="K411" i="31"/>
  <c r="K412" i="31"/>
  <c r="K413" i="31"/>
  <c r="K414" i="31"/>
  <c r="K415" i="31"/>
  <c r="K416" i="31"/>
  <c r="K417" i="31"/>
  <c r="K418" i="31"/>
  <c r="K419" i="31"/>
  <c r="K420" i="31"/>
  <c r="K421" i="31"/>
  <c r="K422" i="31"/>
  <c r="K423" i="31"/>
  <c r="K424" i="31"/>
  <c r="K425" i="31"/>
  <c r="K426" i="31"/>
  <c r="K427" i="31"/>
  <c r="K428" i="31"/>
  <c r="K429" i="31"/>
  <c r="K430" i="31"/>
  <c r="K431" i="31"/>
  <c r="K432" i="31"/>
  <c r="K433" i="31"/>
  <c r="K434" i="31"/>
  <c r="K435" i="31"/>
  <c r="K436" i="31"/>
  <c r="K437" i="31"/>
  <c r="K438" i="31"/>
  <c r="K439" i="31"/>
  <c r="K440" i="31"/>
  <c r="K441" i="31"/>
  <c r="K442" i="31"/>
  <c r="K443" i="31"/>
  <c r="K444" i="31"/>
  <c r="K445" i="31"/>
  <c r="K446" i="31"/>
  <c r="K447" i="31"/>
  <c r="K448" i="31"/>
  <c r="K449" i="31"/>
  <c r="K450" i="31"/>
  <c r="K451" i="31"/>
  <c r="K452" i="31"/>
  <c r="K453" i="31"/>
  <c r="K454" i="31"/>
  <c r="K455" i="31"/>
  <c r="K456" i="31"/>
  <c r="K457" i="31"/>
  <c r="K458" i="31"/>
  <c r="K459" i="31"/>
  <c r="K460" i="31"/>
  <c r="K461" i="31"/>
  <c r="K462" i="31"/>
  <c r="K463" i="31"/>
  <c r="K464" i="31"/>
  <c r="K465" i="31"/>
  <c r="K466" i="31"/>
  <c r="K467" i="31"/>
  <c r="K468" i="31"/>
  <c r="K469" i="31"/>
  <c r="K470" i="31"/>
  <c r="K471" i="31"/>
  <c r="K472" i="31"/>
  <c r="K473" i="31"/>
  <c r="K474" i="31"/>
  <c r="K475" i="31"/>
  <c r="K476" i="31"/>
  <c r="K477" i="31"/>
  <c r="K478" i="31"/>
  <c r="K479" i="31"/>
  <c r="K480" i="31"/>
  <c r="K481" i="31"/>
  <c r="K482" i="31"/>
  <c r="K483" i="31"/>
  <c r="K484" i="31"/>
  <c r="K485" i="31"/>
  <c r="K486" i="31"/>
  <c r="K487" i="31"/>
  <c r="K488" i="31"/>
  <c r="K489" i="31"/>
  <c r="K490" i="31"/>
  <c r="K491" i="31"/>
  <c r="K492" i="31"/>
  <c r="K493" i="31"/>
  <c r="K494" i="31"/>
  <c r="K495" i="31"/>
  <c r="K496" i="31"/>
  <c r="K497" i="31"/>
  <c r="K498" i="31"/>
  <c r="K499" i="31"/>
  <c r="K500" i="31"/>
  <c r="K501" i="31"/>
  <c r="K502" i="31"/>
  <c r="K503" i="31"/>
  <c r="K504" i="31"/>
  <c r="K505" i="31"/>
  <c r="K506" i="31"/>
  <c r="K507" i="31"/>
  <c r="K508" i="31"/>
  <c r="K509" i="31"/>
  <c r="K510" i="31"/>
  <c r="K511" i="31"/>
  <c r="K512" i="31"/>
  <c r="K513" i="31"/>
  <c r="K514" i="31"/>
  <c r="K515" i="31"/>
  <c r="K516" i="31"/>
  <c r="K517" i="31"/>
  <c r="K518" i="31"/>
  <c r="K519" i="31"/>
  <c r="K520" i="31"/>
  <c r="K521" i="31"/>
  <c r="K522" i="31"/>
  <c r="K523" i="31"/>
  <c r="K524" i="31"/>
  <c r="K525" i="31"/>
  <c r="K526" i="31"/>
  <c r="K527" i="31"/>
  <c r="K528" i="31"/>
  <c r="K529" i="31"/>
  <c r="K530" i="31"/>
  <c r="K531" i="31"/>
  <c r="K532" i="31"/>
  <c r="K533" i="31"/>
  <c r="K534" i="31"/>
  <c r="K535" i="31"/>
  <c r="K536" i="31"/>
  <c r="K537" i="31"/>
  <c r="K538" i="31"/>
  <c r="K539" i="31"/>
  <c r="K540" i="31"/>
  <c r="K541" i="31"/>
  <c r="K542" i="31"/>
  <c r="K543" i="31"/>
  <c r="K544" i="31"/>
  <c r="K545" i="31"/>
  <c r="K546" i="31"/>
  <c r="K547" i="31"/>
  <c r="K548" i="31"/>
  <c r="K549" i="31"/>
  <c r="K550" i="31"/>
  <c r="K551" i="31"/>
  <c r="K552" i="31"/>
  <c r="K553" i="31"/>
  <c r="K554" i="31"/>
  <c r="K555" i="31"/>
  <c r="K556" i="31"/>
  <c r="K557" i="31"/>
  <c r="K558" i="31"/>
  <c r="K559" i="31"/>
  <c r="K560" i="31"/>
  <c r="K561" i="31"/>
  <c r="K562" i="31"/>
  <c r="K563" i="31"/>
  <c r="K564" i="31"/>
  <c r="K565" i="31"/>
  <c r="K566" i="31"/>
  <c r="K567" i="31"/>
  <c r="K568" i="31"/>
  <c r="K569" i="31"/>
  <c r="K570" i="31"/>
  <c r="K571" i="31"/>
  <c r="K572" i="31"/>
  <c r="K573" i="31"/>
  <c r="K574" i="31"/>
  <c r="K575" i="31"/>
  <c r="K576" i="31"/>
  <c r="K577" i="31"/>
  <c r="K578" i="31"/>
  <c r="K579" i="31"/>
  <c r="K580" i="31"/>
  <c r="K581" i="31"/>
  <c r="K582" i="31"/>
  <c r="K583" i="31"/>
  <c r="K584" i="31"/>
  <c r="K585" i="31"/>
  <c r="K586" i="31"/>
  <c r="K587" i="31"/>
  <c r="K588" i="31"/>
  <c r="K589" i="31"/>
  <c r="K590" i="31"/>
  <c r="K591" i="31"/>
  <c r="K592" i="31"/>
  <c r="K593" i="31"/>
  <c r="K594" i="31"/>
  <c r="K595" i="31"/>
  <c r="K596" i="31"/>
  <c r="K597" i="31"/>
  <c r="K598" i="31"/>
  <c r="K599" i="31"/>
  <c r="K600" i="31"/>
  <c r="K601" i="31"/>
  <c r="K602" i="31"/>
  <c r="K603" i="31"/>
  <c r="K604" i="31"/>
  <c r="K605" i="31"/>
  <c r="K606" i="31"/>
  <c r="K607" i="31"/>
  <c r="K608" i="31"/>
  <c r="K609" i="31"/>
  <c r="K610" i="31"/>
  <c r="K611" i="31"/>
  <c r="K612" i="31"/>
  <c r="K613" i="31"/>
  <c r="K614" i="31"/>
  <c r="K615" i="31"/>
  <c r="K616" i="31"/>
  <c r="K617" i="31"/>
  <c r="K618" i="31"/>
  <c r="K619" i="31"/>
  <c r="K620" i="31"/>
  <c r="K621" i="31"/>
  <c r="K622" i="31"/>
  <c r="K623" i="31"/>
  <c r="K624" i="31"/>
  <c r="K625" i="31"/>
  <c r="K626" i="31"/>
  <c r="K627" i="31"/>
  <c r="K628" i="31"/>
  <c r="K629" i="31"/>
  <c r="K630" i="31"/>
  <c r="K631" i="31"/>
  <c r="K632" i="31"/>
  <c r="K633" i="31"/>
  <c r="K634" i="31"/>
  <c r="K635" i="31"/>
  <c r="K636" i="31"/>
  <c r="K637" i="31"/>
  <c r="K638" i="31"/>
  <c r="K639" i="31"/>
  <c r="K640" i="31"/>
  <c r="K641" i="31"/>
  <c r="K642" i="31"/>
  <c r="K643" i="31"/>
  <c r="K644" i="31"/>
  <c r="K645" i="31"/>
  <c r="K646" i="31"/>
  <c r="K647" i="31"/>
  <c r="K648" i="31"/>
  <c r="K649" i="31"/>
  <c r="K650" i="31"/>
  <c r="K651" i="31"/>
  <c r="K652" i="31"/>
  <c r="K653" i="31"/>
  <c r="K654" i="31"/>
  <c r="K655" i="31"/>
  <c r="K656" i="31"/>
  <c r="K657" i="31"/>
  <c r="K658" i="31"/>
  <c r="K659" i="31"/>
  <c r="K660" i="31"/>
  <c r="K661" i="31"/>
  <c r="K662" i="31"/>
  <c r="K663" i="31"/>
  <c r="K664" i="31"/>
  <c r="K665" i="31"/>
  <c r="K666" i="31"/>
  <c r="K667" i="31"/>
  <c r="K668" i="31"/>
  <c r="K669" i="31"/>
  <c r="K670" i="31"/>
  <c r="K671" i="31"/>
  <c r="K672" i="31"/>
  <c r="K673" i="31"/>
  <c r="K674" i="31"/>
  <c r="K675" i="31"/>
  <c r="K676" i="31"/>
  <c r="K677" i="31"/>
  <c r="K678" i="31"/>
  <c r="K679" i="31"/>
  <c r="K680" i="31"/>
  <c r="K681" i="31"/>
  <c r="K682" i="31"/>
  <c r="K683" i="31"/>
  <c r="K684" i="31"/>
  <c r="K685" i="31"/>
  <c r="K686" i="31"/>
  <c r="K687" i="31"/>
  <c r="K688" i="31"/>
  <c r="K689" i="31"/>
  <c r="K690" i="31"/>
  <c r="K691" i="31"/>
  <c r="K692" i="31"/>
  <c r="K693" i="31"/>
  <c r="K694" i="31"/>
  <c r="K695" i="31"/>
  <c r="K696" i="31"/>
  <c r="K697" i="31"/>
  <c r="K698" i="31"/>
  <c r="K699" i="31"/>
  <c r="K700" i="31"/>
  <c r="K701" i="31"/>
  <c r="K702" i="31"/>
  <c r="K703" i="31"/>
  <c r="K704" i="31"/>
  <c r="K705" i="31"/>
  <c r="K706" i="31"/>
  <c r="K707" i="31"/>
  <c r="K708" i="31"/>
  <c r="K709" i="31"/>
  <c r="K710" i="31"/>
  <c r="K711" i="31"/>
  <c r="K712" i="31"/>
  <c r="K713" i="31"/>
  <c r="K714" i="31"/>
  <c r="K715" i="31"/>
  <c r="K716" i="31"/>
  <c r="K717" i="31"/>
  <c r="K718" i="31"/>
  <c r="K719" i="31"/>
  <c r="K720" i="31"/>
  <c r="K721" i="31"/>
  <c r="K722" i="31"/>
  <c r="K723" i="31"/>
  <c r="K724" i="31"/>
  <c r="K725" i="31"/>
  <c r="K726" i="31"/>
  <c r="K727" i="31"/>
  <c r="K728" i="31"/>
  <c r="K729" i="31"/>
  <c r="K730" i="31"/>
  <c r="K731" i="31"/>
  <c r="K732" i="31"/>
  <c r="K733" i="31"/>
  <c r="K734" i="31"/>
  <c r="K735" i="31"/>
  <c r="K736" i="31"/>
  <c r="K737" i="31"/>
  <c r="K738" i="31"/>
  <c r="K739" i="31"/>
  <c r="K740" i="31"/>
  <c r="K741" i="31"/>
  <c r="K742" i="31"/>
  <c r="K743" i="31"/>
  <c r="K744" i="31"/>
  <c r="K745" i="31"/>
  <c r="K746" i="31"/>
  <c r="K747" i="31"/>
  <c r="K748" i="31"/>
  <c r="K749" i="31"/>
  <c r="K750" i="31"/>
  <c r="K751" i="31"/>
  <c r="K752" i="31"/>
  <c r="K753" i="31"/>
  <c r="K754" i="31"/>
  <c r="K755" i="31"/>
  <c r="K756" i="31"/>
  <c r="K757" i="31"/>
  <c r="K758" i="31"/>
  <c r="K759" i="31"/>
  <c r="K760" i="31"/>
  <c r="K761" i="31"/>
  <c r="K762" i="31"/>
  <c r="K763" i="31"/>
  <c r="K764" i="31"/>
  <c r="K765" i="31"/>
  <c r="K766" i="31"/>
  <c r="N15" i="13"/>
  <c r="N14" i="13"/>
  <c r="L16" i="13"/>
  <c r="L15" i="13"/>
  <c r="L14" i="13"/>
  <c r="L13" i="13"/>
  <c r="L16" i="12"/>
  <c r="L15" i="12"/>
  <c r="L14" i="12"/>
  <c r="L13" i="12"/>
  <c r="N15" i="12"/>
  <c r="N14" i="12"/>
  <c r="M5" i="19" l="1"/>
  <c r="N5" i="19" s="1"/>
  <c r="O14" i="19"/>
  <c r="M14" i="19"/>
  <c r="M12" i="19"/>
  <c r="M4" i="12" l="1"/>
  <c r="G6" i="26"/>
  <c r="G7" i="26"/>
  <c r="G8" i="26"/>
  <c r="M2" i="20" l="1"/>
  <c r="M26" i="20"/>
  <c r="M25" i="20"/>
  <c r="M24" i="20"/>
  <c r="M23" i="20"/>
  <c r="M22" i="20"/>
  <c r="M21" i="20"/>
  <c r="M20" i="20"/>
  <c r="M19" i="20"/>
  <c r="M18" i="20"/>
  <c r="M17" i="20"/>
  <c r="M16" i="20"/>
  <c r="M15" i="20"/>
  <c r="M14" i="20"/>
  <c r="M13" i="20"/>
  <c r="M12" i="20"/>
  <c r="M11" i="20"/>
  <c r="M10" i="20"/>
  <c r="M9" i="20"/>
  <c r="M8" i="20"/>
  <c r="M7" i="20"/>
  <c r="M6" i="20"/>
  <c r="M5" i="20"/>
  <c r="M4" i="20"/>
  <c r="M3" i="20"/>
  <c r="O14" i="26" l="1"/>
  <c r="Z180" i="31" l="1"/>
  <c r="Z181" i="31"/>
  <c r="Z182" i="31"/>
  <c r="Z183" i="31"/>
  <c r="Z184" i="31"/>
  <c r="Z185" i="31"/>
  <c r="Z186" i="31"/>
  <c r="Z187" i="31"/>
  <c r="Z188" i="31"/>
  <c r="Z189" i="31"/>
  <c r="Z190" i="31"/>
  <c r="Z191" i="31"/>
  <c r="Z192" i="31"/>
  <c r="Z193" i="31"/>
  <c r="Z194" i="31"/>
  <c r="Z195" i="31"/>
  <c r="Z196" i="31"/>
  <c r="Z197" i="31"/>
  <c r="Z198" i="31"/>
  <c r="Z199" i="31"/>
  <c r="Z200" i="31"/>
  <c r="Z201" i="31"/>
  <c r="Z202" i="31"/>
  <c r="Z203" i="31"/>
  <c r="Z204" i="31"/>
  <c r="Z205" i="31"/>
  <c r="Z206" i="31"/>
  <c r="Z207" i="31"/>
  <c r="Z208" i="31"/>
  <c r="Z209" i="31"/>
  <c r="Z210" i="31"/>
  <c r="Z211" i="31"/>
  <c r="Z212" i="31"/>
  <c r="Z213" i="31"/>
  <c r="Z214" i="31"/>
  <c r="Z215" i="31"/>
  <c r="Z216" i="31"/>
  <c r="Z217" i="31"/>
  <c r="Z218" i="31"/>
  <c r="Z219" i="31"/>
  <c r="Z220" i="31"/>
  <c r="Z221" i="31"/>
  <c r="Z222" i="31"/>
  <c r="Z223" i="31"/>
  <c r="Z224" i="31"/>
  <c r="Z225" i="31"/>
  <c r="Z226" i="31"/>
  <c r="Z227" i="31"/>
  <c r="Z228" i="31"/>
  <c r="Z229" i="31"/>
  <c r="Z230" i="31"/>
  <c r="Z231" i="31"/>
  <c r="Z232" i="31"/>
  <c r="Z233" i="31"/>
  <c r="Z234" i="31"/>
  <c r="Z235" i="31"/>
  <c r="Z236" i="31"/>
  <c r="Z237" i="31"/>
  <c r="Z238" i="31"/>
  <c r="Z239" i="31"/>
  <c r="Z240" i="31"/>
  <c r="Z241" i="31"/>
  <c r="Z242" i="31"/>
  <c r="Z243" i="31"/>
  <c r="Z244" i="31"/>
  <c r="Z245" i="31"/>
  <c r="Z246" i="31"/>
  <c r="Z247" i="31"/>
  <c r="Z248" i="31"/>
  <c r="Z249" i="31"/>
  <c r="Z250" i="31"/>
  <c r="Z251" i="31"/>
  <c r="Z252" i="31"/>
  <c r="Z253" i="31"/>
  <c r="Z254" i="31"/>
  <c r="Z255" i="31"/>
  <c r="Z256" i="31"/>
  <c r="Z257" i="31"/>
  <c r="Z258" i="31"/>
  <c r="Z259" i="31"/>
  <c r="Z260" i="31"/>
  <c r="Z261" i="31"/>
  <c r="Z262" i="31"/>
  <c r="Z263" i="31"/>
  <c r="Z264" i="31"/>
  <c r="Z265" i="31"/>
  <c r="Z266" i="31"/>
  <c r="Z267" i="31"/>
  <c r="Z268" i="31"/>
  <c r="Z269" i="31"/>
  <c r="Z270" i="31"/>
  <c r="Z271" i="31"/>
  <c r="Z272" i="31"/>
  <c r="Z273" i="31"/>
  <c r="Z274" i="31"/>
  <c r="Z275" i="31"/>
  <c r="Z276" i="31"/>
  <c r="Z277" i="31"/>
  <c r="Z278" i="31"/>
  <c r="Z279" i="31"/>
  <c r="Z280" i="31"/>
  <c r="Z281" i="31"/>
  <c r="Z282" i="31"/>
  <c r="Z283" i="31"/>
  <c r="Z284" i="31"/>
  <c r="Z285" i="31"/>
  <c r="Z286" i="31"/>
  <c r="Z287" i="31"/>
  <c r="Z288" i="31"/>
  <c r="Z289" i="31"/>
  <c r="Z290" i="31"/>
  <c r="Z291" i="31"/>
  <c r="Z292" i="31"/>
  <c r="Z293" i="31"/>
  <c r="Z294" i="31"/>
  <c r="Z295" i="31"/>
  <c r="Z296" i="31"/>
  <c r="Z297" i="31"/>
  <c r="Z298" i="31"/>
  <c r="Z299" i="31"/>
  <c r="Z300" i="31"/>
  <c r="Z301" i="31"/>
  <c r="Z302" i="31"/>
  <c r="Z303" i="31"/>
  <c r="Z304" i="31"/>
  <c r="Z305" i="31"/>
  <c r="Z306" i="31"/>
  <c r="Z307" i="31"/>
  <c r="Z308" i="31"/>
  <c r="Z309" i="31"/>
  <c r="Z310" i="31"/>
  <c r="Z311" i="31"/>
  <c r="Z312" i="31"/>
  <c r="Z313" i="31"/>
  <c r="Z314" i="31"/>
  <c r="Z315" i="31"/>
  <c r="Z316" i="31"/>
  <c r="Z317" i="31"/>
  <c r="Z318" i="31"/>
  <c r="Z319" i="31"/>
  <c r="Z320" i="31"/>
  <c r="Z321" i="31"/>
  <c r="Z322" i="31"/>
  <c r="Z323" i="31"/>
  <c r="Z324" i="31"/>
  <c r="Z325" i="31"/>
  <c r="Z326" i="31"/>
  <c r="Z327" i="31"/>
  <c r="Z328" i="31"/>
  <c r="Z329" i="31"/>
  <c r="Z330" i="31"/>
  <c r="Z331" i="31"/>
  <c r="Z332" i="31"/>
  <c r="Z333" i="31"/>
  <c r="Z334" i="31"/>
  <c r="Z335" i="31"/>
  <c r="Z336" i="31"/>
  <c r="Z337" i="31"/>
  <c r="Z338" i="31"/>
  <c r="Z339" i="31"/>
  <c r="Z340" i="31"/>
  <c r="Z341" i="31"/>
  <c r="Z342" i="31"/>
  <c r="Z343" i="31"/>
  <c r="Z344" i="31"/>
  <c r="Z345" i="31"/>
  <c r="Z346" i="31"/>
  <c r="Z347" i="31"/>
  <c r="Z348" i="31"/>
  <c r="Z349" i="31"/>
  <c r="Z350" i="31"/>
  <c r="Z351" i="31"/>
  <c r="Z352" i="31"/>
  <c r="Z353" i="31"/>
  <c r="Z354" i="31"/>
  <c r="Z355" i="31"/>
  <c r="Z356" i="31"/>
  <c r="Z357" i="31"/>
  <c r="Z358" i="31"/>
  <c r="Z359" i="31"/>
  <c r="Z360" i="31"/>
  <c r="Z361" i="31"/>
  <c r="Z362" i="31"/>
  <c r="Z363" i="31"/>
  <c r="Z364" i="31"/>
  <c r="Z365" i="31"/>
  <c r="Z366" i="31"/>
  <c r="Z367" i="31"/>
  <c r="Z368" i="31"/>
  <c r="Z369" i="31"/>
  <c r="Z370" i="31"/>
  <c r="Z371" i="31"/>
  <c r="Z372" i="31"/>
  <c r="Z373" i="31"/>
  <c r="Z374" i="31"/>
  <c r="Z375" i="31"/>
  <c r="Z376" i="31"/>
  <c r="Z377" i="31"/>
  <c r="Z378" i="31"/>
  <c r="Z379" i="31"/>
  <c r="Z380" i="31"/>
  <c r="Z381" i="31"/>
  <c r="Z382" i="31"/>
  <c r="Z383" i="31"/>
  <c r="Z384" i="31"/>
  <c r="Z385" i="31"/>
  <c r="Z386" i="31"/>
  <c r="Z387" i="31"/>
  <c r="Z388" i="31"/>
  <c r="Z389" i="31"/>
  <c r="Z390" i="31"/>
  <c r="Z391" i="31"/>
  <c r="Z392" i="31"/>
  <c r="Z393" i="31"/>
  <c r="Z394" i="31"/>
  <c r="Z395" i="31"/>
  <c r="Z396" i="31"/>
  <c r="Z397" i="31"/>
  <c r="Z398" i="31"/>
  <c r="Z399" i="31"/>
  <c r="Z400" i="31"/>
  <c r="Z401" i="31"/>
  <c r="Z402" i="31"/>
  <c r="Z403" i="31"/>
  <c r="Z404" i="31"/>
  <c r="Z405" i="31"/>
  <c r="Z406" i="31"/>
  <c r="Z407" i="31"/>
  <c r="Z408" i="31"/>
  <c r="Z409" i="31"/>
  <c r="Z410" i="31"/>
  <c r="Z411" i="31"/>
  <c r="Z412" i="31"/>
  <c r="Z413" i="31"/>
  <c r="Z414" i="31"/>
  <c r="Z415" i="31"/>
  <c r="Z416" i="31"/>
  <c r="Z417" i="31"/>
  <c r="Z418" i="31"/>
  <c r="Z419" i="31"/>
  <c r="Z420" i="31"/>
  <c r="Z421" i="31"/>
  <c r="Z422" i="31"/>
  <c r="Z423" i="31"/>
  <c r="Z424" i="31"/>
  <c r="Z425" i="31"/>
  <c r="Z426" i="31"/>
  <c r="Z427" i="31"/>
  <c r="Z428" i="31"/>
  <c r="Z429" i="31"/>
  <c r="Z430" i="31"/>
  <c r="Z431" i="31"/>
  <c r="Z432" i="31"/>
  <c r="Z433" i="31"/>
  <c r="Z434" i="31"/>
  <c r="Z435" i="31"/>
  <c r="Z436" i="31"/>
  <c r="Z437" i="31"/>
  <c r="Z438" i="31"/>
  <c r="Z439" i="31"/>
  <c r="Z440" i="31"/>
  <c r="Z441" i="31"/>
  <c r="Z442" i="31"/>
  <c r="Z443" i="31"/>
  <c r="Z444" i="31"/>
  <c r="Z445" i="31"/>
  <c r="Z446" i="31"/>
  <c r="Z447" i="31"/>
  <c r="Z448" i="31"/>
  <c r="Z449" i="31"/>
  <c r="Z450" i="31"/>
  <c r="Z451" i="31"/>
  <c r="Z452" i="31"/>
  <c r="Z453" i="31"/>
  <c r="Z454" i="31"/>
  <c r="Z455" i="31"/>
  <c r="Z456" i="31"/>
  <c r="Z457" i="31"/>
  <c r="Z458" i="31"/>
  <c r="Z459" i="31"/>
  <c r="Z460" i="31"/>
  <c r="Z461" i="31"/>
  <c r="Z462" i="31"/>
  <c r="Z463" i="31"/>
  <c r="Z464" i="31"/>
  <c r="Z465" i="31"/>
  <c r="Z466" i="31"/>
  <c r="Z467" i="31"/>
  <c r="Z468" i="31"/>
  <c r="Z469" i="31"/>
  <c r="Z470" i="31"/>
  <c r="Z471" i="31"/>
  <c r="Z472" i="31"/>
  <c r="Z473" i="31"/>
  <c r="Z474" i="31"/>
  <c r="Z475" i="31"/>
  <c r="Z476" i="31"/>
  <c r="Z477" i="31"/>
  <c r="Z478" i="31"/>
  <c r="Z479" i="31"/>
  <c r="Z480" i="31"/>
  <c r="Z481" i="31"/>
  <c r="Z482" i="31"/>
  <c r="Z483" i="31"/>
  <c r="Z484" i="31"/>
  <c r="Z485" i="31"/>
  <c r="Z486" i="31"/>
  <c r="Z487" i="31"/>
  <c r="Z488" i="31"/>
  <c r="Z489" i="31"/>
  <c r="Z490" i="31"/>
  <c r="Z491" i="31"/>
  <c r="Z492" i="31"/>
  <c r="Z493" i="31"/>
  <c r="Z494" i="31"/>
  <c r="Z495" i="31"/>
  <c r="Z496" i="31"/>
  <c r="Z497" i="31"/>
  <c r="Z498" i="31"/>
  <c r="Z499" i="31"/>
  <c r="Z500" i="31"/>
  <c r="Z501" i="31"/>
  <c r="Z502" i="31"/>
  <c r="Z503" i="31"/>
  <c r="Z504" i="31"/>
  <c r="Z505" i="31"/>
  <c r="Z506" i="31"/>
  <c r="Z507" i="31"/>
  <c r="Z508" i="31"/>
  <c r="Z509" i="31"/>
  <c r="Z510" i="31"/>
  <c r="Z511" i="31"/>
  <c r="Z512" i="31"/>
  <c r="Z513" i="31"/>
  <c r="Z514" i="31"/>
  <c r="Z515" i="31"/>
  <c r="Z516" i="31"/>
  <c r="Z517" i="31"/>
  <c r="Z518" i="31"/>
  <c r="Z519" i="31"/>
  <c r="Z520" i="31"/>
  <c r="Z521" i="31"/>
  <c r="Z522" i="31"/>
  <c r="Z523" i="31"/>
  <c r="Z524" i="31"/>
  <c r="Z525" i="31"/>
  <c r="Z526" i="31"/>
  <c r="Z527" i="31"/>
  <c r="Z528" i="31"/>
  <c r="Z529" i="31"/>
  <c r="Z530" i="31"/>
  <c r="Z531" i="31"/>
  <c r="Z532" i="31"/>
  <c r="Z533" i="31"/>
  <c r="Z534" i="31"/>
  <c r="Z535" i="31"/>
  <c r="Z536" i="31"/>
  <c r="Z537" i="31"/>
  <c r="Z538" i="31"/>
  <c r="Z539" i="31"/>
  <c r="Z540" i="31"/>
  <c r="Z541" i="31"/>
  <c r="Z542" i="31"/>
  <c r="Z543" i="31"/>
  <c r="Z544" i="31"/>
  <c r="Z545" i="31"/>
  <c r="Z546" i="31"/>
  <c r="Z547" i="31"/>
  <c r="Z548" i="31"/>
  <c r="Z549" i="31"/>
  <c r="Z550" i="31"/>
  <c r="Z551" i="31"/>
  <c r="Z552" i="31"/>
  <c r="Z553" i="31"/>
  <c r="Z554" i="31"/>
  <c r="Z555" i="31"/>
  <c r="Z556" i="31"/>
  <c r="Z557" i="31"/>
  <c r="Z558" i="31"/>
  <c r="Z559" i="31"/>
  <c r="Z560" i="31"/>
  <c r="Z561" i="31"/>
  <c r="Z562" i="31"/>
  <c r="Z563" i="31"/>
  <c r="Z564" i="31"/>
  <c r="Z565" i="31"/>
  <c r="Z566" i="31"/>
  <c r="Z567" i="31"/>
  <c r="Z568" i="31"/>
  <c r="Z569" i="31"/>
  <c r="Z570" i="31"/>
  <c r="Z571" i="31"/>
  <c r="Z572" i="31"/>
  <c r="Z573" i="31"/>
  <c r="Z574" i="31"/>
  <c r="Z575" i="31"/>
  <c r="Z576" i="31"/>
  <c r="Z577" i="31"/>
  <c r="Z578" i="31"/>
  <c r="Z579" i="31"/>
  <c r="Z580" i="31"/>
  <c r="Z581" i="31"/>
  <c r="Z582" i="31"/>
  <c r="Z583" i="31"/>
  <c r="Z584" i="31"/>
  <c r="Z585" i="31"/>
  <c r="Z586" i="31"/>
  <c r="Z587" i="31"/>
  <c r="Z588" i="31"/>
  <c r="Z589" i="31"/>
  <c r="Z590" i="31"/>
  <c r="Z591" i="31"/>
  <c r="Z592" i="31"/>
  <c r="Z593" i="31"/>
  <c r="Z594" i="31"/>
  <c r="Z595" i="31"/>
  <c r="Z596" i="31"/>
  <c r="Z597" i="31"/>
  <c r="Z598" i="31"/>
  <c r="Z599" i="31"/>
  <c r="Z600" i="31"/>
  <c r="Z601" i="31"/>
  <c r="Z602" i="31"/>
  <c r="Z603" i="31"/>
  <c r="Z604" i="31"/>
  <c r="Z605" i="31"/>
  <c r="Z606" i="31"/>
  <c r="Z607" i="31"/>
  <c r="Z608" i="31"/>
  <c r="Z609" i="31"/>
  <c r="Z610" i="31"/>
  <c r="Z611" i="31"/>
  <c r="Z612" i="31"/>
  <c r="Z613" i="31"/>
  <c r="Z614" i="31"/>
  <c r="Z615" i="31"/>
  <c r="Z616" i="31"/>
  <c r="Z617" i="31"/>
  <c r="Z618" i="31"/>
  <c r="Z619" i="31"/>
  <c r="Z620" i="31"/>
  <c r="Z621" i="31"/>
  <c r="Z622" i="31"/>
  <c r="Z623" i="31"/>
  <c r="Z624" i="31"/>
  <c r="Z625" i="31"/>
  <c r="Z626" i="31"/>
  <c r="Z627" i="31"/>
  <c r="Z628" i="31"/>
  <c r="Z629" i="31"/>
  <c r="Z630" i="31"/>
  <c r="Z631" i="31"/>
  <c r="Z632" i="31"/>
  <c r="Z633" i="31"/>
  <c r="Z634" i="31"/>
  <c r="Z635" i="31"/>
  <c r="Z636" i="31"/>
  <c r="Z637" i="31"/>
  <c r="Z638" i="31"/>
  <c r="Z639" i="31"/>
  <c r="Z640" i="31"/>
  <c r="Z641" i="31"/>
  <c r="Z642" i="31"/>
  <c r="Z643" i="31"/>
  <c r="Z644" i="31"/>
  <c r="Z645" i="31"/>
  <c r="Z646" i="31"/>
  <c r="Z647" i="31"/>
  <c r="Z648" i="31"/>
  <c r="Z649" i="31"/>
  <c r="Z650" i="31"/>
  <c r="Z651" i="31"/>
  <c r="Z652" i="31"/>
  <c r="Z653" i="31"/>
  <c r="Z654" i="31"/>
  <c r="Z655" i="31"/>
  <c r="Z656" i="31"/>
  <c r="Z657" i="31"/>
  <c r="Z658" i="31"/>
  <c r="Z659" i="31"/>
  <c r="Z660" i="31"/>
  <c r="Z661" i="31"/>
  <c r="Z662" i="31"/>
  <c r="Z663" i="31"/>
  <c r="Z664" i="31"/>
  <c r="Z665" i="31"/>
  <c r="Z666" i="31"/>
  <c r="Z667" i="31"/>
  <c r="Z668" i="31"/>
  <c r="Z669" i="31"/>
  <c r="Z670" i="31"/>
  <c r="Z671" i="31"/>
  <c r="Z672" i="31"/>
  <c r="Z673" i="31"/>
  <c r="Z674" i="31"/>
  <c r="Z675" i="31"/>
  <c r="Z676" i="31"/>
  <c r="Z677" i="31"/>
  <c r="Z678" i="31"/>
  <c r="Z679" i="31"/>
  <c r="Z680" i="31"/>
  <c r="Z681" i="31"/>
  <c r="Z682" i="31"/>
  <c r="Z683" i="31"/>
  <c r="Z684" i="31"/>
  <c r="Z685" i="31"/>
  <c r="Z686" i="31"/>
  <c r="Z687" i="31"/>
  <c r="Z688" i="31"/>
  <c r="Z689" i="31"/>
  <c r="Z690" i="31"/>
  <c r="Z691" i="31"/>
  <c r="Z692" i="31"/>
  <c r="Z693" i="31"/>
  <c r="Z694" i="31"/>
  <c r="Z695" i="31"/>
  <c r="Z696" i="31"/>
  <c r="Z697" i="31"/>
  <c r="Z698" i="31"/>
  <c r="Z699" i="31"/>
  <c r="Z700" i="31"/>
  <c r="Z701" i="31"/>
  <c r="Z702" i="31"/>
  <c r="Z703" i="31"/>
  <c r="Z704" i="31"/>
  <c r="Z705" i="31"/>
  <c r="Z706" i="31"/>
  <c r="Z707" i="31"/>
  <c r="Z708" i="31"/>
  <c r="Z709" i="31"/>
  <c r="Z710" i="31"/>
  <c r="Z711" i="31"/>
  <c r="Z712" i="31"/>
  <c r="Z713" i="31"/>
  <c r="Z714" i="31"/>
  <c r="Z715" i="31"/>
  <c r="Z716" i="31"/>
  <c r="Z717" i="31"/>
  <c r="Z718" i="31"/>
  <c r="Z719" i="31"/>
  <c r="Z720" i="31"/>
  <c r="Z721" i="31"/>
  <c r="Z722" i="31"/>
  <c r="Z723" i="31"/>
  <c r="Z724" i="31"/>
  <c r="Z725" i="31"/>
  <c r="Z726" i="31"/>
  <c r="Z727" i="31"/>
  <c r="Z728" i="31"/>
  <c r="Z729" i="31"/>
  <c r="Z730" i="31"/>
  <c r="Z731" i="31"/>
  <c r="Z732" i="31"/>
  <c r="Z733" i="31"/>
  <c r="Z734" i="31"/>
  <c r="Z735" i="31"/>
  <c r="Z736" i="31"/>
  <c r="Z737" i="31"/>
  <c r="Z738" i="31"/>
  <c r="Z739" i="31"/>
  <c r="Z740" i="31"/>
  <c r="Z741" i="31"/>
  <c r="Z742" i="31"/>
  <c r="Z743" i="31"/>
  <c r="Z744" i="31"/>
  <c r="Z745" i="31"/>
  <c r="Z746" i="31"/>
  <c r="Z747" i="31"/>
  <c r="Z748" i="31"/>
  <c r="Z749" i="31"/>
  <c r="Z750" i="31"/>
  <c r="Z751" i="31"/>
  <c r="Z752" i="31"/>
  <c r="Z753" i="31"/>
  <c r="Z754" i="31"/>
  <c r="Z755" i="31"/>
  <c r="Z756" i="31"/>
  <c r="Z757" i="31"/>
  <c r="Z758" i="31"/>
  <c r="Z759" i="31"/>
  <c r="Z760" i="31"/>
  <c r="Z761" i="31"/>
  <c r="Z762" i="31"/>
  <c r="Z763" i="31"/>
  <c r="Z764" i="31"/>
  <c r="Z765" i="31"/>
  <c r="Z766" i="31"/>
  <c r="U180" i="31"/>
  <c r="U181" i="31"/>
  <c r="U182" i="31"/>
  <c r="U183" i="31"/>
  <c r="U184" i="31"/>
  <c r="U185" i="31"/>
  <c r="U186" i="31"/>
  <c r="U187" i="31"/>
  <c r="U188" i="31"/>
  <c r="U189" i="31"/>
  <c r="U190" i="31"/>
  <c r="U191" i="31"/>
  <c r="U192" i="31"/>
  <c r="U193" i="31"/>
  <c r="U194" i="31"/>
  <c r="U195" i="31"/>
  <c r="U196" i="31"/>
  <c r="U197" i="31"/>
  <c r="U198" i="31"/>
  <c r="U199" i="31"/>
  <c r="U200" i="31"/>
  <c r="U201" i="31"/>
  <c r="U202" i="31"/>
  <c r="U203" i="31"/>
  <c r="U204" i="31"/>
  <c r="U205" i="31"/>
  <c r="U206" i="31"/>
  <c r="U207" i="31"/>
  <c r="U208" i="31"/>
  <c r="U209" i="31"/>
  <c r="U210" i="31"/>
  <c r="U211" i="31"/>
  <c r="U212" i="31"/>
  <c r="U213" i="31"/>
  <c r="U214" i="31"/>
  <c r="U215" i="31"/>
  <c r="U216" i="31"/>
  <c r="U217" i="31"/>
  <c r="U218" i="31"/>
  <c r="U219" i="31"/>
  <c r="U220" i="31"/>
  <c r="U221" i="31"/>
  <c r="U222" i="31"/>
  <c r="U223" i="31"/>
  <c r="U224" i="31"/>
  <c r="U225" i="31"/>
  <c r="U226" i="31"/>
  <c r="U227" i="31"/>
  <c r="U228" i="31"/>
  <c r="U229" i="31"/>
  <c r="U230" i="31"/>
  <c r="U231" i="31"/>
  <c r="U232" i="31"/>
  <c r="U233" i="31"/>
  <c r="U234" i="31"/>
  <c r="U235" i="31"/>
  <c r="U236" i="31"/>
  <c r="U237" i="31"/>
  <c r="U238" i="31"/>
  <c r="U239" i="31"/>
  <c r="U240" i="31"/>
  <c r="U241" i="31"/>
  <c r="U242" i="31"/>
  <c r="U243" i="31"/>
  <c r="U244" i="31"/>
  <c r="U245" i="31"/>
  <c r="U246" i="31"/>
  <c r="U247" i="31"/>
  <c r="U248" i="31"/>
  <c r="U249" i="31"/>
  <c r="U250" i="31"/>
  <c r="U251" i="31"/>
  <c r="U252" i="31"/>
  <c r="U253" i="31"/>
  <c r="U254" i="31"/>
  <c r="U255" i="31"/>
  <c r="U256" i="31"/>
  <c r="U257" i="31"/>
  <c r="U258" i="31"/>
  <c r="U259" i="31"/>
  <c r="U260" i="31"/>
  <c r="U261" i="31"/>
  <c r="U262" i="31"/>
  <c r="U263" i="31"/>
  <c r="U264" i="31"/>
  <c r="U265" i="31"/>
  <c r="U266" i="31"/>
  <c r="U267" i="31"/>
  <c r="U268" i="31"/>
  <c r="U269" i="31"/>
  <c r="U270" i="31"/>
  <c r="U271" i="31"/>
  <c r="U272" i="31"/>
  <c r="U273" i="31"/>
  <c r="U274" i="31"/>
  <c r="U275" i="31"/>
  <c r="U276" i="31"/>
  <c r="U277" i="31"/>
  <c r="U278" i="31"/>
  <c r="U279" i="31"/>
  <c r="U280" i="31"/>
  <c r="U281" i="31"/>
  <c r="U282" i="31"/>
  <c r="U283" i="31"/>
  <c r="U284" i="31"/>
  <c r="U285" i="31"/>
  <c r="U286" i="31"/>
  <c r="U287" i="31"/>
  <c r="U288" i="31"/>
  <c r="U289" i="31"/>
  <c r="U290" i="31"/>
  <c r="U291" i="31"/>
  <c r="U292" i="31"/>
  <c r="U293" i="31"/>
  <c r="U294" i="31"/>
  <c r="U295" i="31"/>
  <c r="U296" i="31"/>
  <c r="U297" i="31"/>
  <c r="U298" i="31"/>
  <c r="U299" i="31"/>
  <c r="U300" i="31"/>
  <c r="U301" i="31"/>
  <c r="U302" i="31"/>
  <c r="U303" i="31"/>
  <c r="U304" i="31"/>
  <c r="U305" i="31"/>
  <c r="U306" i="31"/>
  <c r="U307" i="31"/>
  <c r="U308" i="31"/>
  <c r="U309" i="31"/>
  <c r="U310" i="31"/>
  <c r="U311" i="31"/>
  <c r="U312" i="31"/>
  <c r="U313" i="31"/>
  <c r="U314" i="31"/>
  <c r="U315" i="31"/>
  <c r="U316" i="31"/>
  <c r="U317" i="31"/>
  <c r="U318" i="31"/>
  <c r="U319" i="31"/>
  <c r="U320" i="31"/>
  <c r="U321" i="31"/>
  <c r="U322" i="31"/>
  <c r="U323" i="31"/>
  <c r="U324" i="31"/>
  <c r="U325" i="31"/>
  <c r="U326" i="31"/>
  <c r="U327" i="31"/>
  <c r="U328" i="31"/>
  <c r="U329" i="31"/>
  <c r="U330" i="31"/>
  <c r="U331" i="31"/>
  <c r="U332" i="31"/>
  <c r="U333" i="31"/>
  <c r="U334" i="31"/>
  <c r="U335" i="31"/>
  <c r="U336" i="31"/>
  <c r="U337" i="31"/>
  <c r="U338" i="31"/>
  <c r="U339" i="31"/>
  <c r="U340" i="31"/>
  <c r="U341" i="31"/>
  <c r="U342" i="31"/>
  <c r="U343" i="31"/>
  <c r="U344" i="31"/>
  <c r="U345" i="31"/>
  <c r="U346" i="31"/>
  <c r="U347" i="31"/>
  <c r="U348" i="31"/>
  <c r="U349" i="31"/>
  <c r="U350" i="31"/>
  <c r="U351" i="31"/>
  <c r="U352" i="31"/>
  <c r="U353" i="31"/>
  <c r="U354" i="31"/>
  <c r="U355" i="31"/>
  <c r="U356" i="31"/>
  <c r="U357" i="31"/>
  <c r="U358" i="31"/>
  <c r="U359" i="31"/>
  <c r="U360" i="31"/>
  <c r="U361" i="31"/>
  <c r="U362" i="31"/>
  <c r="U363" i="31"/>
  <c r="U364" i="31"/>
  <c r="U365" i="31"/>
  <c r="U366" i="31"/>
  <c r="U367" i="31"/>
  <c r="U368" i="31"/>
  <c r="U369" i="31"/>
  <c r="U370" i="31"/>
  <c r="U371" i="31"/>
  <c r="U372" i="31"/>
  <c r="U373" i="31"/>
  <c r="U374" i="31"/>
  <c r="U375" i="31"/>
  <c r="U376" i="31"/>
  <c r="U377" i="31"/>
  <c r="U378" i="31"/>
  <c r="U379" i="31"/>
  <c r="U380" i="31"/>
  <c r="U381" i="31"/>
  <c r="U382" i="31"/>
  <c r="U383" i="31"/>
  <c r="U384" i="31"/>
  <c r="U385" i="31"/>
  <c r="U386" i="31"/>
  <c r="U387" i="31"/>
  <c r="U388" i="31"/>
  <c r="U389" i="31"/>
  <c r="U390" i="31"/>
  <c r="U391" i="31"/>
  <c r="U392" i="31"/>
  <c r="U393" i="31"/>
  <c r="U394" i="31"/>
  <c r="U395" i="31"/>
  <c r="U396" i="31"/>
  <c r="U397" i="31"/>
  <c r="U398" i="31"/>
  <c r="U399" i="31"/>
  <c r="U400" i="31"/>
  <c r="U401" i="31"/>
  <c r="U402" i="31"/>
  <c r="U403" i="31"/>
  <c r="U404" i="31"/>
  <c r="U405" i="31"/>
  <c r="U406" i="31"/>
  <c r="U407" i="31"/>
  <c r="U408" i="31"/>
  <c r="U409" i="31"/>
  <c r="U410" i="31"/>
  <c r="U411" i="31"/>
  <c r="U412" i="31"/>
  <c r="U413" i="31"/>
  <c r="U414" i="31"/>
  <c r="U415" i="31"/>
  <c r="U416" i="31"/>
  <c r="U417" i="31"/>
  <c r="U418" i="31"/>
  <c r="U419" i="31"/>
  <c r="U420" i="31"/>
  <c r="U421" i="31"/>
  <c r="U422" i="31"/>
  <c r="U423" i="31"/>
  <c r="U424" i="31"/>
  <c r="U425" i="31"/>
  <c r="U426" i="31"/>
  <c r="U427" i="31"/>
  <c r="U428" i="31"/>
  <c r="U429" i="31"/>
  <c r="U430" i="31"/>
  <c r="U431" i="31"/>
  <c r="U432" i="31"/>
  <c r="U433" i="31"/>
  <c r="U434" i="31"/>
  <c r="U435" i="31"/>
  <c r="U436" i="31"/>
  <c r="U437" i="31"/>
  <c r="U438" i="31"/>
  <c r="U439" i="31"/>
  <c r="U440" i="31"/>
  <c r="U441" i="31"/>
  <c r="U442" i="31"/>
  <c r="U443" i="31"/>
  <c r="U444" i="31"/>
  <c r="U445" i="31"/>
  <c r="U446" i="31"/>
  <c r="U447" i="31"/>
  <c r="U448" i="31"/>
  <c r="U449" i="31"/>
  <c r="U450" i="31"/>
  <c r="U451" i="31"/>
  <c r="U452" i="31"/>
  <c r="U453" i="31"/>
  <c r="U454" i="31"/>
  <c r="U455" i="31"/>
  <c r="U456" i="31"/>
  <c r="U457" i="31"/>
  <c r="U458" i="31"/>
  <c r="U459" i="31"/>
  <c r="U460" i="31"/>
  <c r="U461" i="31"/>
  <c r="U462" i="31"/>
  <c r="U463" i="31"/>
  <c r="U464" i="31"/>
  <c r="U465" i="31"/>
  <c r="U466" i="31"/>
  <c r="U467" i="31"/>
  <c r="U468" i="31"/>
  <c r="U469" i="31"/>
  <c r="U470" i="31"/>
  <c r="U471" i="31"/>
  <c r="U472" i="31"/>
  <c r="U473" i="31"/>
  <c r="U474" i="31"/>
  <c r="U475" i="31"/>
  <c r="U476" i="31"/>
  <c r="U477" i="31"/>
  <c r="U478" i="31"/>
  <c r="U479" i="31"/>
  <c r="U480" i="31"/>
  <c r="U481" i="31"/>
  <c r="U482" i="31"/>
  <c r="U483" i="31"/>
  <c r="U484" i="31"/>
  <c r="U485" i="31"/>
  <c r="U486" i="31"/>
  <c r="U487" i="31"/>
  <c r="U488" i="31"/>
  <c r="U489" i="31"/>
  <c r="U490" i="31"/>
  <c r="U491" i="31"/>
  <c r="U492" i="31"/>
  <c r="U493" i="31"/>
  <c r="U494" i="31"/>
  <c r="U495" i="31"/>
  <c r="U496" i="31"/>
  <c r="U497" i="31"/>
  <c r="U498" i="31"/>
  <c r="U499" i="31"/>
  <c r="U500" i="31"/>
  <c r="U501" i="31"/>
  <c r="U502" i="31"/>
  <c r="U503" i="31"/>
  <c r="U504" i="31"/>
  <c r="U505" i="31"/>
  <c r="U506" i="31"/>
  <c r="U507" i="31"/>
  <c r="U508" i="31"/>
  <c r="U509" i="31"/>
  <c r="U510" i="31"/>
  <c r="U511" i="31"/>
  <c r="U512" i="31"/>
  <c r="U513" i="31"/>
  <c r="U514" i="31"/>
  <c r="U515" i="31"/>
  <c r="U516" i="31"/>
  <c r="U517" i="31"/>
  <c r="U518" i="31"/>
  <c r="U519" i="31"/>
  <c r="U520" i="31"/>
  <c r="U521" i="31"/>
  <c r="U522" i="31"/>
  <c r="U523" i="31"/>
  <c r="U524" i="31"/>
  <c r="U525" i="31"/>
  <c r="U526" i="31"/>
  <c r="U527" i="31"/>
  <c r="U528" i="31"/>
  <c r="U529" i="31"/>
  <c r="U530" i="31"/>
  <c r="U531" i="31"/>
  <c r="U532" i="31"/>
  <c r="U533" i="31"/>
  <c r="U534" i="31"/>
  <c r="U535" i="31"/>
  <c r="U536" i="31"/>
  <c r="U537" i="31"/>
  <c r="U538" i="31"/>
  <c r="U539" i="31"/>
  <c r="U540" i="31"/>
  <c r="U541" i="31"/>
  <c r="U542" i="31"/>
  <c r="U543" i="31"/>
  <c r="U544" i="31"/>
  <c r="U545" i="31"/>
  <c r="U546" i="31"/>
  <c r="U547" i="31"/>
  <c r="U548" i="31"/>
  <c r="U549" i="31"/>
  <c r="U550" i="31"/>
  <c r="U551" i="31"/>
  <c r="U552" i="31"/>
  <c r="U553" i="31"/>
  <c r="U554" i="31"/>
  <c r="U555" i="31"/>
  <c r="U556" i="31"/>
  <c r="U557" i="31"/>
  <c r="U558" i="31"/>
  <c r="U559" i="31"/>
  <c r="U560" i="31"/>
  <c r="U561" i="31"/>
  <c r="U562" i="31"/>
  <c r="U563" i="31"/>
  <c r="U564" i="31"/>
  <c r="U565" i="31"/>
  <c r="U566" i="31"/>
  <c r="U567" i="31"/>
  <c r="U568" i="31"/>
  <c r="U569" i="31"/>
  <c r="U570" i="31"/>
  <c r="U571" i="31"/>
  <c r="U572" i="31"/>
  <c r="U573" i="31"/>
  <c r="U574" i="31"/>
  <c r="U575" i="31"/>
  <c r="U576" i="31"/>
  <c r="U577" i="31"/>
  <c r="U578" i="31"/>
  <c r="U579" i="31"/>
  <c r="U580" i="31"/>
  <c r="U581" i="31"/>
  <c r="U582" i="31"/>
  <c r="U583" i="31"/>
  <c r="U584" i="31"/>
  <c r="U585" i="31"/>
  <c r="U586" i="31"/>
  <c r="U587" i="31"/>
  <c r="U588" i="31"/>
  <c r="U589" i="31"/>
  <c r="U590" i="31"/>
  <c r="U591" i="31"/>
  <c r="U592" i="31"/>
  <c r="U593" i="31"/>
  <c r="U594" i="31"/>
  <c r="U595" i="31"/>
  <c r="U596" i="31"/>
  <c r="U597" i="31"/>
  <c r="U598" i="31"/>
  <c r="U599" i="31"/>
  <c r="U600" i="31"/>
  <c r="U601" i="31"/>
  <c r="U602" i="31"/>
  <c r="U603" i="31"/>
  <c r="U604" i="31"/>
  <c r="U605" i="31"/>
  <c r="U606" i="31"/>
  <c r="U607" i="31"/>
  <c r="U608" i="31"/>
  <c r="U609" i="31"/>
  <c r="U610" i="31"/>
  <c r="U611" i="31"/>
  <c r="U612" i="31"/>
  <c r="U613" i="31"/>
  <c r="U614" i="31"/>
  <c r="U615" i="31"/>
  <c r="U616" i="31"/>
  <c r="U617" i="31"/>
  <c r="U618" i="31"/>
  <c r="U619" i="31"/>
  <c r="U620" i="31"/>
  <c r="U621" i="31"/>
  <c r="U622" i="31"/>
  <c r="U623" i="31"/>
  <c r="U624" i="31"/>
  <c r="U625" i="31"/>
  <c r="U626" i="31"/>
  <c r="U627" i="31"/>
  <c r="U628" i="31"/>
  <c r="U629" i="31"/>
  <c r="U630" i="31"/>
  <c r="U631" i="31"/>
  <c r="U632" i="31"/>
  <c r="U633" i="31"/>
  <c r="U634" i="31"/>
  <c r="U635" i="31"/>
  <c r="U636" i="31"/>
  <c r="U637" i="31"/>
  <c r="U638" i="31"/>
  <c r="U639" i="31"/>
  <c r="U640" i="31"/>
  <c r="U641" i="31"/>
  <c r="U642" i="31"/>
  <c r="U643" i="31"/>
  <c r="U644" i="31"/>
  <c r="U645" i="31"/>
  <c r="U646" i="31"/>
  <c r="U647" i="31"/>
  <c r="U648" i="31"/>
  <c r="U649" i="31"/>
  <c r="U650" i="31"/>
  <c r="U651" i="31"/>
  <c r="U652" i="31"/>
  <c r="U653" i="31"/>
  <c r="U654" i="31"/>
  <c r="U655" i="31"/>
  <c r="U656" i="31"/>
  <c r="U657" i="31"/>
  <c r="U658" i="31"/>
  <c r="U659" i="31"/>
  <c r="U660" i="31"/>
  <c r="U661" i="31"/>
  <c r="U662" i="31"/>
  <c r="U663" i="31"/>
  <c r="U664" i="31"/>
  <c r="U665" i="31"/>
  <c r="U666" i="31"/>
  <c r="U667" i="31"/>
  <c r="U668" i="31"/>
  <c r="U669" i="31"/>
  <c r="U670" i="31"/>
  <c r="U671" i="31"/>
  <c r="U672" i="31"/>
  <c r="U673" i="31"/>
  <c r="U674" i="31"/>
  <c r="U675" i="31"/>
  <c r="U676" i="31"/>
  <c r="U677" i="31"/>
  <c r="U678" i="31"/>
  <c r="U679" i="31"/>
  <c r="U680" i="31"/>
  <c r="U681" i="31"/>
  <c r="U682" i="31"/>
  <c r="U683" i="31"/>
  <c r="U684" i="31"/>
  <c r="U685" i="31"/>
  <c r="U686" i="31"/>
  <c r="U687" i="31"/>
  <c r="U688" i="31"/>
  <c r="U689" i="31"/>
  <c r="U690" i="31"/>
  <c r="U691" i="31"/>
  <c r="U692" i="31"/>
  <c r="U693" i="31"/>
  <c r="U694" i="31"/>
  <c r="U695" i="31"/>
  <c r="U696" i="31"/>
  <c r="U697" i="31"/>
  <c r="U698" i="31"/>
  <c r="U699" i="31"/>
  <c r="U700" i="31"/>
  <c r="U701" i="31"/>
  <c r="U702" i="31"/>
  <c r="U703" i="31"/>
  <c r="U704" i="31"/>
  <c r="U705" i="31"/>
  <c r="U706" i="31"/>
  <c r="U707" i="31"/>
  <c r="U708" i="31"/>
  <c r="U709" i="31"/>
  <c r="U710" i="31"/>
  <c r="U711" i="31"/>
  <c r="U712" i="31"/>
  <c r="U713" i="31"/>
  <c r="U714" i="31"/>
  <c r="U715" i="31"/>
  <c r="U716" i="31"/>
  <c r="U717" i="31"/>
  <c r="U718" i="31"/>
  <c r="U719" i="31"/>
  <c r="U720" i="31"/>
  <c r="U721" i="31"/>
  <c r="U722" i="31"/>
  <c r="U723" i="31"/>
  <c r="U724" i="31"/>
  <c r="U725" i="31"/>
  <c r="U726" i="31"/>
  <c r="U727" i="31"/>
  <c r="U728" i="31"/>
  <c r="U729" i="31"/>
  <c r="U730" i="31"/>
  <c r="U731" i="31"/>
  <c r="U732" i="31"/>
  <c r="U733" i="31"/>
  <c r="U734" i="31"/>
  <c r="U735" i="31"/>
  <c r="U736" i="31"/>
  <c r="U737" i="31"/>
  <c r="U738" i="31"/>
  <c r="U739" i="31"/>
  <c r="U740" i="31"/>
  <c r="U741" i="31"/>
  <c r="U742" i="31"/>
  <c r="U743" i="31"/>
  <c r="U744" i="31"/>
  <c r="U745" i="31"/>
  <c r="U746" i="31"/>
  <c r="U747" i="31"/>
  <c r="U748" i="31"/>
  <c r="U749" i="31"/>
  <c r="U750" i="31"/>
  <c r="U751" i="31"/>
  <c r="U752" i="31"/>
  <c r="U753" i="31"/>
  <c r="U754" i="31"/>
  <c r="U755" i="31"/>
  <c r="U756" i="31"/>
  <c r="U757" i="31"/>
  <c r="U758" i="31"/>
  <c r="U759" i="31"/>
  <c r="U760" i="31"/>
  <c r="U761" i="31"/>
  <c r="U762" i="31"/>
  <c r="U763" i="31"/>
  <c r="U764" i="31"/>
  <c r="U765" i="31"/>
  <c r="U766" i="31"/>
  <c r="T180" i="31"/>
  <c r="T181" i="31"/>
  <c r="T182" i="31"/>
  <c r="T183" i="31"/>
  <c r="T184" i="31"/>
  <c r="T185" i="31"/>
  <c r="T186" i="31"/>
  <c r="T187" i="31"/>
  <c r="T188" i="31"/>
  <c r="T189" i="31"/>
  <c r="T190" i="31"/>
  <c r="T191" i="31"/>
  <c r="T192" i="31"/>
  <c r="T193" i="31"/>
  <c r="T194" i="31"/>
  <c r="T195" i="31"/>
  <c r="T196" i="31"/>
  <c r="T197" i="31"/>
  <c r="T198" i="31"/>
  <c r="T199" i="31"/>
  <c r="T200" i="31"/>
  <c r="T201" i="31"/>
  <c r="T202" i="31"/>
  <c r="T203" i="31"/>
  <c r="T204" i="31"/>
  <c r="T205" i="31"/>
  <c r="T206" i="31"/>
  <c r="T207" i="31"/>
  <c r="T208" i="31"/>
  <c r="T209" i="31"/>
  <c r="T210" i="31"/>
  <c r="T211" i="31"/>
  <c r="T212" i="31"/>
  <c r="T213" i="31"/>
  <c r="T214" i="31"/>
  <c r="T215" i="31"/>
  <c r="T216" i="31"/>
  <c r="T217" i="31"/>
  <c r="T218" i="31"/>
  <c r="T219" i="31"/>
  <c r="T220" i="31"/>
  <c r="T221" i="31"/>
  <c r="T222" i="31"/>
  <c r="T223" i="31"/>
  <c r="T224" i="31"/>
  <c r="T225" i="31"/>
  <c r="T226" i="31"/>
  <c r="T227" i="31"/>
  <c r="T228" i="31"/>
  <c r="T229" i="31"/>
  <c r="T230" i="31"/>
  <c r="T231" i="31"/>
  <c r="T232" i="31"/>
  <c r="T233" i="31"/>
  <c r="T234" i="31"/>
  <c r="T235" i="31"/>
  <c r="T236" i="31"/>
  <c r="T237" i="31"/>
  <c r="T238" i="31"/>
  <c r="T239" i="31"/>
  <c r="T240" i="31"/>
  <c r="T241" i="31"/>
  <c r="T242" i="31"/>
  <c r="T243" i="31"/>
  <c r="T244" i="31"/>
  <c r="T245" i="31"/>
  <c r="T246" i="31"/>
  <c r="T247" i="31"/>
  <c r="T248" i="31"/>
  <c r="T249" i="31"/>
  <c r="T250" i="31"/>
  <c r="T251" i="31"/>
  <c r="T252" i="31"/>
  <c r="T253" i="31"/>
  <c r="T254" i="31"/>
  <c r="T255" i="31"/>
  <c r="T256" i="31"/>
  <c r="T257" i="31"/>
  <c r="T258" i="31"/>
  <c r="T259" i="31"/>
  <c r="T260" i="31"/>
  <c r="T261" i="31"/>
  <c r="T262" i="31"/>
  <c r="T263" i="31"/>
  <c r="T264" i="31"/>
  <c r="T265" i="31"/>
  <c r="T266" i="31"/>
  <c r="T267" i="31"/>
  <c r="T268" i="31"/>
  <c r="T269" i="31"/>
  <c r="T270" i="31"/>
  <c r="T271" i="31"/>
  <c r="T272" i="31"/>
  <c r="T273" i="31"/>
  <c r="T274" i="31"/>
  <c r="T275" i="31"/>
  <c r="T276" i="31"/>
  <c r="T277" i="31"/>
  <c r="T278" i="31"/>
  <c r="T279" i="31"/>
  <c r="T280" i="31"/>
  <c r="T281" i="31"/>
  <c r="T282" i="31"/>
  <c r="T283" i="31"/>
  <c r="T284" i="31"/>
  <c r="T285" i="31"/>
  <c r="T286" i="31"/>
  <c r="T287" i="31"/>
  <c r="T288" i="31"/>
  <c r="T289" i="31"/>
  <c r="T290" i="31"/>
  <c r="T291" i="31"/>
  <c r="T292" i="31"/>
  <c r="T293" i="31"/>
  <c r="T294" i="31"/>
  <c r="T295" i="31"/>
  <c r="T296" i="31"/>
  <c r="T297" i="31"/>
  <c r="T298" i="31"/>
  <c r="T299" i="31"/>
  <c r="T300" i="31"/>
  <c r="T301" i="31"/>
  <c r="T302" i="31"/>
  <c r="T303" i="31"/>
  <c r="T304" i="31"/>
  <c r="T305" i="31"/>
  <c r="T306" i="31"/>
  <c r="T307" i="31"/>
  <c r="T308" i="31"/>
  <c r="T309" i="31"/>
  <c r="T310" i="31"/>
  <c r="T311" i="31"/>
  <c r="T312" i="31"/>
  <c r="T313" i="31"/>
  <c r="T314" i="31"/>
  <c r="T315" i="31"/>
  <c r="T316" i="31"/>
  <c r="T317" i="31"/>
  <c r="T318" i="31"/>
  <c r="T319" i="31"/>
  <c r="T320" i="31"/>
  <c r="T321" i="31"/>
  <c r="T322" i="31"/>
  <c r="T323" i="31"/>
  <c r="T324" i="31"/>
  <c r="T325" i="31"/>
  <c r="T326" i="31"/>
  <c r="T327" i="31"/>
  <c r="T328" i="31"/>
  <c r="T329" i="31"/>
  <c r="T330" i="31"/>
  <c r="T331" i="31"/>
  <c r="T332" i="31"/>
  <c r="T333" i="31"/>
  <c r="T334" i="31"/>
  <c r="T335" i="31"/>
  <c r="T336" i="31"/>
  <c r="T337" i="31"/>
  <c r="T338" i="31"/>
  <c r="T339" i="31"/>
  <c r="T340" i="31"/>
  <c r="T341" i="31"/>
  <c r="T342" i="31"/>
  <c r="T343" i="31"/>
  <c r="T344" i="31"/>
  <c r="T345" i="31"/>
  <c r="T346" i="31"/>
  <c r="T347" i="31"/>
  <c r="T348" i="31"/>
  <c r="T349" i="31"/>
  <c r="T350" i="31"/>
  <c r="T351" i="31"/>
  <c r="T352" i="31"/>
  <c r="T353" i="31"/>
  <c r="T354" i="31"/>
  <c r="T355" i="31"/>
  <c r="T356" i="31"/>
  <c r="T357" i="31"/>
  <c r="T358" i="31"/>
  <c r="T359" i="31"/>
  <c r="T360" i="31"/>
  <c r="T361" i="31"/>
  <c r="T362" i="31"/>
  <c r="T363" i="31"/>
  <c r="T364" i="31"/>
  <c r="T365" i="31"/>
  <c r="T366" i="31"/>
  <c r="T367" i="31"/>
  <c r="T368" i="31"/>
  <c r="T369" i="31"/>
  <c r="T370" i="31"/>
  <c r="T371" i="31"/>
  <c r="T372" i="31"/>
  <c r="T373" i="31"/>
  <c r="T374" i="31"/>
  <c r="T375" i="31"/>
  <c r="T376" i="31"/>
  <c r="T377" i="31"/>
  <c r="T378" i="31"/>
  <c r="T379" i="31"/>
  <c r="T380" i="31"/>
  <c r="T381" i="31"/>
  <c r="T382" i="31"/>
  <c r="T383" i="31"/>
  <c r="T384" i="31"/>
  <c r="T385" i="31"/>
  <c r="T386" i="31"/>
  <c r="T387" i="31"/>
  <c r="T388" i="31"/>
  <c r="T389" i="31"/>
  <c r="T390" i="31"/>
  <c r="T391" i="31"/>
  <c r="T392" i="31"/>
  <c r="T393" i="31"/>
  <c r="T394" i="31"/>
  <c r="T395" i="31"/>
  <c r="T396" i="31"/>
  <c r="T397" i="31"/>
  <c r="T398" i="31"/>
  <c r="T399" i="31"/>
  <c r="T400" i="31"/>
  <c r="T401" i="31"/>
  <c r="T402" i="31"/>
  <c r="T403" i="31"/>
  <c r="T404" i="31"/>
  <c r="T405" i="31"/>
  <c r="T406" i="31"/>
  <c r="T407" i="31"/>
  <c r="T408" i="31"/>
  <c r="T409" i="31"/>
  <c r="T410" i="31"/>
  <c r="T411" i="31"/>
  <c r="T412" i="31"/>
  <c r="T413" i="31"/>
  <c r="T414" i="31"/>
  <c r="T415" i="31"/>
  <c r="T416" i="31"/>
  <c r="T417" i="31"/>
  <c r="T418" i="31"/>
  <c r="T419" i="31"/>
  <c r="T420" i="31"/>
  <c r="T421" i="31"/>
  <c r="T422" i="31"/>
  <c r="T423" i="31"/>
  <c r="T424" i="31"/>
  <c r="T425" i="31"/>
  <c r="T426" i="31"/>
  <c r="T427" i="31"/>
  <c r="T428" i="31"/>
  <c r="T429" i="31"/>
  <c r="T430" i="31"/>
  <c r="T431" i="31"/>
  <c r="T432" i="31"/>
  <c r="T433" i="31"/>
  <c r="T434" i="31"/>
  <c r="T435" i="31"/>
  <c r="T436" i="31"/>
  <c r="T437" i="31"/>
  <c r="T438" i="31"/>
  <c r="T439" i="31"/>
  <c r="T440" i="31"/>
  <c r="T441" i="31"/>
  <c r="T442" i="31"/>
  <c r="T443" i="31"/>
  <c r="T444" i="31"/>
  <c r="T445" i="31"/>
  <c r="T446" i="31"/>
  <c r="T447" i="31"/>
  <c r="T448" i="31"/>
  <c r="T449" i="31"/>
  <c r="T450" i="31"/>
  <c r="T451" i="31"/>
  <c r="T452" i="31"/>
  <c r="T453" i="31"/>
  <c r="T454" i="31"/>
  <c r="T455" i="31"/>
  <c r="T456" i="31"/>
  <c r="T457" i="31"/>
  <c r="T458" i="31"/>
  <c r="T459" i="31"/>
  <c r="T460" i="31"/>
  <c r="T461" i="31"/>
  <c r="T462" i="31"/>
  <c r="T463" i="31"/>
  <c r="T464" i="31"/>
  <c r="T465" i="31"/>
  <c r="T466" i="31"/>
  <c r="T467" i="31"/>
  <c r="T468" i="31"/>
  <c r="T469" i="31"/>
  <c r="T470" i="31"/>
  <c r="T471" i="31"/>
  <c r="T472" i="31"/>
  <c r="T473" i="31"/>
  <c r="T474" i="31"/>
  <c r="T475" i="31"/>
  <c r="T476" i="31"/>
  <c r="T477" i="31"/>
  <c r="T478" i="31"/>
  <c r="T479" i="31"/>
  <c r="T480" i="31"/>
  <c r="T481" i="31"/>
  <c r="T482" i="31"/>
  <c r="T483" i="31"/>
  <c r="T484" i="31"/>
  <c r="T485" i="31"/>
  <c r="T486" i="31"/>
  <c r="T487" i="31"/>
  <c r="T488" i="31"/>
  <c r="T489" i="31"/>
  <c r="T490" i="31"/>
  <c r="T491" i="31"/>
  <c r="T492" i="31"/>
  <c r="T493" i="31"/>
  <c r="T494" i="31"/>
  <c r="T495" i="31"/>
  <c r="T496" i="31"/>
  <c r="T497" i="31"/>
  <c r="T498" i="31"/>
  <c r="T499" i="31"/>
  <c r="T500" i="31"/>
  <c r="T501" i="31"/>
  <c r="T502" i="31"/>
  <c r="T503" i="31"/>
  <c r="T504" i="31"/>
  <c r="T505" i="31"/>
  <c r="T506" i="31"/>
  <c r="T507" i="31"/>
  <c r="T508" i="31"/>
  <c r="T509" i="31"/>
  <c r="T510" i="31"/>
  <c r="T511" i="31"/>
  <c r="T512" i="31"/>
  <c r="T513" i="31"/>
  <c r="T514" i="31"/>
  <c r="T515" i="31"/>
  <c r="T516" i="31"/>
  <c r="T517" i="31"/>
  <c r="T518" i="31"/>
  <c r="T519" i="31"/>
  <c r="T520" i="31"/>
  <c r="T521" i="31"/>
  <c r="T522" i="31"/>
  <c r="T523" i="31"/>
  <c r="T524" i="31"/>
  <c r="T525" i="31"/>
  <c r="T526" i="31"/>
  <c r="T527" i="31"/>
  <c r="T528" i="31"/>
  <c r="T529" i="31"/>
  <c r="T530" i="31"/>
  <c r="T531" i="31"/>
  <c r="T532" i="31"/>
  <c r="T533" i="31"/>
  <c r="T534" i="31"/>
  <c r="T535" i="31"/>
  <c r="T536" i="31"/>
  <c r="T537" i="31"/>
  <c r="T538" i="31"/>
  <c r="T539" i="31"/>
  <c r="T540" i="31"/>
  <c r="T541" i="31"/>
  <c r="T542" i="31"/>
  <c r="T543" i="31"/>
  <c r="T544" i="31"/>
  <c r="T545" i="31"/>
  <c r="T546" i="31"/>
  <c r="T547" i="31"/>
  <c r="T548" i="31"/>
  <c r="T549" i="31"/>
  <c r="T550" i="31"/>
  <c r="T551" i="31"/>
  <c r="T552" i="31"/>
  <c r="T553" i="31"/>
  <c r="T554" i="31"/>
  <c r="T555" i="31"/>
  <c r="T556" i="31"/>
  <c r="T557" i="31"/>
  <c r="T558" i="31"/>
  <c r="T559" i="31"/>
  <c r="T560" i="31"/>
  <c r="T561" i="31"/>
  <c r="T562" i="31"/>
  <c r="T563" i="31"/>
  <c r="T564" i="31"/>
  <c r="T565" i="31"/>
  <c r="T566" i="31"/>
  <c r="T567" i="31"/>
  <c r="T568" i="31"/>
  <c r="T569" i="31"/>
  <c r="T570" i="31"/>
  <c r="T571" i="31"/>
  <c r="T572" i="31"/>
  <c r="T573" i="31"/>
  <c r="T574" i="31"/>
  <c r="T575" i="31"/>
  <c r="T576" i="31"/>
  <c r="T577" i="31"/>
  <c r="T578" i="31"/>
  <c r="T579" i="31"/>
  <c r="T580" i="31"/>
  <c r="T581" i="31"/>
  <c r="T582" i="31"/>
  <c r="T583" i="31"/>
  <c r="T584" i="31"/>
  <c r="T585" i="31"/>
  <c r="T586" i="31"/>
  <c r="T587" i="31"/>
  <c r="T588" i="31"/>
  <c r="T589" i="31"/>
  <c r="T590" i="31"/>
  <c r="T591" i="31"/>
  <c r="T592" i="31"/>
  <c r="T593" i="31"/>
  <c r="T594" i="31"/>
  <c r="T595" i="31"/>
  <c r="T596" i="31"/>
  <c r="T597" i="31"/>
  <c r="T598" i="31"/>
  <c r="T599" i="31"/>
  <c r="T600" i="31"/>
  <c r="T601" i="31"/>
  <c r="T602" i="31"/>
  <c r="T603" i="31"/>
  <c r="T604" i="31"/>
  <c r="T605" i="31"/>
  <c r="T606" i="31"/>
  <c r="T607" i="31"/>
  <c r="T608" i="31"/>
  <c r="T609" i="31"/>
  <c r="T610" i="31"/>
  <c r="T611" i="31"/>
  <c r="T612" i="31"/>
  <c r="T613" i="31"/>
  <c r="T614" i="31"/>
  <c r="T615" i="31"/>
  <c r="T616" i="31"/>
  <c r="T617" i="31"/>
  <c r="T618" i="31"/>
  <c r="T619" i="31"/>
  <c r="T620" i="31"/>
  <c r="T621" i="31"/>
  <c r="T622" i="31"/>
  <c r="T623" i="31"/>
  <c r="T624" i="31"/>
  <c r="T625" i="31"/>
  <c r="T626" i="31"/>
  <c r="T627" i="31"/>
  <c r="T628" i="31"/>
  <c r="T629" i="31"/>
  <c r="T630" i="31"/>
  <c r="T631" i="31"/>
  <c r="T632" i="31"/>
  <c r="T633" i="31"/>
  <c r="T634" i="31"/>
  <c r="T635" i="31"/>
  <c r="T636" i="31"/>
  <c r="T637" i="31"/>
  <c r="T638" i="31"/>
  <c r="T639" i="31"/>
  <c r="T640" i="31"/>
  <c r="T641" i="31"/>
  <c r="T642" i="31"/>
  <c r="T643" i="31"/>
  <c r="T644" i="31"/>
  <c r="T645" i="31"/>
  <c r="T646" i="31"/>
  <c r="T647" i="31"/>
  <c r="T648" i="31"/>
  <c r="T649" i="31"/>
  <c r="T650" i="31"/>
  <c r="T651" i="31"/>
  <c r="T652" i="31"/>
  <c r="T653" i="31"/>
  <c r="T654" i="31"/>
  <c r="T655" i="31"/>
  <c r="T656" i="31"/>
  <c r="T657" i="31"/>
  <c r="T658" i="31"/>
  <c r="T659" i="31"/>
  <c r="T660" i="31"/>
  <c r="T661" i="31"/>
  <c r="T662" i="31"/>
  <c r="T663" i="31"/>
  <c r="T664" i="31"/>
  <c r="T665" i="31"/>
  <c r="T666" i="31"/>
  <c r="T667" i="31"/>
  <c r="T668" i="31"/>
  <c r="T669" i="31"/>
  <c r="T670" i="31"/>
  <c r="T671" i="31"/>
  <c r="T672" i="31"/>
  <c r="T673" i="31"/>
  <c r="T674" i="31"/>
  <c r="T675" i="31"/>
  <c r="T676" i="31"/>
  <c r="T677" i="31"/>
  <c r="T678" i="31"/>
  <c r="T679" i="31"/>
  <c r="T680" i="31"/>
  <c r="T681" i="31"/>
  <c r="T682" i="31"/>
  <c r="T683" i="31"/>
  <c r="T684" i="31"/>
  <c r="T685" i="31"/>
  <c r="T686" i="31"/>
  <c r="T687" i="31"/>
  <c r="T688" i="31"/>
  <c r="T689" i="31"/>
  <c r="T690" i="31"/>
  <c r="T691" i="31"/>
  <c r="T692" i="31"/>
  <c r="T693" i="31"/>
  <c r="T694" i="31"/>
  <c r="T695" i="31"/>
  <c r="T696" i="31"/>
  <c r="T697" i="31"/>
  <c r="T698" i="31"/>
  <c r="T699" i="31"/>
  <c r="T700" i="31"/>
  <c r="T701" i="31"/>
  <c r="T702" i="31"/>
  <c r="T703" i="31"/>
  <c r="T704" i="31"/>
  <c r="T705" i="31"/>
  <c r="T706" i="31"/>
  <c r="T707" i="31"/>
  <c r="T708" i="31"/>
  <c r="T709" i="31"/>
  <c r="T710" i="31"/>
  <c r="T711" i="31"/>
  <c r="T712" i="31"/>
  <c r="T713" i="31"/>
  <c r="T714" i="31"/>
  <c r="T715" i="31"/>
  <c r="T716" i="31"/>
  <c r="T717" i="31"/>
  <c r="T718" i="31"/>
  <c r="T719" i="31"/>
  <c r="T720" i="31"/>
  <c r="T721" i="31"/>
  <c r="T722" i="31"/>
  <c r="T723" i="31"/>
  <c r="T724" i="31"/>
  <c r="T725" i="31"/>
  <c r="T726" i="31"/>
  <c r="T727" i="31"/>
  <c r="T728" i="31"/>
  <c r="T729" i="31"/>
  <c r="T730" i="31"/>
  <c r="T731" i="31"/>
  <c r="T732" i="31"/>
  <c r="T733" i="31"/>
  <c r="T734" i="31"/>
  <c r="T735" i="31"/>
  <c r="T736" i="31"/>
  <c r="T737" i="31"/>
  <c r="T738" i="31"/>
  <c r="T739" i="31"/>
  <c r="T740" i="31"/>
  <c r="T741" i="31"/>
  <c r="T742" i="31"/>
  <c r="T743" i="31"/>
  <c r="T744" i="31"/>
  <c r="T745" i="31"/>
  <c r="T746" i="31"/>
  <c r="T747" i="31"/>
  <c r="T748" i="31"/>
  <c r="T749" i="31"/>
  <c r="T750" i="31"/>
  <c r="T751" i="31"/>
  <c r="T752" i="31"/>
  <c r="T753" i="31"/>
  <c r="T754" i="31"/>
  <c r="T755" i="31"/>
  <c r="T756" i="31"/>
  <c r="T757" i="31"/>
  <c r="T758" i="31"/>
  <c r="T759" i="31"/>
  <c r="T760" i="31"/>
  <c r="T761" i="31"/>
  <c r="T762" i="31"/>
  <c r="T763" i="31"/>
  <c r="T764" i="31"/>
  <c r="T765" i="31"/>
  <c r="T766" i="31"/>
  <c r="B3" i="20"/>
  <c r="M9" i="19"/>
  <c r="N9" i="19" s="1"/>
  <c r="M8" i="19"/>
  <c r="M7" i="19"/>
  <c r="N7" i="19" s="1"/>
  <c r="M6" i="19"/>
  <c r="M4" i="19"/>
  <c r="B3" i="19"/>
  <c r="O18" i="18"/>
  <c r="M18" i="18"/>
  <c r="M16" i="18"/>
  <c r="B3" i="18"/>
  <c r="O13" i="19" l="1"/>
  <c r="N6" i="19"/>
  <c r="M15" i="19"/>
  <c r="N4" i="19"/>
  <c r="N8" i="19"/>
  <c r="N14" i="18"/>
  <c r="O16" i="18" s="1"/>
  <c r="O17" i="18"/>
  <c r="M19" i="18"/>
  <c r="B180" i="31"/>
  <c r="B181" i="31"/>
  <c r="B182" i="31"/>
  <c r="B183" i="31"/>
  <c r="B184" i="31"/>
  <c r="B185" i="31"/>
  <c r="B186" i="31"/>
  <c r="B187" i="31"/>
  <c r="B188" i="31"/>
  <c r="B189" i="31"/>
  <c r="B190" i="31"/>
  <c r="B191" i="31"/>
  <c r="B192" i="31"/>
  <c r="B193" i="31"/>
  <c r="B194" i="31"/>
  <c r="B195" i="31"/>
  <c r="B196" i="31"/>
  <c r="B197" i="31"/>
  <c r="B198" i="31"/>
  <c r="B199" i="31"/>
  <c r="B200" i="31"/>
  <c r="B201" i="31"/>
  <c r="B202" i="31"/>
  <c r="B203" i="31"/>
  <c r="B204" i="31"/>
  <c r="B205" i="31"/>
  <c r="B206" i="31"/>
  <c r="B207" i="31"/>
  <c r="B208" i="31"/>
  <c r="B209" i="31"/>
  <c r="B210" i="31"/>
  <c r="B211" i="31"/>
  <c r="B212" i="31"/>
  <c r="B213" i="31"/>
  <c r="B214" i="31"/>
  <c r="B215" i="31"/>
  <c r="B216" i="31"/>
  <c r="B217" i="31"/>
  <c r="B218" i="31"/>
  <c r="B219" i="31"/>
  <c r="B220" i="31"/>
  <c r="B221" i="31"/>
  <c r="B222" i="31"/>
  <c r="B223" i="31"/>
  <c r="B224" i="31"/>
  <c r="B225" i="31"/>
  <c r="B226" i="31"/>
  <c r="B227" i="31"/>
  <c r="B228" i="31"/>
  <c r="B229" i="31"/>
  <c r="B230" i="31"/>
  <c r="B231" i="31"/>
  <c r="B232" i="31"/>
  <c r="B233" i="31"/>
  <c r="B234" i="31"/>
  <c r="B235" i="31"/>
  <c r="B236" i="31"/>
  <c r="B237" i="31"/>
  <c r="B238" i="31"/>
  <c r="B239" i="31"/>
  <c r="B240" i="31"/>
  <c r="B241" i="31"/>
  <c r="B242" i="31"/>
  <c r="B243" i="31"/>
  <c r="B244" i="31"/>
  <c r="B245" i="31"/>
  <c r="B246" i="31"/>
  <c r="B247" i="31"/>
  <c r="B248" i="31"/>
  <c r="B249" i="31"/>
  <c r="B250" i="31"/>
  <c r="B251" i="31"/>
  <c r="B252" i="31"/>
  <c r="B253" i="31"/>
  <c r="B254" i="31"/>
  <c r="B255" i="31"/>
  <c r="B256" i="31"/>
  <c r="B257" i="31"/>
  <c r="B258" i="31"/>
  <c r="B259" i="31"/>
  <c r="B260" i="31"/>
  <c r="B261" i="31"/>
  <c r="B262" i="31"/>
  <c r="B263" i="31"/>
  <c r="B264" i="31"/>
  <c r="B265" i="31"/>
  <c r="B266" i="31"/>
  <c r="B267" i="31"/>
  <c r="B268" i="31"/>
  <c r="B269" i="31"/>
  <c r="B270" i="31"/>
  <c r="B271" i="31"/>
  <c r="B272" i="31"/>
  <c r="B273" i="31"/>
  <c r="B274" i="31"/>
  <c r="B275" i="31"/>
  <c r="B276" i="31"/>
  <c r="B277" i="31"/>
  <c r="B278" i="31"/>
  <c r="B279" i="31"/>
  <c r="B280" i="31"/>
  <c r="B281" i="31"/>
  <c r="B282" i="31"/>
  <c r="B283" i="31"/>
  <c r="B284" i="31"/>
  <c r="B285" i="31"/>
  <c r="B286" i="31"/>
  <c r="B287" i="31"/>
  <c r="B288" i="31"/>
  <c r="B289" i="31"/>
  <c r="B290" i="31"/>
  <c r="B291" i="31"/>
  <c r="B292" i="31"/>
  <c r="B293" i="31"/>
  <c r="B294" i="31"/>
  <c r="B295" i="31"/>
  <c r="B296" i="31"/>
  <c r="B297" i="31"/>
  <c r="B298" i="31"/>
  <c r="B299" i="31"/>
  <c r="B300" i="31"/>
  <c r="B301" i="31"/>
  <c r="B302" i="31"/>
  <c r="B303" i="31"/>
  <c r="B304" i="31"/>
  <c r="B305" i="31"/>
  <c r="B306" i="31"/>
  <c r="B307" i="31"/>
  <c r="B308" i="31"/>
  <c r="B309" i="31"/>
  <c r="B310" i="31"/>
  <c r="B311" i="31"/>
  <c r="B312" i="31"/>
  <c r="B313" i="31"/>
  <c r="B314" i="31"/>
  <c r="B315" i="31"/>
  <c r="B316" i="31"/>
  <c r="B317" i="31"/>
  <c r="B318" i="31"/>
  <c r="B319" i="31"/>
  <c r="B320" i="31"/>
  <c r="B321" i="31"/>
  <c r="B322" i="31"/>
  <c r="B323" i="31"/>
  <c r="B324" i="31"/>
  <c r="B325" i="31"/>
  <c r="B326" i="31"/>
  <c r="B327" i="31"/>
  <c r="B328" i="31"/>
  <c r="B329" i="31"/>
  <c r="B330" i="31"/>
  <c r="B331" i="31"/>
  <c r="B332" i="31"/>
  <c r="B333" i="31"/>
  <c r="B334" i="31"/>
  <c r="B335" i="31"/>
  <c r="B336" i="31"/>
  <c r="B337" i="31"/>
  <c r="B338" i="31"/>
  <c r="B339" i="31"/>
  <c r="B340" i="31"/>
  <c r="B341" i="31"/>
  <c r="B342" i="31"/>
  <c r="B343" i="31"/>
  <c r="B344" i="31"/>
  <c r="B345" i="31"/>
  <c r="B346" i="31"/>
  <c r="B347" i="31"/>
  <c r="B348" i="31"/>
  <c r="B349" i="31"/>
  <c r="B350" i="31"/>
  <c r="B351" i="31"/>
  <c r="B352" i="31"/>
  <c r="B353" i="31"/>
  <c r="B354" i="31"/>
  <c r="B355" i="31"/>
  <c r="B356" i="31"/>
  <c r="B357" i="31"/>
  <c r="B358" i="31"/>
  <c r="B359" i="31"/>
  <c r="B360" i="31"/>
  <c r="B361" i="31"/>
  <c r="B362" i="31"/>
  <c r="B363" i="31"/>
  <c r="B364" i="31"/>
  <c r="B365" i="31"/>
  <c r="B366" i="31"/>
  <c r="B367" i="31"/>
  <c r="B368" i="31"/>
  <c r="B369" i="31"/>
  <c r="B370" i="31"/>
  <c r="B371" i="31"/>
  <c r="B372" i="31"/>
  <c r="B373" i="31"/>
  <c r="B374" i="31"/>
  <c r="B375" i="31"/>
  <c r="B376" i="31"/>
  <c r="B377" i="31"/>
  <c r="B378" i="31"/>
  <c r="B379" i="31"/>
  <c r="B380" i="31"/>
  <c r="B381" i="31"/>
  <c r="B382" i="31"/>
  <c r="B383" i="31"/>
  <c r="B384" i="31"/>
  <c r="B385" i="31"/>
  <c r="B386" i="31"/>
  <c r="B387" i="31"/>
  <c r="B388" i="31"/>
  <c r="B389" i="31"/>
  <c r="B390" i="31"/>
  <c r="B391" i="31"/>
  <c r="B392" i="31"/>
  <c r="B393" i="31"/>
  <c r="B394" i="31"/>
  <c r="B395" i="31"/>
  <c r="B396" i="31"/>
  <c r="B397" i="31"/>
  <c r="B398" i="31"/>
  <c r="B399" i="31"/>
  <c r="B400" i="31"/>
  <c r="B401" i="31"/>
  <c r="B402" i="31"/>
  <c r="B403" i="31"/>
  <c r="B404" i="31"/>
  <c r="B405" i="31"/>
  <c r="B406" i="31"/>
  <c r="B407" i="31"/>
  <c r="B408" i="31"/>
  <c r="B409" i="31"/>
  <c r="B410" i="31"/>
  <c r="B411" i="31"/>
  <c r="B412" i="31"/>
  <c r="B413" i="31"/>
  <c r="B414" i="31"/>
  <c r="B415" i="31"/>
  <c r="B416" i="31"/>
  <c r="B417" i="31"/>
  <c r="B418" i="31"/>
  <c r="B419" i="31"/>
  <c r="B420" i="31"/>
  <c r="B421" i="31"/>
  <c r="B422" i="31"/>
  <c r="B423" i="31"/>
  <c r="B424" i="31"/>
  <c r="B425" i="31"/>
  <c r="B426" i="31"/>
  <c r="B427" i="31"/>
  <c r="B428" i="31"/>
  <c r="B429" i="31"/>
  <c r="B430" i="31"/>
  <c r="B431" i="31"/>
  <c r="B432" i="31"/>
  <c r="B433" i="31"/>
  <c r="B434" i="31"/>
  <c r="B435" i="31"/>
  <c r="B436" i="31"/>
  <c r="B437" i="31"/>
  <c r="B438" i="31"/>
  <c r="B439" i="31"/>
  <c r="B440" i="31"/>
  <c r="B441" i="31"/>
  <c r="B442" i="31"/>
  <c r="B443" i="31"/>
  <c r="B444" i="31"/>
  <c r="B445" i="31"/>
  <c r="B446" i="31"/>
  <c r="B447" i="31"/>
  <c r="B448" i="31"/>
  <c r="B449" i="31"/>
  <c r="B450" i="31"/>
  <c r="B451" i="31"/>
  <c r="B452" i="31"/>
  <c r="B453" i="31"/>
  <c r="B454" i="31"/>
  <c r="B455" i="31"/>
  <c r="B456" i="31"/>
  <c r="B457" i="31"/>
  <c r="B458" i="31"/>
  <c r="B459" i="31"/>
  <c r="B460" i="31"/>
  <c r="B461" i="31"/>
  <c r="B462" i="31"/>
  <c r="B463" i="31"/>
  <c r="B464" i="31"/>
  <c r="B465" i="31"/>
  <c r="B466" i="31"/>
  <c r="B467" i="31"/>
  <c r="B468" i="31"/>
  <c r="B469" i="31"/>
  <c r="B470" i="31"/>
  <c r="B471" i="31"/>
  <c r="B472" i="31"/>
  <c r="B473" i="31"/>
  <c r="B474" i="31"/>
  <c r="B475" i="31"/>
  <c r="B476" i="31"/>
  <c r="B477" i="31"/>
  <c r="B478" i="31"/>
  <c r="B479" i="31"/>
  <c r="B480" i="31"/>
  <c r="B481" i="31"/>
  <c r="B482" i="31"/>
  <c r="B483" i="31"/>
  <c r="B484" i="31"/>
  <c r="B485" i="31"/>
  <c r="B486" i="31"/>
  <c r="B487" i="31"/>
  <c r="B488" i="31"/>
  <c r="B489" i="31"/>
  <c r="B490" i="31"/>
  <c r="B491" i="31"/>
  <c r="B492" i="31"/>
  <c r="B493" i="31"/>
  <c r="B494" i="31"/>
  <c r="B495" i="31"/>
  <c r="B496" i="31"/>
  <c r="B497" i="31"/>
  <c r="B498" i="31"/>
  <c r="B499" i="31"/>
  <c r="B500" i="31"/>
  <c r="B501" i="31"/>
  <c r="B502" i="31"/>
  <c r="B503" i="31"/>
  <c r="B504" i="31"/>
  <c r="B505" i="31"/>
  <c r="B506" i="31"/>
  <c r="B507" i="31"/>
  <c r="B508" i="31"/>
  <c r="B509" i="31"/>
  <c r="B510" i="31"/>
  <c r="B511" i="31"/>
  <c r="B512" i="31"/>
  <c r="B513" i="31"/>
  <c r="B514" i="31"/>
  <c r="B515" i="31"/>
  <c r="B516" i="31"/>
  <c r="B517" i="31"/>
  <c r="B518" i="31"/>
  <c r="B519" i="31"/>
  <c r="B520" i="31"/>
  <c r="B521" i="31"/>
  <c r="B522" i="31"/>
  <c r="B523" i="31"/>
  <c r="B524" i="31"/>
  <c r="B525" i="31"/>
  <c r="B526" i="31"/>
  <c r="B527" i="31"/>
  <c r="B528" i="31"/>
  <c r="B529" i="31"/>
  <c r="B530" i="31"/>
  <c r="B531" i="31"/>
  <c r="B532" i="31"/>
  <c r="B533" i="31"/>
  <c r="B534" i="31"/>
  <c r="B535" i="31"/>
  <c r="B536" i="31"/>
  <c r="B537" i="31"/>
  <c r="B538" i="31"/>
  <c r="B539" i="31"/>
  <c r="B540" i="31"/>
  <c r="B541" i="31"/>
  <c r="B542" i="31"/>
  <c r="B543" i="31"/>
  <c r="B544" i="31"/>
  <c r="B545" i="31"/>
  <c r="B546" i="31"/>
  <c r="B547" i="31"/>
  <c r="B548" i="31"/>
  <c r="B549" i="31"/>
  <c r="B550" i="31"/>
  <c r="B551" i="31"/>
  <c r="B552" i="31"/>
  <c r="B553" i="31"/>
  <c r="B554" i="31"/>
  <c r="B555" i="31"/>
  <c r="B556" i="31"/>
  <c r="B557" i="31"/>
  <c r="B558" i="31"/>
  <c r="B559" i="31"/>
  <c r="B560" i="31"/>
  <c r="B561" i="31"/>
  <c r="B562" i="31"/>
  <c r="B563" i="31"/>
  <c r="B564" i="31"/>
  <c r="B565" i="31"/>
  <c r="B566" i="31"/>
  <c r="B567" i="31"/>
  <c r="B568" i="31"/>
  <c r="B569" i="31"/>
  <c r="B570" i="31"/>
  <c r="B571" i="31"/>
  <c r="B572" i="31"/>
  <c r="B573" i="31"/>
  <c r="B574" i="31"/>
  <c r="B575" i="31"/>
  <c r="B576" i="31"/>
  <c r="B577" i="31"/>
  <c r="B578" i="31"/>
  <c r="B579" i="31"/>
  <c r="B580" i="31"/>
  <c r="B581" i="31"/>
  <c r="B582" i="31"/>
  <c r="B583" i="31"/>
  <c r="B584" i="31"/>
  <c r="B585" i="31"/>
  <c r="B586" i="31"/>
  <c r="B587" i="31"/>
  <c r="B588" i="31"/>
  <c r="B589" i="31"/>
  <c r="B590" i="31"/>
  <c r="B591" i="31"/>
  <c r="B592" i="31"/>
  <c r="B593" i="31"/>
  <c r="B594" i="31"/>
  <c r="B595" i="31"/>
  <c r="B596" i="31"/>
  <c r="B597" i="31"/>
  <c r="B598" i="31"/>
  <c r="B599" i="31"/>
  <c r="B600" i="31"/>
  <c r="B601" i="31"/>
  <c r="B602" i="31"/>
  <c r="B603" i="31"/>
  <c r="B604" i="31"/>
  <c r="B605" i="31"/>
  <c r="B606" i="31"/>
  <c r="B607" i="31"/>
  <c r="B608" i="31"/>
  <c r="B609" i="31"/>
  <c r="B610" i="31"/>
  <c r="B611" i="31"/>
  <c r="B612" i="31"/>
  <c r="B613" i="31"/>
  <c r="B614" i="31"/>
  <c r="B615" i="31"/>
  <c r="B616" i="31"/>
  <c r="B617" i="31"/>
  <c r="B618" i="31"/>
  <c r="B619" i="31"/>
  <c r="B620" i="31"/>
  <c r="B621" i="31"/>
  <c r="B622" i="31"/>
  <c r="B623" i="31"/>
  <c r="B624" i="31"/>
  <c r="B625" i="31"/>
  <c r="B626" i="31"/>
  <c r="B627" i="31"/>
  <c r="B628" i="31"/>
  <c r="B629" i="31"/>
  <c r="B630" i="31"/>
  <c r="B631" i="31"/>
  <c r="B632" i="31"/>
  <c r="B633" i="31"/>
  <c r="B634" i="31"/>
  <c r="B635" i="31"/>
  <c r="B636" i="31"/>
  <c r="B637" i="31"/>
  <c r="B638" i="31"/>
  <c r="B639" i="31"/>
  <c r="B640" i="31"/>
  <c r="B641" i="31"/>
  <c r="B642" i="31"/>
  <c r="B643" i="31"/>
  <c r="B644" i="31"/>
  <c r="B645" i="31"/>
  <c r="B646" i="31"/>
  <c r="B647" i="31"/>
  <c r="B648" i="31"/>
  <c r="B649" i="31"/>
  <c r="B650" i="31"/>
  <c r="B651" i="31"/>
  <c r="B652" i="31"/>
  <c r="B653" i="31"/>
  <c r="B654" i="31"/>
  <c r="B655" i="31"/>
  <c r="B656" i="31"/>
  <c r="B657" i="31"/>
  <c r="B658" i="31"/>
  <c r="B659" i="31"/>
  <c r="B660" i="31"/>
  <c r="B661" i="31"/>
  <c r="B662" i="31"/>
  <c r="B663" i="31"/>
  <c r="B664" i="31"/>
  <c r="B665" i="31"/>
  <c r="B666" i="31"/>
  <c r="B667" i="31"/>
  <c r="B668" i="31"/>
  <c r="B669" i="31"/>
  <c r="B670" i="31"/>
  <c r="B671" i="31"/>
  <c r="B672" i="31"/>
  <c r="B673" i="31"/>
  <c r="B674" i="31"/>
  <c r="B675" i="31"/>
  <c r="B676" i="31"/>
  <c r="B677" i="31"/>
  <c r="B678" i="31"/>
  <c r="B679" i="31"/>
  <c r="B680" i="31"/>
  <c r="B681" i="31"/>
  <c r="B682" i="31"/>
  <c r="B683" i="31"/>
  <c r="B684" i="31"/>
  <c r="B685" i="31"/>
  <c r="B686" i="31"/>
  <c r="B687" i="31"/>
  <c r="B688" i="31"/>
  <c r="B689" i="31"/>
  <c r="B690" i="31"/>
  <c r="B691" i="31"/>
  <c r="B692" i="31"/>
  <c r="B693" i="31"/>
  <c r="B694" i="31"/>
  <c r="B695" i="31"/>
  <c r="B696" i="31"/>
  <c r="B697" i="31"/>
  <c r="B698" i="31"/>
  <c r="B699" i="31"/>
  <c r="B700" i="31"/>
  <c r="B701" i="31"/>
  <c r="B702" i="31"/>
  <c r="B703" i="31"/>
  <c r="B704" i="31"/>
  <c r="B705" i="31"/>
  <c r="B706" i="31"/>
  <c r="B707" i="31"/>
  <c r="B708" i="31"/>
  <c r="B709" i="31"/>
  <c r="B710" i="31"/>
  <c r="B711" i="31"/>
  <c r="B712" i="31"/>
  <c r="B713" i="31"/>
  <c r="B714" i="31"/>
  <c r="B715" i="31"/>
  <c r="B716" i="31"/>
  <c r="B717" i="31"/>
  <c r="B718" i="31"/>
  <c r="B719" i="31"/>
  <c r="B720" i="31"/>
  <c r="B721" i="31"/>
  <c r="B722" i="31"/>
  <c r="B723" i="31"/>
  <c r="B724" i="31"/>
  <c r="B725" i="31"/>
  <c r="B726" i="31"/>
  <c r="B727" i="31"/>
  <c r="B728" i="31"/>
  <c r="B729" i="31"/>
  <c r="B730" i="31"/>
  <c r="B731" i="31"/>
  <c r="B732" i="31"/>
  <c r="B733" i="31"/>
  <c r="B734" i="31"/>
  <c r="B735" i="31"/>
  <c r="B736" i="31"/>
  <c r="B737" i="31"/>
  <c r="B738" i="31"/>
  <c r="B739" i="31"/>
  <c r="B740" i="31"/>
  <c r="B741" i="31"/>
  <c r="B742" i="31"/>
  <c r="B743" i="31"/>
  <c r="B744" i="31"/>
  <c r="B745" i="31"/>
  <c r="B746" i="31"/>
  <c r="B747" i="31"/>
  <c r="B748" i="31"/>
  <c r="B749" i="31"/>
  <c r="B750" i="31"/>
  <c r="B751" i="31"/>
  <c r="B752" i="31"/>
  <c r="B753" i="31"/>
  <c r="B754" i="31"/>
  <c r="B755" i="31"/>
  <c r="B756" i="31"/>
  <c r="B757" i="31"/>
  <c r="B758" i="31"/>
  <c r="B759" i="31"/>
  <c r="B760" i="31"/>
  <c r="B761" i="31"/>
  <c r="B762" i="31"/>
  <c r="B763" i="31"/>
  <c r="B764" i="31"/>
  <c r="B765" i="31"/>
  <c r="B766" i="31"/>
  <c r="V204" i="31"/>
  <c r="V205" i="31"/>
  <c r="V206" i="31"/>
  <c r="V207" i="31"/>
  <c r="V208" i="31"/>
  <c r="V209" i="31"/>
  <c r="V210" i="31"/>
  <c r="V211" i="31"/>
  <c r="V212" i="31"/>
  <c r="V213" i="31"/>
  <c r="V214" i="31"/>
  <c r="V215" i="31"/>
  <c r="V216" i="31"/>
  <c r="V217" i="31"/>
  <c r="V218" i="31"/>
  <c r="V219" i="31"/>
  <c r="V220" i="31"/>
  <c r="V221" i="31"/>
  <c r="V222" i="31"/>
  <c r="V223" i="31"/>
  <c r="V224" i="31"/>
  <c r="V225" i="31"/>
  <c r="V226" i="31"/>
  <c r="V227" i="31"/>
  <c r="V228" i="31"/>
  <c r="V229" i="31"/>
  <c r="V230" i="31"/>
  <c r="V231" i="31"/>
  <c r="V232" i="31"/>
  <c r="V233" i="31"/>
  <c r="V234" i="31"/>
  <c r="V235" i="31"/>
  <c r="V236" i="31"/>
  <c r="V237" i="31"/>
  <c r="V238" i="31"/>
  <c r="V239" i="31"/>
  <c r="V240" i="31"/>
  <c r="V241" i="31"/>
  <c r="V242" i="31"/>
  <c r="V243" i="31"/>
  <c r="V244" i="31"/>
  <c r="V245" i="31"/>
  <c r="V246" i="31"/>
  <c r="V247" i="31"/>
  <c r="V248" i="31"/>
  <c r="V249" i="31"/>
  <c r="V250" i="31"/>
  <c r="V251" i="31"/>
  <c r="V252" i="31"/>
  <c r="V253" i="31"/>
  <c r="V254" i="31"/>
  <c r="V255" i="31"/>
  <c r="V256" i="31"/>
  <c r="V257" i="31"/>
  <c r="V258" i="31"/>
  <c r="V259" i="31"/>
  <c r="V260" i="31"/>
  <c r="V261" i="31"/>
  <c r="V262" i="31"/>
  <c r="V263" i="31"/>
  <c r="V264" i="31"/>
  <c r="V265" i="31"/>
  <c r="V266" i="31"/>
  <c r="V267" i="31"/>
  <c r="V268" i="31"/>
  <c r="V269" i="31"/>
  <c r="V270" i="31"/>
  <c r="V271" i="31"/>
  <c r="V272" i="31"/>
  <c r="V273" i="31"/>
  <c r="V274" i="31"/>
  <c r="V275" i="31"/>
  <c r="V276" i="31"/>
  <c r="V277" i="31"/>
  <c r="V278" i="31"/>
  <c r="V279" i="31"/>
  <c r="V280" i="31"/>
  <c r="V281" i="31"/>
  <c r="V282" i="31"/>
  <c r="V283" i="31"/>
  <c r="V284" i="31"/>
  <c r="V285" i="31"/>
  <c r="V286" i="31"/>
  <c r="V287" i="31"/>
  <c r="V288" i="31"/>
  <c r="V289" i="31"/>
  <c r="V290" i="31"/>
  <c r="V291" i="31"/>
  <c r="V292" i="31"/>
  <c r="V293" i="31"/>
  <c r="V294" i="31"/>
  <c r="V295" i="31"/>
  <c r="V296" i="31"/>
  <c r="V297" i="31"/>
  <c r="V298" i="31"/>
  <c r="V299" i="31"/>
  <c r="V300" i="31"/>
  <c r="V301" i="31"/>
  <c r="V302" i="31"/>
  <c r="V303" i="31"/>
  <c r="V304" i="31"/>
  <c r="V305" i="31"/>
  <c r="V306" i="31"/>
  <c r="V307" i="31"/>
  <c r="V308" i="31"/>
  <c r="V309" i="31"/>
  <c r="V310" i="31"/>
  <c r="V311" i="31"/>
  <c r="V312" i="31"/>
  <c r="V313" i="31"/>
  <c r="V314" i="31"/>
  <c r="V315" i="31"/>
  <c r="V316" i="31"/>
  <c r="V317" i="31"/>
  <c r="V318" i="31"/>
  <c r="V319" i="31"/>
  <c r="V320" i="31"/>
  <c r="V321" i="31"/>
  <c r="V322" i="31"/>
  <c r="V323" i="31"/>
  <c r="V324" i="31"/>
  <c r="V325" i="31"/>
  <c r="V326" i="31"/>
  <c r="V327" i="31"/>
  <c r="V328" i="31"/>
  <c r="V329" i="31"/>
  <c r="V330" i="31"/>
  <c r="V331" i="31"/>
  <c r="V332" i="31"/>
  <c r="V333" i="31"/>
  <c r="V334" i="31"/>
  <c r="V335" i="31"/>
  <c r="V336" i="31"/>
  <c r="V337" i="31"/>
  <c r="V338" i="31"/>
  <c r="V339" i="31"/>
  <c r="V340" i="31"/>
  <c r="V341" i="31"/>
  <c r="V342" i="31"/>
  <c r="V343" i="31"/>
  <c r="V344" i="31"/>
  <c r="V345" i="31"/>
  <c r="V346" i="31"/>
  <c r="V347" i="31"/>
  <c r="V348" i="31"/>
  <c r="V349" i="31"/>
  <c r="V350" i="31"/>
  <c r="V351" i="31"/>
  <c r="V352" i="31"/>
  <c r="V353" i="31"/>
  <c r="V354" i="31"/>
  <c r="V355" i="31"/>
  <c r="V356" i="31"/>
  <c r="V357" i="31"/>
  <c r="V358" i="31"/>
  <c r="V359" i="31"/>
  <c r="V360" i="31"/>
  <c r="V361" i="31"/>
  <c r="V362" i="31"/>
  <c r="V363" i="31"/>
  <c r="V364" i="31"/>
  <c r="V365" i="31"/>
  <c r="V366" i="31"/>
  <c r="V367" i="31"/>
  <c r="V368" i="31"/>
  <c r="V369" i="31"/>
  <c r="V370" i="31"/>
  <c r="V371" i="31"/>
  <c r="V372" i="31"/>
  <c r="V373" i="31"/>
  <c r="V374" i="31"/>
  <c r="V375" i="31"/>
  <c r="V376" i="31"/>
  <c r="V377" i="31"/>
  <c r="V378" i="31"/>
  <c r="V379" i="31"/>
  <c r="V380" i="31"/>
  <c r="V381" i="31"/>
  <c r="V382" i="31"/>
  <c r="V383" i="31"/>
  <c r="V384" i="31"/>
  <c r="V385" i="31"/>
  <c r="V386" i="31"/>
  <c r="V387" i="31"/>
  <c r="V388" i="31"/>
  <c r="V389" i="31"/>
  <c r="V390" i="31"/>
  <c r="V391" i="31"/>
  <c r="V392" i="31"/>
  <c r="V393" i="31"/>
  <c r="V394" i="31"/>
  <c r="V395" i="31"/>
  <c r="V396" i="31"/>
  <c r="V397" i="31"/>
  <c r="V398" i="31"/>
  <c r="V399" i="31"/>
  <c r="V400" i="31"/>
  <c r="V401" i="31"/>
  <c r="V402" i="31"/>
  <c r="V403" i="31"/>
  <c r="V404" i="31"/>
  <c r="V405" i="31"/>
  <c r="V406" i="31"/>
  <c r="V407" i="31"/>
  <c r="V408" i="31"/>
  <c r="V409" i="31"/>
  <c r="V410" i="31"/>
  <c r="V411" i="31"/>
  <c r="V412" i="31"/>
  <c r="V413" i="31"/>
  <c r="V414" i="31"/>
  <c r="V415" i="31"/>
  <c r="V416" i="31"/>
  <c r="V417" i="31"/>
  <c r="V418" i="31"/>
  <c r="V419" i="31"/>
  <c r="V420" i="31"/>
  <c r="V421" i="31"/>
  <c r="V422" i="31"/>
  <c r="V423" i="31"/>
  <c r="V424" i="31"/>
  <c r="V425" i="31"/>
  <c r="V426" i="31"/>
  <c r="V427" i="31"/>
  <c r="V428" i="31"/>
  <c r="V429" i="31"/>
  <c r="V430" i="31"/>
  <c r="V431" i="31"/>
  <c r="V432" i="31"/>
  <c r="V433" i="31"/>
  <c r="V434" i="31"/>
  <c r="V435" i="31"/>
  <c r="V436" i="31"/>
  <c r="V437" i="31"/>
  <c r="V438" i="31"/>
  <c r="V439" i="31"/>
  <c r="V440" i="31"/>
  <c r="V441" i="31"/>
  <c r="V442" i="31"/>
  <c r="V443" i="31"/>
  <c r="V444" i="31"/>
  <c r="V445" i="31"/>
  <c r="V446" i="31"/>
  <c r="V447" i="31"/>
  <c r="V448" i="31"/>
  <c r="V449" i="31"/>
  <c r="V450" i="31"/>
  <c r="V451" i="31"/>
  <c r="V452" i="31"/>
  <c r="V453" i="31"/>
  <c r="V454" i="31"/>
  <c r="V455" i="31"/>
  <c r="V456" i="31"/>
  <c r="V457" i="31"/>
  <c r="V458" i="31"/>
  <c r="V459" i="31"/>
  <c r="V460" i="31"/>
  <c r="V461" i="31"/>
  <c r="V462" i="31"/>
  <c r="V463" i="31"/>
  <c r="V464" i="31"/>
  <c r="V465" i="31"/>
  <c r="V466" i="31"/>
  <c r="V467" i="31"/>
  <c r="V468" i="31"/>
  <c r="V469" i="31"/>
  <c r="V470" i="31"/>
  <c r="V471" i="31"/>
  <c r="V472" i="31"/>
  <c r="V473" i="31"/>
  <c r="V474" i="31"/>
  <c r="V475" i="31"/>
  <c r="V476" i="31"/>
  <c r="V477" i="31"/>
  <c r="V478" i="31"/>
  <c r="V479" i="31"/>
  <c r="V480" i="31"/>
  <c r="V481" i="31"/>
  <c r="V482" i="31"/>
  <c r="V483" i="31"/>
  <c r="V484" i="31"/>
  <c r="V485" i="31"/>
  <c r="V486" i="31"/>
  <c r="V487" i="31"/>
  <c r="V488" i="31"/>
  <c r="V489" i="31"/>
  <c r="V490" i="31"/>
  <c r="V491" i="31"/>
  <c r="V492" i="31"/>
  <c r="V493" i="31"/>
  <c r="V494" i="31"/>
  <c r="V495" i="31"/>
  <c r="V496" i="31"/>
  <c r="V497" i="31"/>
  <c r="V498" i="31"/>
  <c r="V499" i="31"/>
  <c r="V500" i="31"/>
  <c r="V501" i="31"/>
  <c r="V502" i="31"/>
  <c r="V503" i="31"/>
  <c r="V504" i="31"/>
  <c r="V505" i="31"/>
  <c r="V506" i="31"/>
  <c r="V507" i="31"/>
  <c r="V508" i="31"/>
  <c r="V509" i="31"/>
  <c r="V510" i="31"/>
  <c r="V511" i="31"/>
  <c r="V512" i="31"/>
  <c r="V513" i="31"/>
  <c r="V514" i="31"/>
  <c r="V515" i="31"/>
  <c r="V516" i="31"/>
  <c r="V517" i="31"/>
  <c r="V518" i="31"/>
  <c r="V519" i="31"/>
  <c r="V520" i="31"/>
  <c r="V521" i="31"/>
  <c r="V522" i="31"/>
  <c r="V523" i="31"/>
  <c r="V524" i="31"/>
  <c r="V525" i="31"/>
  <c r="V526" i="31"/>
  <c r="V527" i="31"/>
  <c r="V528" i="31"/>
  <c r="V529" i="31"/>
  <c r="V530" i="31"/>
  <c r="V531" i="31"/>
  <c r="V532" i="31"/>
  <c r="V533" i="31"/>
  <c r="V534" i="31"/>
  <c r="V535" i="31"/>
  <c r="V536" i="31"/>
  <c r="V537" i="31"/>
  <c r="V538" i="31"/>
  <c r="V539" i="31"/>
  <c r="V540" i="31"/>
  <c r="V541" i="31"/>
  <c r="V542" i="31"/>
  <c r="V543" i="31"/>
  <c r="V544" i="31"/>
  <c r="V545" i="31"/>
  <c r="V546" i="31"/>
  <c r="V547" i="31"/>
  <c r="V548" i="31"/>
  <c r="V549" i="31"/>
  <c r="V550" i="31"/>
  <c r="V551" i="31"/>
  <c r="V552" i="31"/>
  <c r="V553" i="31"/>
  <c r="V554" i="31"/>
  <c r="V555" i="31"/>
  <c r="V556" i="31"/>
  <c r="V557" i="31"/>
  <c r="V558" i="31"/>
  <c r="V559" i="31"/>
  <c r="V560" i="31"/>
  <c r="V561" i="31"/>
  <c r="V562" i="31"/>
  <c r="V563" i="31"/>
  <c r="V564" i="31"/>
  <c r="V565" i="31"/>
  <c r="V566" i="31"/>
  <c r="V567" i="31"/>
  <c r="V568" i="31"/>
  <c r="V569" i="31"/>
  <c r="V570" i="31"/>
  <c r="V571" i="31"/>
  <c r="V572" i="31"/>
  <c r="V573" i="31"/>
  <c r="V574" i="31"/>
  <c r="V575" i="31"/>
  <c r="V576" i="31"/>
  <c r="V577" i="31"/>
  <c r="V578" i="31"/>
  <c r="V579" i="31"/>
  <c r="V580" i="31"/>
  <c r="V581" i="31"/>
  <c r="V582" i="31"/>
  <c r="V583" i="31"/>
  <c r="V584" i="31"/>
  <c r="V585" i="31"/>
  <c r="V586" i="31"/>
  <c r="V587" i="31"/>
  <c r="V588" i="31"/>
  <c r="V589" i="31"/>
  <c r="V590" i="31"/>
  <c r="V591" i="31"/>
  <c r="V592" i="31"/>
  <c r="V593" i="31"/>
  <c r="V594" i="31"/>
  <c r="V595" i="31"/>
  <c r="V596" i="31"/>
  <c r="V597" i="31"/>
  <c r="V598" i="31"/>
  <c r="V599" i="31"/>
  <c r="V600" i="31"/>
  <c r="V601" i="31"/>
  <c r="V602" i="31"/>
  <c r="V603" i="31"/>
  <c r="V604" i="31"/>
  <c r="V605" i="31"/>
  <c r="V606" i="31"/>
  <c r="V607" i="31"/>
  <c r="V608" i="31"/>
  <c r="V609" i="31"/>
  <c r="V610" i="31"/>
  <c r="V611" i="31"/>
  <c r="V612" i="31"/>
  <c r="V613" i="31"/>
  <c r="V614" i="31"/>
  <c r="V615" i="31"/>
  <c r="V616" i="31"/>
  <c r="V617" i="31"/>
  <c r="V618" i="31"/>
  <c r="V619" i="31"/>
  <c r="V620" i="31"/>
  <c r="V621" i="31"/>
  <c r="V622" i="31"/>
  <c r="V623" i="31"/>
  <c r="V624" i="31"/>
  <c r="V625" i="31"/>
  <c r="V626" i="31"/>
  <c r="V627" i="31"/>
  <c r="V628" i="31"/>
  <c r="V629" i="31"/>
  <c r="V630" i="31"/>
  <c r="V631" i="31"/>
  <c r="V632" i="31"/>
  <c r="V633" i="31"/>
  <c r="V634" i="31"/>
  <c r="V635" i="31"/>
  <c r="V636" i="31"/>
  <c r="V637" i="31"/>
  <c r="V638" i="31"/>
  <c r="V639" i="31"/>
  <c r="V640" i="31"/>
  <c r="V641" i="31"/>
  <c r="V642" i="31"/>
  <c r="V643" i="31"/>
  <c r="V644" i="31"/>
  <c r="V645" i="31"/>
  <c r="V646" i="31"/>
  <c r="V647" i="31"/>
  <c r="V648" i="31"/>
  <c r="V649" i="31"/>
  <c r="V650" i="31"/>
  <c r="V651" i="31"/>
  <c r="V652" i="31"/>
  <c r="V653" i="31"/>
  <c r="V654" i="31"/>
  <c r="V655" i="31"/>
  <c r="V656" i="31"/>
  <c r="V657" i="31"/>
  <c r="V658" i="31"/>
  <c r="V659" i="31"/>
  <c r="V660" i="31"/>
  <c r="V661" i="31"/>
  <c r="V662" i="31"/>
  <c r="V663" i="31"/>
  <c r="V664" i="31"/>
  <c r="V665" i="31"/>
  <c r="V666" i="31"/>
  <c r="V667" i="31"/>
  <c r="V668" i="31"/>
  <c r="V669" i="31"/>
  <c r="V670" i="31"/>
  <c r="V671" i="31"/>
  <c r="V672" i="31"/>
  <c r="V673" i="31"/>
  <c r="V674" i="31"/>
  <c r="V675" i="31"/>
  <c r="V676" i="31"/>
  <c r="V677" i="31"/>
  <c r="V678" i="31"/>
  <c r="V679" i="31"/>
  <c r="V680" i="31"/>
  <c r="V681" i="31"/>
  <c r="V682" i="31"/>
  <c r="V683" i="31"/>
  <c r="V684" i="31"/>
  <c r="V685" i="31"/>
  <c r="V686" i="31"/>
  <c r="V687" i="31"/>
  <c r="V688" i="31"/>
  <c r="V689" i="31"/>
  <c r="V690" i="31"/>
  <c r="V691" i="31"/>
  <c r="V692" i="31"/>
  <c r="V693" i="31"/>
  <c r="V694" i="31"/>
  <c r="V695" i="31"/>
  <c r="V696" i="31"/>
  <c r="V697" i="31"/>
  <c r="V698" i="31"/>
  <c r="V699" i="31"/>
  <c r="V700" i="31"/>
  <c r="V701" i="31"/>
  <c r="V702" i="31"/>
  <c r="V703" i="31"/>
  <c r="V704" i="31"/>
  <c r="V705" i="31"/>
  <c r="V706" i="31"/>
  <c r="V707" i="31"/>
  <c r="V708" i="31"/>
  <c r="V709" i="31"/>
  <c r="V710" i="31"/>
  <c r="V711" i="31"/>
  <c r="V712" i="31"/>
  <c r="V713" i="31"/>
  <c r="V714" i="31"/>
  <c r="V715" i="31"/>
  <c r="V716" i="31"/>
  <c r="V717" i="31"/>
  <c r="V718" i="31"/>
  <c r="V719" i="31"/>
  <c r="V720" i="31"/>
  <c r="V721" i="31"/>
  <c r="V722" i="31"/>
  <c r="V723" i="31"/>
  <c r="V724" i="31"/>
  <c r="V725" i="31"/>
  <c r="V726" i="31"/>
  <c r="V727" i="31"/>
  <c r="V728" i="31"/>
  <c r="V729" i="31"/>
  <c r="V730" i="31"/>
  <c r="V731" i="31"/>
  <c r="V732" i="31"/>
  <c r="V733" i="31"/>
  <c r="V734" i="31"/>
  <c r="V735" i="31"/>
  <c r="V736" i="31"/>
  <c r="V737" i="31"/>
  <c r="V738" i="31"/>
  <c r="V739" i="31"/>
  <c r="V740" i="31"/>
  <c r="V741" i="31"/>
  <c r="V742" i="31"/>
  <c r="V743" i="31"/>
  <c r="V744" i="31"/>
  <c r="V745" i="31"/>
  <c r="V746" i="31"/>
  <c r="V747" i="31"/>
  <c r="V748" i="31"/>
  <c r="V749" i="31"/>
  <c r="V750" i="31"/>
  <c r="V751" i="31"/>
  <c r="V752" i="31"/>
  <c r="V753" i="31"/>
  <c r="V754" i="31"/>
  <c r="V755" i="31"/>
  <c r="V756" i="31"/>
  <c r="V757" i="31"/>
  <c r="V758" i="31"/>
  <c r="V759" i="31"/>
  <c r="V760" i="31"/>
  <c r="V761" i="31"/>
  <c r="V762" i="31"/>
  <c r="V763" i="31"/>
  <c r="V764" i="31"/>
  <c r="V765" i="31"/>
  <c r="V766" i="31"/>
  <c r="Y204" i="31"/>
  <c r="Y205" i="31"/>
  <c r="Y206" i="31"/>
  <c r="Y207" i="31"/>
  <c r="Y208" i="31"/>
  <c r="Y209" i="31"/>
  <c r="Y210" i="31"/>
  <c r="Y211" i="31"/>
  <c r="Y212" i="31"/>
  <c r="Y213" i="31"/>
  <c r="Y214" i="31"/>
  <c r="Y215" i="31"/>
  <c r="Y216" i="31"/>
  <c r="Y217" i="31"/>
  <c r="Y218" i="31"/>
  <c r="Y219" i="31"/>
  <c r="Y220" i="31"/>
  <c r="Y221" i="31"/>
  <c r="Y222" i="31"/>
  <c r="Y223" i="31"/>
  <c r="Y224" i="31"/>
  <c r="Y225" i="31"/>
  <c r="Y226" i="31"/>
  <c r="Y227" i="31"/>
  <c r="Y228" i="31"/>
  <c r="Y229" i="31"/>
  <c r="Y230" i="31"/>
  <c r="Y231" i="31"/>
  <c r="Y232" i="31"/>
  <c r="Y233" i="31"/>
  <c r="Y234" i="31"/>
  <c r="Y235" i="31"/>
  <c r="Y236" i="31"/>
  <c r="Y237" i="31"/>
  <c r="Y238" i="31"/>
  <c r="Y239" i="31"/>
  <c r="Y240" i="31"/>
  <c r="Y241" i="31"/>
  <c r="Y242" i="31"/>
  <c r="Y243" i="31"/>
  <c r="Y244" i="31"/>
  <c r="Y245" i="31"/>
  <c r="Y246" i="31"/>
  <c r="Y247" i="31"/>
  <c r="Y248" i="31"/>
  <c r="Y249" i="31"/>
  <c r="Y250" i="31"/>
  <c r="Y251" i="31"/>
  <c r="Y252" i="31"/>
  <c r="Y253" i="31"/>
  <c r="Y254" i="31"/>
  <c r="Y255" i="31"/>
  <c r="Y256" i="31"/>
  <c r="Y257" i="31"/>
  <c r="Y258" i="31"/>
  <c r="Y259" i="31"/>
  <c r="Y260" i="31"/>
  <c r="Y261" i="31"/>
  <c r="Y262" i="31"/>
  <c r="Y263" i="31"/>
  <c r="Y264" i="31"/>
  <c r="Y265" i="31"/>
  <c r="Y266" i="31"/>
  <c r="Y267" i="31"/>
  <c r="Y268" i="31"/>
  <c r="Y269" i="31"/>
  <c r="Y270" i="31"/>
  <c r="Y271" i="31"/>
  <c r="Y272" i="31"/>
  <c r="Y273" i="31"/>
  <c r="Y274" i="31"/>
  <c r="Y275" i="31"/>
  <c r="Y276" i="31"/>
  <c r="Y277" i="31"/>
  <c r="Y278" i="31"/>
  <c r="Y279" i="31"/>
  <c r="Y280" i="31"/>
  <c r="Y281" i="31"/>
  <c r="Y282" i="31"/>
  <c r="Y283" i="31"/>
  <c r="Y284" i="31"/>
  <c r="Y285" i="31"/>
  <c r="Y286" i="31"/>
  <c r="Y287" i="31"/>
  <c r="Y288" i="31"/>
  <c r="Y289" i="31"/>
  <c r="Y290" i="31"/>
  <c r="Y291" i="31"/>
  <c r="Y292" i="31"/>
  <c r="Y293" i="31"/>
  <c r="Y294" i="31"/>
  <c r="Y295" i="31"/>
  <c r="Y296" i="31"/>
  <c r="Y297" i="31"/>
  <c r="Y298" i="31"/>
  <c r="Y299" i="31"/>
  <c r="Y300" i="31"/>
  <c r="Y301" i="31"/>
  <c r="Y302" i="31"/>
  <c r="Y303" i="31"/>
  <c r="Y304" i="31"/>
  <c r="Y305" i="31"/>
  <c r="Y306" i="31"/>
  <c r="Y307" i="31"/>
  <c r="Y308" i="31"/>
  <c r="Y309" i="31"/>
  <c r="Y310" i="31"/>
  <c r="Y311" i="31"/>
  <c r="Y312" i="31"/>
  <c r="Y313" i="31"/>
  <c r="Y314" i="31"/>
  <c r="Y315" i="31"/>
  <c r="Y316" i="31"/>
  <c r="Y317" i="31"/>
  <c r="Y318" i="31"/>
  <c r="Y319" i="31"/>
  <c r="Y320" i="31"/>
  <c r="Y321" i="31"/>
  <c r="Y322" i="31"/>
  <c r="Y323" i="31"/>
  <c r="Y324" i="31"/>
  <c r="Y325" i="31"/>
  <c r="Y326" i="31"/>
  <c r="Y327" i="31"/>
  <c r="Y328" i="31"/>
  <c r="Y329" i="31"/>
  <c r="Y330" i="31"/>
  <c r="Y331" i="31"/>
  <c r="Y332" i="31"/>
  <c r="Y333" i="31"/>
  <c r="Y334" i="31"/>
  <c r="Y335" i="31"/>
  <c r="Y336" i="31"/>
  <c r="Y337" i="31"/>
  <c r="Y338" i="31"/>
  <c r="Y339" i="31"/>
  <c r="Y340" i="31"/>
  <c r="Y341" i="31"/>
  <c r="Y342" i="31"/>
  <c r="Y343" i="31"/>
  <c r="Y344" i="31"/>
  <c r="Y345" i="31"/>
  <c r="Y346" i="31"/>
  <c r="Y347" i="31"/>
  <c r="Y348" i="31"/>
  <c r="Y349" i="31"/>
  <c r="Y350" i="31"/>
  <c r="Y351" i="31"/>
  <c r="Y352" i="31"/>
  <c r="Y353" i="31"/>
  <c r="Y354" i="31"/>
  <c r="Y355" i="31"/>
  <c r="Y356" i="31"/>
  <c r="Y357" i="31"/>
  <c r="Y358" i="31"/>
  <c r="Y359" i="31"/>
  <c r="Y360" i="31"/>
  <c r="Y361" i="31"/>
  <c r="Y362" i="31"/>
  <c r="Y363" i="31"/>
  <c r="Y364" i="31"/>
  <c r="Y365" i="31"/>
  <c r="Y366" i="31"/>
  <c r="Y367" i="31"/>
  <c r="Y368" i="31"/>
  <c r="Y369" i="31"/>
  <c r="Y370" i="31"/>
  <c r="Y371" i="31"/>
  <c r="Y372" i="31"/>
  <c r="Y373" i="31"/>
  <c r="Y374" i="31"/>
  <c r="Y375" i="31"/>
  <c r="Y376" i="31"/>
  <c r="Y377" i="31"/>
  <c r="Y378" i="31"/>
  <c r="Y379" i="31"/>
  <c r="Y380" i="31"/>
  <c r="Y381" i="31"/>
  <c r="Y382" i="31"/>
  <c r="Y383" i="31"/>
  <c r="Y384" i="31"/>
  <c r="Y385" i="31"/>
  <c r="Y386" i="31"/>
  <c r="Y387" i="31"/>
  <c r="Y388" i="31"/>
  <c r="Y389" i="31"/>
  <c r="Y390" i="31"/>
  <c r="Y391" i="31"/>
  <c r="Y392" i="31"/>
  <c r="Y393" i="31"/>
  <c r="Y394" i="31"/>
  <c r="Y395" i="31"/>
  <c r="Y396" i="31"/>
  <c r="Y397" i="31"/>
  <c r="Y398" i="31"/>
  <c r="Y399" i="31"/>
  <c r="Y400" i="31"/>
  <c r="Y401" i="31"/>
  <c r="Y402" i="31"/>
  <c r="Y403" i="31"/>
  <c r="Y404" i="31"/>
  <c r="Y405" i="31"/>
  <c r="Y406" i="31"/>
  <c r="Y407" i="31"/>
  <c r="Y408" i="31"/>
  <c r="Y409" i="31"/>
  <c r="Y410" i="31"/>
  <c r="Y411" i="31"/>
  <c r="Y412" i="31"/>
  <c r="Y413" i="31"/>
  <c r="Y414" i="31"/>
  <c r="Y415" i="31"/>
  <c r="Y416" i="31"/>
  <c r="Y417" i="31"/>
  <c r="Y418" i="31"/>
  <c r="Y419" i="31"/>
  <c r="Y420" i="31"/>
  <c r="Y421" i="31"/>
  <c r="Y422" i="31"/>
  <c r="Y423" i="31"/>
  <c r="Y424" i="31"/>
  <c r="Y425" i="31"/>
  <c r="Y426" i="31"/>
  <c r="Y427" i="31"/>
  <c r="Y428" i="31"/>
  <c r="Y429" i="31"/>
  <c r="Y430" i="31"/>
  <c r="Y431" i="31"/>
  <c r="Y432" i="31"/>
  <c r="Y433" i="31"/>
  <c r="Y434" i="31"/>
  <c r="Y435" i="31"/>
  <c r="Y436" i="31"/>
  <c r="Y437" i="31"/>
  <c r="Y438" i="31"/>
  <c r="Y439" i="31"/>
  <c r="Y440" i="31"/>
  <c r="Y441" i="31"/>
  <c r="Y442" i="31"/>
  <c r="Y443" i="31"/>
  <c r="Y444" i="31"/>
  <c r="Y445" i="31"/>
  <c r="Y446" i="31"/>
  <c r="Y447" i="31"/>
  <c r="Y448" i="31"/>
  <c r="Y449" i="31"/>
  <c r="Y450" i="31"/>
  <c r="Y451" i="31"/>
  <c r="Y452" i="31"/>
  <c r="Y453" i="31"/>
  <c r="Y454" i="31"/>
  <c r="Y455" i="31"/>
  <c r="Y456" i="31"/>
  <c r="Y457" i="31"/>
  <c r="Y458" i="31"/>
  <c r="Y459" i="31"/>
  <c r="Y460" i="31"/>
  <c r="Y461" i="31"/>
  <c r="Y462" i="31"/>
  <c r="Y463" i="31"/>
  <c r="Y464" i="31"/>
  <c r="Y465" i="31"/>
  <c r="Y466" i="31"/>
  <c r="Y467" i="31"/>
  <c r="Y468" i="31"/>
  <c r="Y469" i="31"/>
  <c r="Y470" i="31"/>
  <c r="Y471" i="31"/>
  <c r="Y472" i="31"/>
  <c r="Y473" i="31"/>
  <c r="Y474" i="31"/>
  <c r="Y475" i="31"/>
  <c r="Y476" i="31"/>
  <c r="Y477" i="31"/>
  <c r="Y478" i="31"/>
  <c r="Y479" i="31"/>
  <c r="Y480" i="31"/>
  <c r="Y481" i="31"/>
  <c r="Y482" i="31"/>
  <c r="Y483" i="31"/>
  <c r="Y484" i="31"/>
  <c r="Y485" i="31"/>
  <c r="Y486" i="31"/>
  <c r="Y487" i="31"/>
  <c r="Y488" i="31"/>
  <c r="Y489" i="31"/>
  <c r="Y490" i="31"/>
  <c r="Y491" i="31"/>
  <c r="Y492" i="31"/>
  <c r="Y493" i="31"/>
  <c r="Y494" i="31"/>
  <c r="Y495" i="31"/>
  <c r="Y496" i="31"/>
  <c r="Y497" i="31"/>
  <c r="Y498" i="31"/>
  <c r="Y499" i="31"/>
  <c r="Y500" i="31"/>
  <c r="Y501" i="31"/>
  <c r="Y502" i="31"/>
  <c r="Y503" i="31"/>
  <c r="Y504" i="31"/>
  <c r="Y505" i="31"/>
  <c r="Y506" i="31"/>
  <c r="Y507" i="31"/>
  <c r="Y508" i="31"/>
  <c r="Y509" i="31"/>
  <c r="Y510" i="31"/>
  <c r="Y511" i="31"/>
  <c r="Y512" i="31"/>
  <c r="Y513" i="31"/>
  <c r="Y514" i="31"/>
  <c r="Y515" i="31"/>
  <c r="Y516" i="31"/>
  <c r="Y517" i="31"/>
  <c r="Y518" i="31"/>
  <c r="Y519" i="31"/>
  <c r="Y520" i="31"/>
  <c r="Y521" i="31"/>
  <c r="Y522" i="31"/>
  <c r="Y523" i="31"/>
  <c r="Y524" i="31"/>
  <c r="Y525" i="31"/>
  <c r="Y526" i="31"/>
  <c r="Y527" i="31"/>
  <c r="Y528" i="31"/>
  <c r="Y529" i="31"/>
  <c r="Y530" i="31"/>
  <c r="Y531" i="31"/>
  <c r="Y532" i="31"/>
  <c r="Y533" i="31"/>
  <c r="Y534" i="31"/>
  <c r="Y535" i="31"/>
  <c r="Y536" i="31"/>
  <c r="Y537" i="31"/>
  <c r="Y538" i="31"/>
  <c r="Y539" i="31"/>
  <c r="Y540" i="31"/>
  <c r="Y541" i="31"/>
  <c r="Y542" i="31"/>
  <c r="Y543" i="31"/>
  <c r="Y544" i="31"/>
  <c r="Y545" i="31"/>
  <c r="Y546" i="31"/>
  <c r="Y547" i="31"/>
  <c r="Y548" i="31"/>
  <c r="Y549" i="31"/>
  <c r="Y550" i="31"/>
  <c r="Y551" i="31"/>
  <c r="Y552" i="31"/>
  <c r="Y553" i="31"/>
  <c r="Y554" i="31"/>
  <c r="Y555" i="31"/>
  <c r="Y556" i="31"/>
  <c r="Y557" i="31"/>
  <c r="Y558" i="31"/>
  <c r="Y559" i="31"/>
  <c r="Y560" i="31"/>
  <c r="Y561" i="31"/>
  <c r="Y562" i="31"/>
  <c r="Y563" i="31"/>
  <c r="Y564" i="31"/>
  <c r="Y565" i="31"/>
  <c r="Y566" i="31"/>
  <c r="Y567" i="31"/>
  <c r="Y568" i="31"/>
  <c r="Y569" i="31"/>
  <c r="Y570" i="31"/>
  <c r="Y571" i="31"/>
  <c r="Y572" i="31"/>
  <c r="Y573" i="31"/>
  <c r="Y574" i="31"/>
  <c r="Y575" i="31"/>
  <c r="Y576" i="31"/>
  <c r="Y577" i="31"/>
  <c r="Y578" i="31"/>
  <c r="Y579" i="31"/>
  <c r="Y580" i="31"/>
  <c r="Y581" i="31"/>
  <c r="Y582" i="31"/>
  <c r="Y583" i="31"/>
  <c r="Y584" i="31"/>
  <c r="Y585" i="31"/>
  <c r="Y586" i="31"/>
  <c r="Y587" i="31"/>
  <c r="Y588" i="31"/>
  <c r="Y589" i="31"/>
  <c r="Y590" i="31"/>
  <c r="Y591" i="31"/>
  <c r="Y592" i="31"/>
  <c r="Y593" i="31"/>
  <c r="Y594" i="31"/>
  <c r="Y595" i="31"/>
  <c r="Y596" i="31"/>
  <c r="Y597" i="31"/>
  <c r="Y598" i="31"/>
  <c r="Y599" i="31"/>
  <c r="Y600" i="31"/>
  <c r="Y601" i="31"/>
  <c r="Y602" i="31"/>
  <c r="Y603" i="31"/>
  <c r="Y604" i="31"/>
  <c r="Y605" i="31"/>
  <c r="Y606" i="31"/>
  <c r="Y607" i="31"/>
  <c r="Y608" i="31"/>
  <c r="Y609" i="31"/>
  <c r="Y610" i="31"/>
  <c r="Y611" i="31"/>
  <c r="Y612" i="31"/>
  <c r="Y613" i="31"/>
  <c r="Y614" i="31"/>
  <c r="Y615" i="31"/>
  <c r="Y616" i="31"/>
  <c r="Y617" i="31"/>
  <c r="Y618" i="31"/>
  <c r="Y619" i="31"/>
  <c r="Y620" i="31"/>
  <c r="Y621" i="31"/>
  <c r="Y622" i="31"/>
  <c r="Y623" i="31"/>
  <c r="Y624" i="31"/>
  <c r="Y625" i="31"/>
  <c r="Y626" i="31"/>
  <c r="Y627" i="31"/>
  <c r="Y628" i="31"/>
  <c r="Y629" i="31"/>
  <c r="Y630" i="31"/>
  <c r="Y631" i="31"/>
  <c r="Y632" i="31"/>
  <c r="Y633" i="31"/>
  <c r="Y634" i="31"/>
  <c r="Y635" i="31"/>
  <c r="Y636" i="31"/>
  <c r="Y637" i="31"/>
  <c r="Y638" i="31"/>
  <c r="Y639" i="31"/>
  <c r="Y640" i="31"/>
  <c r="Y641" i="31"/>
  <c r="Y642" i="31"/>
  <c r="Y643" i="31"/>
  <c r="Y644" i="31"/>
  <c r="Y645" i="31"/>
  <c r="Y646" i="31"/>
  <c r="Y647" i="31"/>
  <c r="Y648" i="31"/>
  <c r="Y649" i="31"/>
  <c r="Y650" i="31"/>
  <c r="Y651" i="31"/>
  <c r="Y652" i="31"/>
  <c r="Y653" i="31"/>
  <c r="Y654" i="31"/>
  <c r="Y655" i="31"/>
  <c r="Y656" i="31"/>
  <c r="Y657" i="31"/>
  <c r="Y658" i="31"/>
  <c r="Y659" i="31"/>
  <c r="Y660" i="31"/>
  <c r="Y661" i="31"/>
  <c r="Y662" i="31"/>
  <c r="Y663" i="31"/>
  <c r="Y664" i="31"/>
  <c r="Y665" i="31"/>
  <c r="Y666" i="31"/>
  <c r="Y667" i="31"/>
  <c r="Y668" i="31"/>
  <c r="Y669" i="31"/>
  <c r="Y670" i="31"/>
  <c r="Y671" i="31"/>
  <c r="Y672" i="31"/>
  <c r="Y673" i="31"/>
  <c r="Y674" i="31"/>
  <c r="Y675" i="31"/>
  <c r="Y676" i="31"/>
  <c r="Y677" i="31"/>
  <c r="Y678" i="31"/>
  <c r="Y679" i="31"/>
  <c r="Y680" i="31"/>
  <c r="Y681" i="31"/>
  <c r="Y682" i="31"/>
  <c r="Y683" i="31"/>
  <c r="Y684" i="31"/>
  <c r="Y685" i="31"/>
  <c r="Y686" i="31"/>
  <c r="Y687" i="31"/>
  <c r="Y688" i="31"/>
  <c r="Y689" i="31"/>
  <c r="Y690" i="31"/>
  <c r="Y691" i="31"/>
  <c r="Y692" i="31"/>
  <c r="Y693" i="31"/>
  <c r="Y694" i="31"/>
  <c r="Y695" i="31"/>
  <c r="Y696" i="31"/>
  <c r="Y697" i="31"/>
  <c r="Y698" i="31"/>
  <c r="Y699" i="31"/>
  <c r="Y700" i="31"/>
  <c r="Y701" i="31"/>
  <c r="Y702" i="31"/>
  <c r="Y703" i="31"/>
  <c r="Y704" i="31"/>
  <c r="Y705" i="31"/>
  <c r="Y706" i="31"/>
  <c r="Y707" i="31"/>
  <c r="Y708" i="31"/>
  <c r="Y709" i="31"/>
  <c r="Y710" i="31"/>
  <c r="Y711" i="31"/>
  <c r="Y712" i="31"/>
  <c r="Y713" i="31"/>
  <c r="Y714" i="31"/>
  <c r="Y715" i="31"/>
  <c r="Y716" i="31"/>
  <c r="Y717" i="31"/>
  <c r="Y718" i="31"/>
  <c r="Y719" i="31"/>
  <c r="Y720" i="31"/>
  <c r="Y721" i="31"/>
  <c r="Y722" i="31"/>
  <c r="Y723" i="31"/>
  <c r="Y724" i="31"/>
  <c r="Y725" i="31"/>
  <c r="Y726" i="31"/>
  <c r="Y727" i="31"/>
  <c r="Y728" i="31"/>
  <c r="Y729" i="31"/>
  <c r="Y730" i="31"/>
  <c r="Y731" i="31"/>
  <c r="Y732" i="31"/>
  <c r="Y733" i="31"/>
  <c r="Y734" i="31"/>
  <c r="Y735" i="31"/>
  <c r="Y736" i="31"/>
  <c r="Y737" i="31"/>
  <c r="Y738" i="31"/>
  <c r="Y739" i="31"/>
  <c r="Y740" i="31"/>
  <c r="Y741" i="31"/>
  <c r="Y742" i="31"/>
  <c r="Y743" i="31"/>
  <c r="Y744" i="31"/>
  <c r="Y745" i="31"/>
  <c r="Y746" i="31"/>
  <c r="Y747" i="31"/>
  <c r="Y748" i="31"/>
  <c r="Y749" i="31"/>
  <c r="Y750" i="31"/>
  <c r="Y751" i="31"/>
  <c r="Y752" i="31"/>
  <c r="Y753" i="31"/>
  <c r="Y754" i="31"/>
  <c r="Y755" i="31"/>
  <c r="Y756" i="31"/>
  <c r="Y757" i="31"/>
  <c r="Y758" i="31"/>
  <c r="Y759" i="31"/>
  <c r="Y760" i="31"/>
  <c r="Y761" i="31"/>
  <c r="Y762" i="31"/>
  <c r="Y763" i="31"/>
  <c r="Y764" i="31"/>
  <c r="Y765" i="31"/>
  <c r="Y766" i="31"/>
  <c r="X204" i="31"/>
  <c r="X205" i="31"/>
  <c r="X206" i="31"/>
  <c r="X207" i="31"/>
  <c r="X208" i="31"/>
  <c r="X209" i="31"/>
  <c r="X210" i="31"/>
  <c r="X211" i="31"/>
  <c r="X212" i="31"/>
  <c r="X213" i="31"/>
  <c r="X214" i="31"/>
  <c r="X215" i="31"/>
  <c r="X216" i="31"/>
  <c r="X217" i="31"/>
  <c r="X218" i="31"/>
  <c r="X219" i="31"/>
  <c r="X220" i="31"/>
  <c r="X221" i="31"/>
  <c r="X222" i="31"/>
  <c r="X223" i="31"/>
  <c r="X224" i="31"/>
  <c r="X225" i="31"/>
  <c r="X226" i="31"/>
  <c r="X227" i="31"/>
  <c r="X228" i="31"/>
  <c r="X229" i="31"/>
  <c r="X230" i="31"/>
  <c r="X231" i="31"/>
  <c r="X232" i="31"/>
  <c r="X233" i="31"/>
  <c r="X234" i="31"/>
  <c r="X235" i="31"/>
  <c r="X236" i="31"/>
  <c r="X237" i="31"/>
  <c r="X238" i="31"/>
  <c r="X239" i="31"/>
  <c r="X240" i="31"/>
  <c r="X241" i="31"/>
  <c r="X242" i="31"/>
  <c r="X243" i="31"/>
  <c r="X244" i="31"/>
  <c r="X245" i="31"/>
  <c r="X246" i="31"/>
  <c r="X247" i="31"/>
  <c r="X248" i="31"/>
  <c r="X249" i="31"/>
  <c r="X250" i="31"/>
  <c r="X251" i="31"/>
  <c r="X252" i="31"/>
  <c r="X253" i="31"/>
  <c r="X254" i="31"/>
  <c r="X255" i="31"/>
  <c r="X256" i="31"/>
  <c r="X257" i="31"/>
  <c r="X258" i="31"/>
  <c r="X259" i="31"/>
  <c r="X260" i="31"/>
  <c r="X261" i="31"/>
  <c r="X262" i="31"/>
  <c r="X263" i="31"/>
  <c r="X264" i="31"/>
  <c r="X265" i="31"/>
  <c r="X266" i="31"/>
  <c r="X267" i="31"/>
  <c r="X268" i="31"/>
  <c r="X269" i="31"/>
  <c r="X270" i="31"/>
  <c r="X271" i="31"/>
  <c r="X272" i="31"/>
  <c r="X273" i="31"/>
  <c r="X274" i="31"/>
  <c r="X275" i="31"/>
  <c r="X276" i="31"/>
  <c r="X277" i="31"/>
  <c r="X278" i="31"/>
  <c r="X279" i="31"/>
  <c r="X280" i="31"/>
  <c r="X281" i="31"/>
  <c r="X282" i="31"/>
  <c r="X283" i="31"/>
  <c r="X284" i="31"/>
  <c r="X285" i="31"/>
  <c r="X286" i="31"/>
  <c r="X287" i="31"/>
  <c r="X288" i="31"/>
  <c r="X289" i="31"/>
  <c r="X290" i="31"/>
  <c r="X291" i="31"/>
  <c r="X292" i="31"/>
  <c r="X293" i="31"/>
  <c r="X294" i="31"/>
  <c r="X295" i="31"/>
  <c r="X296" i="31"/>
  <c r="X297" i="31"/>
  <c r="X298" i="31"/>
  <c r="X299" i="31"/>
  <c r="X300" i="31"/>
  <c r="X301" i="31"/>
  <c r="X302" i="31"/>
  <c r="X303" i="31"/>
  <c r="X304" i="31"/>
  <c r="X305" i="31"/>
  <c r="X306" i="31"/>
  <c r="X307" i="31"/>
  <c r="X308" i="31"/>
  <c r="X309" i="31"/>
  <c r="X310" i="31"/>
  <c r="X311" i="31"/>
  <c r="X312" i="31"/>
  <c r="X313" i="31"/>
  <c r="X314" i="31"/>
  <c r="X315" i="31"/>
  <c r="X316" i="31"/>
  <c r="X317" i="31"/>
  <c r="X318" i="31"/>
  <c r="X319" i="31"/>
  <c r="X320" i="31"/>
  <c r="X321" i="31"/>
  <c r="X322" i="31"/>
  <c r="X323" i="31"/>
  <c r="X324" i="31"/>
  <c r="X325" i="31"/>
  <c r="X326" i="31"/>
  <c r="X327" i="31"/>
  <c r="X328" i="31"/>
  <c r="X329" i="31"/>
  <c r="X330" i="31"/>
  <c r="X331" i="31"/>
  <c r="X332" i="31"/>
  <c r="X333" i="31"/>
  <c r="X334" i="31"/>
  <c r="X335" i="31"/>
  <c r="X336" i="31"/>
  <c r="X337" i="31"/>
  <c r="X338" i="31"/>
  <c r="X339" i="31"/>
  <c r="X340" i="31"/>
  <c r="X341" i="31"/>
  <c r="X342" i="31"/>
  <c r="X343" i="31"/>
  <c r="X344" i="31"/>
  <c r="X345" i="31"/>
  <c r="X346" i="31"/>
  <c r="X347" i="31"/>
  <c r="X348" i="31"/>
  <c r="X349" i="31"/>
  <c r="X350" i="31"/>
  <c r="X351" i="31"/>
  <c r="X352" i="31"/>
  <c r="X353" i="31"/>
  <c r="X354" i="31"/>
  <c r="X355" i="31"/>
  <c r="X356" i="31"/>
  <c r="X357" i="31"/>
  <c r="X358" i="31"/>
  <c r="X359" i="31"/>
  <c r="X360" i="31"/>
  <c r="X361" i="31"/>
  <c r="X362" i="31"/>
  <c r="X363" i="31"/>
  <c r="X364" i="31"/>
  <c r="X365" i="31"/>
  <c r="X366" i="31"/>
  <c r="X367" i="31"/>
  <c r="X368" i="31"/>
  <c r="X369" i="31"/>
  <c r="X370" i="31"/>
  <c r="X371" i="31"/>
  <c r="X372" i="31"/>
  <c r="X373" i="31"/>
  <c r="X374" i="31"/>
  <c r="X375" i="31"/>
  <c r="X376" i="31"/>
  <c r="X377" i="31"/>
  <c r="X378" i="31"/>
  <c r="X379" i="31"/>
  <c r="X380" i="31"/>
  <c r="X381" i="31"/>
  <c r="X382" i="31"/>
  <c r="X383" i="31"/>
  <c r="X384" i="31"/>
  <c r="X385" i="31"/>
  <c r="X386" i="31"/>
  <c r="X387" i="31"/>
  <c r="X388" i="31"/>
  <c r="X389" i="31"/>
  <c r="X390" i="31"/>
  <c r="X391" i="31"/>
  <c r="X392" i="31"/>
  <c r="X393" i="31"/>
  <c r="X394" i="31"/>
  <c r="X395" i="31"/>
  <c r="X396" i="31"/>
  <c r="X397" i="31"/>
  <c r="X398" i="31"/>
  <c r="X399" i="31"/>
  <c r="X400" i="31"/>
  <c r="X401" i="31"/>
  <c r="X402" i="31"/>
  <c r="X403" i="31"/>
  <c r="X404" i="31"/>
  <c r="X405" i="31"/>
  <c r="X406" i="31"/>
  <c r="X407" i="31"/>
  <c r="X408" i="31"/>
  <c r="X409" i="31"/>
  <c r="X410" i="31"/>
  <c r="X411" i="31"/>
  <c r="X412" i="31"/>
  <c r="X413" i="31"/>
  <c r="X414" i="31"/>
  <c r="X415" i="31"/>
  <c r="X416" i="31"/>
  <c r="X417" i="31"/>
  <c r="X418" i="31"/>
  <c r="X419" i="31"/>
  <c r="X420" i="31"/>
  <c r="X421" i="31"/>
  <c r="X422" i="31"/>
  <c r="X423" i="31"/>
  <c r="X424" i="31"/>
  <c r="X425" i="31"/>
  <c r="X426" i="31"/>
  <c r="X427" i="31"/>
  <c r="X428" i="31"/>
  <c r="X429" i="31"/>
  <c r="X430" i="31"/>
  <c r="X431" i="31"/>
  <c r="X432" i="31"/>
  <c r="X433" i="31"/>
  <c r="X434" i="31"/>
  <c r="X435" i="31"/>
  <c r="X436" i="31"/>
  <c r="X437" i="31"/>
  <c r="X438" i="31"/>
  <c r="X439" i="31"/>
  <c r="X440" i="31"/>
  <c r="X441" i="31"/>
  <c r="X442" i="31"/>
  <c r="X443" i="31"/>
  <c r="X444" i="31"/>
  <c r="X445" i="31"/>
  <c r="X446" i="31"/>
  <c r="X447" i="31"/>
  <c r="X448" i="31"/>
  <c r="X449" i="31"/>
  <c r="X450" i="31"/>
  <c r="X451" i="31"/>
  <c r="X452" i="31"/>
  <c r="X453" i="31"/>
  <c r="X454" i="31"/>
  <c r="X455" i="31"/>
  <c r="X456" i="31"/>
  <c r="X457" i="31"/>
  <c r="X458" i="31"/>
  <c r="X459" i="31"/>
  <c r="X460" i="31"/>
  <c r="X461" i="31"/>
  <c r="X462" i="31"/>
  <c r="X463" i="31"/>
  <c r="X464" i="31"/>
  <c r="X465" i="31"/>
  <c r="X466" i="31"/>
  <c r="X467" i="31"/>
  <c r="X468" i="31"/>
  <c r="X469" i="31"/>
  <c r="X470" i="31"/>
  <c r="X471" i="31"/>
  <c r="X472" i="31"/>
  <c r="X473" i="31"/>
  <c r="X474" i="31"/>
  <c r="X475" i="31"/>
  <c r="X476" i="31"/>
  <c r="X477" i="31"/>
  <c r="X478" i="31"/>
  <c r="X479" i="31"/>
  <c r="X480" i="31"/>
  <c r="X481" i="31"/>
  <c r="X482" i="31"/>
  <c r="X483" i="31"/>
  <c r="X484" i="31"/>
  <c r="X485" i="31"/>
  <c r="X486" i="31"/>
  <c r="X487" i="31"/>
  <c r="X488" i="31"/>
  <c r="X489" i="31"/>
  <c r="X490" i="31"/>
  <c r="X491" i="31"/>
  <c r="X492" i="31"/>
  <c r="X493" i="31"/>
  <c r="X494" i="31"/>
  <c r="X495" i="31"/>
  <c r="X496" i="31"/>
  <c r="X497" i="31"/>
  <c r="X498" i="31"/>
  <c r="X499" i="31"/>
  <c r="X500" i="31"/>
  <c r="X501" i="31"/>
  <c r="X502" i="31"/>
  <c r="X503" i="31"/>
  <c r="X504" i="31"/>
  <c r="X505" i="31"/>
  <c r="X506" i="31"/>
  <c r="X507" i="31"/>
  <c r="X508" i="31"/>
  <c r="X509" i="31"/>
  <c r="X510" i="31"/>
  <c r="X511" i="31"/>
  <c r="X512" i="31"/>
  <c r="X513" i="31"/>
  <c r="X514" i="31"/>
  <c r="X515" i="31"/>
  <c r="X516" i="31"/>
  <c r="X517" i="31"/>
  <c r="X518" i="31"/>
  <c r="X519" i="31"/>
  <c r="X520" i="31"/>
  <c r="X521" i="31"/>
  <c r="X522" i="31"/>
  <c r="X523" i="31"/>
  <c r="X524" i="31"/>
  <c r="X525" i="31"/>
  <c r="X526" i="31"/>
  <c r="X527" i="31"/>
  <c r="X528" i="31"/>
  <c r="X529" i="31"/>
  <c r="X530" i="31"/>
  <c r="X531" i="31"/>
  <c r="X532" i="31"/>
  <c r="X533" i="31"/>
  <c r="X534" i="31"/>
  <c r="X535" i="31"/>
  <c r="X536" i="31"/>
  <c r="X537" i="31"/>
  <c r="X538" i="31"/>
  <c r="X539" i="31"/>
  <c r="X540" i="31"/>
  <c r="X541" i="31"/>
  <c r="X542" i="31"/>
  <c r="X543" i="31"/>
  <c r="X544" i="31"/>
  <c r="X545" i="31"/>
  <c r="X546" i="31"/>
  <c r="X547" i="31"/>
  <c r="X548" i="31"/>
  <c r="X549" i="31"/>
  <c r="X550" i="31"/>
  <c r="X551" i="31"/>
  <c r="X552" i="31"/>
  <c r="X553" i="31"/>
  <c r="X554" i="31"/>
  <c r="X555" i="31"/>
  <c r="X556" i="31"/>
  <c r="X557" i="31"/>
  <c r="X558" i="31"/>
  <c r="X559" i="31"/>
  <c r="X560" i="31"/>
  <c r="X561" i="31"/>
  <c r="X562" i="31"/>
  <c r="X563" i="31"/>
  <c r="X564" i="31"/>
  <c r="X565" i="31"/>
  <c r="X566" i="31"/>
  <c r="X567" i="31"/>
  <c r="X568" i="31"/>
  <c r="X569" i="31"/>
  <c r="X570" i="31"/>
  <c r="X571" i="31"/>
  <c r="X572" i="31"/>
  <c r="X573" i="31"/>
  <c r="X574" i="31"/>
  <c r="X575" i="31"/>
  <c r="X576" i="31"/>
  <c r="X577" i="31"/>
  <c r="X578" i="31"/>
  <c r="X579" i="31"/>
  <c r="X580" i="31"/>
  <c r="X581" i="31"/>
  <c r="X582" i="31"/>
  <c r="X583" i="31"/>
  <c r="X584" i="31"/>
  <c r="X585" i="31"/>
  <c r="X586" i="31"/>
  <c r="X587" i="31"/>
  <c r="X588" i="31"/>
  <c r="X589" i="31"/>
  <c r="X590" i="31"/>
  <c r="X591" i="31"/>
  <c r="X592" i="31"/>
  <c r="X593" i="31"/>
  <c r="X594" i="31"/>
  <c r="X595" i="31"/>
  <c r="X596" i="31"/>
  <c r="X597" i="31"/>
  <c r="X598" i="31"/>
  <c r="X599" i="31"/>
  <c r="X600" i="31"/>
  <c r="X601" i="31"/>
  <c r="X602" i="31"/>
  <c r="X603" i="31"/>
  <c r="X604" i="31"/>
  <c r="X605" i="31"/>
  <c r="X606" i="31"/>
  <c r="X607" i="31"/>
  <c r="X608" i="31"/>
  <c r="X609" i="31"/>
  <c r="X610" i="31"/>
  <c r="X611" i="31"/>
  <c r="X612" i="31"/>
  <c r="X613" i="31"/>
  <c r="X614" i="31"/>
  <c r="X615" i="31"/>
  <c r="X616" i="31"/>
  <c r="X617" i="31"/>
  <c r="X618" i="31"/>
  <c r="X619" i="31"/>
  <c r="X620" i="31"/>
  <c r="X621" i="31"/>
  <c r="X622" i="31"/>
  <c r="X623" i="31"/>
  <c r="X624" i="31"/>
  <c r="X625" i="31"/>
  <c r="X626" i="31"/>
  <c r="X627" i="31"/>
  <c r="X628" i="31"/>
  <c r="X629" i="31"/>
  <c r="X630" i="31"/>
  <c r="X631" i="31"/>
  <c r="X632" i="31"/>
  <c r="X633" i="31"/>
  <c r="X634" i="31"/>
  <c r="X635" i="31"/>
  <c r="X636" i="31"/>
  <c r="X637" i="31"/>
  <c r="X638" i="31"/>
  <c r="X639" i="31"/>
  <c r="X640" i="31"/>
  <c r="X641" i="31"/>
  <c r="X642" i="31"/>
  <c r="X643" i="31"/>
  <c r="X644" i="31"/>
  <c r="X645" i="31"/>
  <c r="X646" i="31"/>
  <c r="X647" i="31"/>
  <c r="X648" i="31"/>
  <c r="X649" i="31"/>
  <c r="X650" i="31"/>
  <c r="X651" i="31"/>
  <c r="X652" i="31"/>
  <c r="X653" i="31"/>
  <c r="X654" i="31"/>
  <c r="X655" i="31"/>
  <c r="X656" i="31"/>
  <c r="X657" i="31"/>
  <c r="X658" i="31"/>
  <c r="X659" i="31"/>
  <c r="X660" i="31"/>
  <c r="X661" i="31"/>
  <c r="X662" i="31"/>
  <c r="X663" i="31"/>
  <c r="X664" i="31"/>
  <c r="X665" i="31"/>
  <c r="X666" i="31"/>
  <c r="X667" i="31"/>
  <c r="X668" i="31"/>
  <c r="X669" i="31"/>
  <c r="X670" i="31"/>
  <c r="X671" i="31"/>
  <c r="X672" i="31"/>
  <c r="X673" i="31"/>
  <c r="X674" i="31"/>
  <c r="X675" i="31"/>
  <c r="X676" i="31"/>
  <c r="X677" i="31"/>
  <c r="X678" i="31"/>
  <c r="X679" i="31"/>
  <c r="X680" i="31"/>
  <c r="X681" i="31"/>
  <c r="X682" i="31"/>
  <c r="X683" i="31"/>
  <c r="X684" i="31"/>
  <c r="X685" i="31"/>
  <c r="X686" i="31"/>
  <c r="X687" i="31"/>
  <c r="X688" i="31"/>
  <c r="X689" i="31"/>
  <c r="X690" i="31"/>
  <c r="X691" i="31"/>
  <c r="X692" i="31"/>
  <c r="X693" i="31"/>
  <c r="X694" i="31"/>
  <c r="X695" i="31"/>
  <c r="X696" i="31"/>
  <c r="X697" i="31"/>
  <c r="X698" i="31"/>
  <c r="X699" i="31"/>
  <c r="X700" i="31"/>
  <c r="X701" i="31"/>
  <c r="X702" i="31"/>
  <c r="X703" i="31"/>
  <c r="X704" i="31"/>
  <c r="X705" i="31"/>
  <c r="X706" i="31"/>
  <c r="X707" i="31"/>
  <c r="X708" i="31"/>
  <c r="X709" i="31"/>
  <c r="X710" i="31"/>
  <c r="X711" i="31"/>
  <c r="X712" i="31"/>
  <c r="X713" i="31"/>
  <c r="X714" i="31"/>
  <c r="X715" i="31"/>
  <c r="X716" i="31"/>
  <c r="X717" i="31"/>
  <c r="X718" i="31"/>
  <c r="X719" i="31"/>
  <c r="X720" i="31"/>
  <c r="X721" i="31"/>
  <c r="X722" i="31"/>
  <c r="X723" i="31"/>
  <c r="X724" i="31"/>
  <c r="X725" i="31"/>
  <c r="X726" i="31"/>
  <c r="X727" i="31"/>
  <c r="X728" i="31"/>
  <c r="X729" i="31"/>
  <c r="X730" i="31"/>
  <c r="X731" i="31"/>
  <c r="X732" i="31"/>
  <c r="X733" i="31"/>
  <c r="X734" i="31"/>
  <c r="X735" i="31"/>
  <c r="X736" i="31"/>
  <c r="X737" i="31"/>
  <c r="X738" i="31"/>
  <c r="X739" i="31"/>
  <c r="X740" i="31"/>
  <c r="X741" i="31"/>
  <c r="X742" i="31"/>
  <c r="X743" i="31"/>
  <c r="X744" i="31"/>
  <c r="X745" i="31"/>
  <c r="X746" i="31"/>
  <c r="X747" i="31"/>
  <c r="X748" i="31"/>
  <c r="X749" i="31"/>
  <c r="X750" i="31"/>
  <c r="X751" i="31"/>
  <c r="X752" i="31"/>
  <c r="X753" i="31"/>
  <c r="X754" i="31"/>
  <c r="X755" i="31"/>
  <c r="X756" i="31"/>
  <c r="X757" i="31"/>
  <c r="X758" i="31"/>
  <c r="X759" i="31"/>
  <c r="X760" i="31"/>
  <c r="X761" i="31"/>
  <c r="X762" i="31"/>
  <c r="X763" i="31"/>
  <c r="X764" i="31"/>
  <c r="X765" i="31"/>
  <c r="X766" i="31"/>
  <c r="W204" i="31"/>
  <c r="W205" i="31"/>
  <c r="W206" i="31"/>
  <c r="W207" i="31"/>
  <c r="W208" i="31"/>
  <c r="W209" i="31"/>
  <c r="W210" i="31"/>
  <c r="W211" i="31"/>
  <c r="W212" i="31"/>
  <c r="W213" i="31"/>
  <c r="W214" i="31"/>
  <c r="W215" i="31"/>
  <c r="W216" i="31"/>
  <c r="W217" i="31"/>
  <c r="W218" i="31"/>
  <c r="W219" i="31"/>
  <c r="W220" i="31"/>
  <c r="W221" i="31"/>
  <c r="W222" i="31"/>
  <c r="W223" i="31"/>
  <c r="W224" i="31"/>
  <c r="W225" i="31"/>
  <c r="W226" i="31"/>
  <c r="W227" i="31"/>
  <c r="W228" i="31"/>
  <c r="W229" i="31"/>
  <c r="W230" i="31"/>
  <c r="W231" i="31"/>
  <c r="W232" i="31"/>
  <c r="W233" i="31"/>
  <c r="W234" i="31"/>
  <c r="W235" i="31"/>
  <c r="W236" i="31"/>
  <c r="W237" i="31"/>
  <c r="W238" i="31"/>
  <c r="W239" i="31"/>
  <c r="W240" i="31"/>
  <c r="W241" i="31"/>
  <c r="W242" i="31"/>
  <c r="W243" i="31"/>
  <c r="W244" i="31"/>
  <c r="W245" i="31"/>
  <c r="W246" i="31"/>
  <c r="W247" i="31"/>
  <c r="W248" i="31"/>
  <c r="W249" i="31"/>
  <c r="W250" i="31"/>
  <c r="W251" i="31"/>
  <c r="W252" i="31"/>
  <c r="W253" i="31"/>
  <c r="W254" i="31"/>
  <c r="W255" i="31"/>
  <c r="W256" i="31"/>
  <c r="W257" i="31"/>
  <c r="W258" i="31"/>
  <c r="W259" i="31"/>
  <c r="W260" i="31"/>
  <c r="W261" i="31"/>
  <c r="W262" i="31"/>
  <c r="W263" i="31"/>
  <c r="W264" i="31"/>
  <c r="W265" i="31"/>
  <c r="W266" i="31"/>
  <c r="W267" i="31"/>
  <c r="W268" i="31"/>
  <c r="W269" i="31"/>
  <c r="W270" i="31"/>
  <c r="W271" i="31"/>
  <c r="W272" i="31"/>
  <c r="W273" i="31"/>
  <c r="W274" i="31"/>
  <c r="W275" i="31"/>
  <c r="W276" i="31"/>
  <c r="W277" i="31"/>
  <c r="W278" i="31"/>
  <c r="W279" i="31"/>
  <c r="W280" i="31"/>
  <c r="W281" i="31"/>
  <c r="W282" i="31"/>
  <c r="W283" i="31"/>
  <c r="W284" i="31"/>
  <c r="W285" i="31"/>
  <c r="W286" i="31"/>
  <c r="W287" i="31"/>
  <c r="W288" i="31"/>
  <c r="W289" i="31"/>
  <c r="W290" i="31"/>
  <c r="W291" i="31"/>
  <c r="W292" i="31"/>
  <c r="W293" i="31"/>
  <c r="W294" i="31"/>
  <c r="W295" i="31"/>
  <c r="W296" i="31"/>
  <c r="W297" i="31"/>
  <c r="W298" i="31"/>
  <c r="W299" i="31"/>
  <c r="W300" i="31"/>
  <c r="W301" i="31"/>
  <c r="W302" i="31"/>
  <c r="W303" i="31"/>
  <c r="W304" i="31"/>
  <c r="W305" i="31"/>
  <c r="W306" i="31"/>
  <c r="W307" i="31"/>
  <c r="W308" i="31"/>
  <c r="W309" i="31"/>
  <c r="W310" i="31"/>
  <c r="W311" i="31"/>
  <c r="W312" i="31"/>
  <c r="W313" i="31"/>
  <c r="W314" i="31"/>
  <c r="W315" i="31"/>
  <c r="W316" i="31"/>
  <c r="W317" i="31"/>
  <c r="W318" i="31"/>
  <c r="W319" i="31"/>
  <c r="W320" i="31"/>
  <c r="W321" i="31"/>
  <c r="W322" i="31"/>
  <c r="W323" i="31"/>
  <c r="W324" i="31"/>
  <c r="W325" i="31"/>
  <c r="W326" i="31"/>
  <c r="W327" i="31"/>
  <c r="W328" i="31"/>
  <c r="W329" i="31"/>
  <c r="W330" i="31"/>
  <c r="W331" i="31"/>
  <c r="W332" i="31"/>
  <c r="W333" i="31"/>
  <c r="W334" i="31"/>
  <c r="W335" i="31"/>
  <c r="W336" i="31"/>
  <c r="W337" i="31"/>
  <c r="W338" i="31"/>
  <c r="W339" i="31"/>
  <c r="W340" i="31"/>
  <c r="W341" i="31"/>
  <c r="W342" i="31"/>
  <c r="W343" i="31"/>
  <c r="W344" i="31"/>
  <c r="W345" i="31"/>
  <c r="W346" i="31"/>
  <c r="W347" i="31"/>
  <c r="W348" i="31"/>
  <c r="W349" i="31"/>
  <c r="W350" i="31"/>
  <c r="W351" i="31"/>
  <c r="W352" i="31"/>
  <c r="W353" i="31"/>
  <c r="W354" i="31"/>
  <c r="W355" i="31"/>
  <c r="W356" i="31"/>
  <c r="W357" i="31"/>
  <c r="W358" i="31"/>
  <c r="W359" i="31"/>
  <c r="W360" i="31"/>
  <c r="W361" i="31"/>
  <c r="W362" i="31"/>
  <c r="W363" i="31"/>
  <c r="W364" i="31"/>
  <c r="W365" i="31"/>
  <c r="W366" i="31"/>
  <c r="W367" i="31"/>
  <c r="W368" i="31"/>
  <c r="W369" i="31"/>
  <c r="W370" i="31"/>
  <c r="W371" i="31"/>
  <c r="W372" i="31"/>
  <c r="W373" i="31"/>
  <c r="W374" i="31"/>
  <c r="W375" i="31"/>
  <c r="W376" i="31"/>
  <c r="W377" i="31"/>
  <c r="W378" i="31"/>
  <c r="W379" i="31"/>
  <c r="W380" i="31"/>
  <c r="W381" i="31"/>
  <c r="W382" i="31"/>
  <c r="W383" i="31"/>
  <c r="W384" i="31"/>
  <c r="W385" i="31"/>
  <c r="W386" i="31"/>
  <c r="W387" i="31"/>
  <c r="W388" i="31"/>
  <c r="W389" i="31"/>
  <c r="W390" i="31"/>
  <c r="W391" i="31"/>
  <c r="W392" i="31"/>
  <c r="W393" i="31"/>
  <c r="W394" i="31"/>
  <c r="W395" i="31"/>
  <c r="W396" i="31"/>
  <c r="W397" i="31"/>
  <c r="W398" i="31"/>
  <c r="W399" i="31"/>
  <c r="W400" i="31"/>
  <c r="W401" i="31"/>
  <c r="W402" i="31"/>
  <c r="W403" i="31"/>
  <c r="W404" i="31"/>
  <c r="W405" i="31"/>
  <c r="W406" i="31"/>
  <c r="W407" i="31"/>
  <c r="W408" i="31"/>
  <c r="W409" i="31"/>
  <c r="W410" i="31"/>
  <c r="W411" i="31"/>
  <c r="W412" i="31"/>
  <c r="W413" i="31"/>
  <c r="W414" i="31"/>
  <c r="W415" i="31"/>
  <c r="W416" i="31"/>
  <c r="W417" i="31"/>
  <c r="W418" i="31"/>
  <c r="W419" i="31"/>
  <c r="W420" i="31"/>
  <c r="W421" i="31"/>
  <c r="W422" i="31"/>
  <c r="W423" i="31"/>
  <c r="W424" i="31"/>
  <c r="W425" i="31"/>
  <c r="W426" i="31"/>
  <c r="W427" i="31"/>
  <c r="W428" i="31"/>
  <c r="W429" i="31"/>
  <c r="W430" i="31"/>
  <c r="W431" i="31"/>
  <c r="W432" i="31"/>
  <c r="W433" i="31"/>
  <c r="W434" i="31"/>
  <c r="W435" i="31"/>
  <c r="W436" i="31"/>
  <c r="W437" i="31"/>
  <c r="W438" i="31"/>
  <c r="W439" i="31"/>
  <c r="W440" i="31"/>
  <c r="W441" i="31"/>
  <c r="W442" i="31"/>
  <c r="W443" i="31"/>
  <c r="W444" i="31"/>
  <c r="W445" i="31"/>
  <c r="W446" i="31"/>
  <c r="W447" i="31"/>
  <c r="W448" i="31"/>
  <c r="W449" i="31"/>
  <c r="W450" i="31"/>
  <c r="W451" i="31"/>
  <c r="W452" i="31"/>
  <c r="W453" i="31"/>
  <c r="W454" i="31"/>
  <c r="W455" i="31"/>
  <c r="W456" i="31"/>
  <c r="W457" i="31"/>
  <c r="W458" i="31"/>
  <c r="W459" i="31"/>
  <c r="W460" i="31"/>
  <c r="W461" i="31"/>
  <c r="W462" i="31"/>
  <c r="W463" i="31"/>
  <c r="W464" i="31"/>
  <c r="W465" i="31"/>
  <c r="W466" i="31"/>
  <c r="W467" i="31"/>
  <c r="W468" i="31"/>
  <c r="W469" i="31"/>
  <c r="W470" i="31"/>
  <c r="W471" i="31"/>
  <c r="W472" i="31"/>
  <c r="W473" i="31"/>
  <c r="W474" i="31"/>
  <c r="W475" i="31"/>
  <c r="W476" i="31"/>
  <c r="W477" i="31"/>
  <c r="W478" i="31"/>
  <c r="W479" i="31"/>
  <c r="W480" i="31"/>
  <c r="W481" i="31"/>
  <c r="W482" i="31"/>
  <c r="W483" i="31"/>
  <c r="W484" i="31"/>
  <c r="W485" i="31"/>
  <c r="W486" i="31"/>
  <c r="W487" i="31"/>
  <c r="W488" i="31"/>
  <c r="W489" i="31"/>
  <c r="W490" i="31"/>
  <c r="W491" i="31"/>
  <c r="W492" i="31"/>
  <c r="W493" i="31"/>
  <c r="W494" i="31"/>
  <c r="W495" i="31"/>
  <c r="W496" i="31"/>
  <c r="W497" i="31"/>
  <c r="W498" i="31"/>
  <c r="W499" i="31"/>
  <c r="W500" i="31"/>
  <c r="W501" i="31"/>
  <c r="W502" i="31"/>
  <c r="W503" i="31"/>
  <c r="W504" i="31"/>
  <c r="W505" i="31"/>
  <c r="W506" i="31"/>
  <c r="W507" i="31"/>
  <c r="W508" i="31"/>
  <c r="W509" i="31"/>
  <c r="W510" i="31"/>
  <c r="W511" i="31"/>
  <c r="W512" i="31"/>
  <c r="W513" i="31"/>
  <c r="W514" i="31"/>
  <c r="W515" i="31"/>
  <c r="W516" i="31"/>
  <c r="W517" i="31"/>
  <c r="W518" i="31"/>
  <c r="W519" i="31"/>
  <c r="W520" i="31"/>
  <c r="W521" i="31"/>
  <c r="W522" i="31"/>
  <c r="W523" i="31"/>
  <c r="W524" i="31"/>
  <c r="W525" i="31"/>
  <c r="W526" i="31"/>
  <c r="W527" i="31"/>
  <c r="W528" i="31"/>
  <c r="W529" i="31"/>
  <c r="W530" i="31"/>
  <c r="W531" i="31"/>
  <c r="W532" i="31"/>
  <c r="W533" i="31"/>
  <c r="W534" i="31"/>
  <c r="W535" i="31"/>
  <c r="W536" i="31"/>
  <c r="W537" i="31"/>
  <c r="W538" i="31"/>
  <c r="W539" i="31"/>
  <c r="W540" i="31"/>
  <c r="W541" i="31"/>
  <c r="W542" i="31"/>
  <c r="W543" i="31"/>
  <c r="W544" i="31"/>
  <c r="W545" i="31"/>
  <c r="W546" i="31"/>
  <c r="W547" i="31"/>
  <c r="W548" i="31"/>
  <c r="W549" i="31"/>
  <c r="W550" i="31"/>
  <c r="W551" i="31"/>
  <c r="W552" i="31"/>
  <c r="W553" i="31"/>
  <c r="W554" i="31"/>
  <c r="W555" i="31"/>
  <c r="W556" i="31"/>
  <c r="W557" i="31"/>
  <c r="W558" i="31"/>
  <c r="W559" i="31"/>
  <c r="W560" i="31"/>
  <c r="W561" i="31"/>
  <c r="W562" i="31"/>
  <c r="W563" i="31"/>
  <c r="W564" i="31"/>
  <c r="W565" i="31"/>
  <c r="W566" i="31"/>
  <c r="W567" i="31"/>
  <c r="W568" i="31"/>
  <c r="W569" i="31"/>
  <c r="W570" i="31"/>
  <c r="W571" i="31"/>
  <c r="W572" i="31"/>
  <c r="W573" i="31"/>
  <c r="W574" i="31"/>
  <c r="W575" i="31"/>
  <c r="W576" i="31"/>
  <c r="W577" i="31"/>
  <c r="W578" i="31"/>
  <c r="W579" i="31"/>
  <c r="W580" i="31"/>
  <c r="W581" i="31"/>
  <c r="W582" i="31"/>
  <c r="W583" i="31"/>
  <c r="W584" i="31"/>
  <c r="W585" i="31"/>
  <c r="W586" i="31"/>
  <c r="W587" i="31"/>
  <c r="W588" i="31"/>
  <c r="W589" i="31"/>
  <c r="W590" i="31"/>
  <c r="W591" i="31"/>
  <c r="W592" i="31"/>
  <c r="W593" i="31"/>
  <c r="W594" i="31"/>
  <c r="W595" i="31"/>
  <c r="W596" i="31"/>
  <c r="W597" i="31"/>
  <c r="W598" i="31"/>
  <c r="W599" i="31"/>
  <c r="W600" i="31"/>
  <c r="W601" i="31"/>
  <c r="W602" i="31"/>
  <c r="W603" i="31"/>
  <c r="W604" i="31"/>
  <c r="W605" i="31"/>
  <c r="W606" i="31"/>
  <c r="W607" i="31"/>
  <c r="W608" i="31"/>
  <c r="W609" i="31"/>
  <c r="W610" i="31"/>
  <c r="W611" i="31"/>
  <c r="W612" i="31"/>
  <c r="W613" i="31"/>
  <c r="W614" i="31"/>
  <c r="W615" i="31"/>
  <c r="W616" i="31"/>
  <c r="W617" i="31"/>
  <c r="W618" i="31"/>
  <c r="W619" i="31"/>
  <c r="W620" i="31"/>
  <c r="W621" i="31"/>
  <c r="W622" i="31"/>
  <c r="W623" i="31"/>
  <c r="W624" i="31"/>
  <c r="W625" i="31"/>
  <c r="W626" i="31"/>
  <c r="W627" i="31"/>
  <c r="W628" i="31"/>
  <c r="W629" i="31"/>
  <c r="W630" i="31"/>
  <c r="W631" i="31"/>
  <c r="W632" i="31"/>
  <c r="W633" i="31"/>
  <c r="W634" i="31"/>
  <c r="W635" i="31"/>
  <c r="W636" i="31"/>
  <c r="W637" i="31"/>
  <c r="W638" i="31"/>
  <c r="W639" i="31"/>
  <c r="W640" i="31"/>
  <c r="W641" i="31"/>
  <c r="W642" i="31"/>
  <c r="W643" i="31"/>
  <c r="W644" i="31"/>
  <c r="W645" i="31"/>
  <c r="W646" i="31"/>
  <c r="W647" i="31"/>
  <c r="W648" i="31"/>
  <c r="W649" i="31"/>
  <c r="W650" i="31"/>
  <c r="W651" i="31"/>
  <c r="W652" i="31"/>
  <c r="W653" i="31"/>
  <c r="W654" i="31"/>
  <c r="W655" i="31"/>
  <c r="W656" i="31"/>
  <c r="W657" i="31"/>
  <c r="W658" i="31"/>
  <c r="W659" i="31"/>
  <c r="W660" i="31"/>
  <c r="W661" i="31"/>
  <c r="W662" i="31"/>
  <c r="W663" i="31"/>
  <c r="W664" i="31"/>
  <c r="W665" i="31"/>
  <c r="W666" i="31"/>
  <c r="W667" i="31"/>
  <c r="W668" i="31"/>
  <c r="W669" i="31"/>
  <c r="W670" i="31"/>
  <c r="W671" i="31"/>
  <c r="W672" i="31"/>
  <c r="W673" i="31"/>
  <c r="W674" i="31"/>
  <c r="W675" i="31"/>
  <c r="W676" i="31"/>
  <c r="W677" i="31"/>
  <c r="W678" i="31"/>
  <c r="W679" i="31"/>
  <c r="W680" i="31"/>
  <c r="W681" i="31"/>
  <c r="W682" i="31"/>
  <c r="W683" i="31"/>
  <c r="W684" i="31"/>
  <c r="W685" i="31"/>
  <c r="W686" i="31"/>
  <c r="W687" i="31"/>
  <c r="W688" i="31"/>
  <c r="W689" i="31"/>
  <c r="W690" i="31"/>
  <c r="W691" i="31"/>
  <c r="W692" i="31"/>
  <c r="W693" i="31"/>
  <c r="W694" i="31"/>
  <c r="W695" i="31"/>
  <c r="W696" i="31"/>
  <c r="W697" i="31"/>
  <c r="W698" i="31"/>
  <c r="W699" i="31"/>
  <c r="W700" i="31"/>
  <c r="W701" i="31"/>
  <c r="W702" i="31"/>
  <c r="W703" i="31"/>
  <c r="W704" i="31"/>
  <c r="W705" i="31"/>
  <c r="W706" i="31"/>
  <c r="W707" i="31"/>
  <c r="W708" i="31"/>
  <c r="W709" i="31"/>
  <c r="W710" i="31"/>
  <c r="W711" i="31"/>
  <c r="W712" i="31"/>
  <c r="W713" i="31"/>
  <c r="W714" i="31"/>
  <c r="W715" i="31"/>
  <c r="W716" i="31"/>
  <c r="W717" i="31"/>
  <c r="W718" i="31"/>
  <c r="W719" i="31"/>
  <c r="W720" i="31"/>
  <c r="W721" i="31"/>
  <c r="W722" i="31"/>
  <c r="W723" i="31"/>
  <c r="W724" i="31"/>
  <c r="W725" i="31"/>
  <c r="W726" i="31"/>
  <c r="W727" i="31"/>
  <c r="W728" i="31"/>
  <c r="W729" i="31"/>
  <c r="W730" i="31"/>
  <c r="W731" i="31"/>
  <c r="W732" i="31"/>
  <c r="W733" i="31"/>
  <c r="W734" i="31"/>
  <c r="W735" i="31"/>
  <c r="W736" i="31"/>
  <c r="W737" i="31"/>
  <c r="W738" i="31"/>
  <c r="W739" i="31"/>
  <c r="W740" i="31"/>
  <c r="W741" i="31"/>
  <c r="W742" i="31"/>
  <c r="W743" i="31"/>
  <c r="W744" i="31"/>
  <c r="W745" i="31"/>
  <c r="W746" i="31"/>
  <c r="W747" i="31"/>
  <c r="W748" i="31"/>
  <c r="W749" i="31"/>
  <c r="W750" i="31"/>
  <c r="W751" i="31"/>
  <c r="W752" i="31"/>
  <c r="W753" i="31"/>
  <c r="W754" i="31"/>
  <c r="W755" i="31"/>
  <c r="W756" i="31"/>
  <c r="W757" i="31"/>
  <c r="W758" i="31"/>
  <c r="W759" i="31"/>
  <c r="W760" i="31"/>
  <c r="W761" i="31"/>
  <c r="W762" i="31"/>
  <c r="W763" i="31"/>
  <c r="W764" i="31"/>
  <c r="W765" i="31"/>
  <c r="W766" i="31"/>
  <c r="S180" i="31"/>
  <c r="S181" i="31"/>
  <c r="S182" i="31"/>
  <c r="S183" i="31"/>
  <c r="S184" i="31"/>
  <c r="S185" i="31"/>
  <c r="S186" i="31"/>
  <c r="S187" i="31"/>
  <c r="S188" i="31"/>
  <c r="S189" i="31"/>
  <c r="S190" i="31"/>
  <c r="S191" i="31"/>
  <c r="S192" i="31"/>
  <c r="S193" i="31"/>
  <c r="S194" i="31"/>
  <c r="S195" i="31"/>
  <c r="S196" i="31"/>
  <c r="S197" i="31"/>
  <c r="S198" i="31"/>
  <c r="S199" i="31"/>
  <c r="S200" i="31"/>
  <c r="S201" i="31"/>
  <c r="S202" i="31"/>
  <c r="S203" i="31"/>
  <c r="S204" i="31"/>
  <c r="S205" i="31"/>
  <c r="S206" i="31"/>
  <c r="S207" i="31"/>
  <c r="S208" i="31"/>
  <c r="S209" i="31"/>
  <c r="S210" i="31"/>
  <c r="S211" i="31"/>
  <c r="S212" i="31"/>
  <c r="S213" i="31"/>
  <c r="S214" i="31"/>
  <c r="S215" i="31"/>
  <c r="S216" i="31"/>
  <c r="S217" i="31"/>
  <c r="S218" i="31"/>
  <c r="S219" i="31"/>
  <c r="S220" i="31"/>
  <c r="S221" i="31"/>
  <c r="S222" i="31"/>
  <c r="S223" i="31"/>
  <c r="S224" i="31"/>
  <c r="S225" i="31"/>
  <c r="S226" i="31"/>
  <c r="S227" i="31"/>
  <c r="S228" i="31"/>
  <c r="S229" i="31"/>
  <c r="S230" i="31"/>
  <c r="S231" i="31"/>
  <c r="S232" i="31"/>
  <c r="S233" i="31"/>
  <c r="S234" i="31"/>
  <c r="S235" i="31"/>
  <c r="S236" i="31"/>
  <c r="S237" i="31"/>
  <c r="S238" i="31"/>
  <c r="S239" i="31"/>
  <c r="S240" i="31"/>
  <c r="S241" i="31"/>
  <c r="S242" i="31"/>
  <c r="S243" i="31"/>
  <c r="S244" i="31"/>
  <c r="S245" i="31"/>
  <c r="S246" i="31"/>
  <c r="S247" i="31"/>
  <c r="S248" i="31"/>
  <c r="S249" i="31"/>
  <c r="S250" i="31"/>
  <c r="S251" i="31"/>
  <c r="S252" i="31"/>
  <c r="S253" i="31"/>
  <c r="S254" i="31"/>
  <c r="S255" i="31"/>
  <c r="S256" i="31"/>
  <c r="S257" i="31"/>
  <c r="S258" i="31"/>
  <c r="S259" i="31"/>
  <c r="S260" i="31"/>
  <c r="S261" i="31"/>
  <c r="S262" i="31"/>
  <c r="S263" i="31"/>
  <c r="S264" i="31"/>
  <c r="S265" i="31"/>
  <c r="S266" i="31"/>
  <c r="S267" i="31"/>
  <c r="S268" i="31"/>
  <c r="S269" i="31"/>
  <c r="S270" i="31"/>
  <c r="S271" i="31"/>
  <c r="S272" i="31"/>
  <c r="S273" i="31"/>
  <c r="S274" i="31"/>
  <c r="S275" i="31"/>
  <c r="S276" i="31"/>
  <c r="S277" i="31"/>
  <c r="S278" i="31"/>
  <c r="S279" i="31"/>
  <c r="S280" i="31"/>
  <c r="S281" i="31"/>
  <c r="S282" i="31"/>
  <c r="S283" i="31"/>
  <c r="S284" i="31"/>
  <c r="S285" i="31"/>
  <c r="S286" i="31"/>
  <c r="S287" i="31"/>
  <c r="S288" i="31"/>
  <c r="S289" i="31"/>
  <c r="S290" i="31"/>
  <c r="S291" i="31"/>
  <c r="S292" i="31"/>
  <c r="S293" i="31"/>
  <c r="S294" i="31"/>
  <c r="S295" i="31"/>
  <c r="S296" i="31"/>
  <c r="S297" i="31"/>
  <c r="S298" i="31"/>
  <c r="S299" i="31"/>
  <c r="S300" i="31"/>
  <c r="S301" i="31"/>
  <c r="S302" i="31"/>
  <c r="S303" i="31"/>
  <c r="S304" i="31"/>
  <c r="S305" i="31"/>
  <c r="S306" i="31"/>
  <c r="S307" i="31"/>
  <c r="S308" i="31"/>
  <c r="S309" i="31"/>
  <c r="S310" i="31"/>
  <c r="S311" i="31"/>
  <c r="S312" i="31"/>
  <c r="S313" i="31"/>
  <c r="S314" i="31"/>
  <c r="S315" i="31"/>
  <c r="S316" i="31"/>
  <c r="S317" i="31"/>
  <c r="S318" i="31"/>
  <c r="S319" i="31"/>
  <c r="S320" i="31"/>
  <c r="S321" i="31"/>
  <c r="S322" i="31"/>
  <c r="S323" i="31"/>
  <c r="S324" i="31"/>
  <c r="S325" i="31"/>
  <c r="S326" i="31"/>
  <c r="S327" i="31"/>
  <c r="S328" i="31"/>
  <c r="S329" i="31"/>
  <c r="S330" i="31"/>
  <c r="S331" i="31"/>
  <c r="S332" i="31"/>
  <c r="S333" i="31"/>
  <c r="S334" i="31"/>
  <c r="S335" i="31"/>
  <c r="S336" i="31"/>
  <c r="S337" i="31"/>
  <c r="S338" i="31"/>
  <c r="S339" i="31"/>
  <c r="S340" i="31"/>
  <c r="S341" i="31"/>
  <c r="S342" i="31"/>
  <c r="S343" i="31"/>
  <c r="S344" i="31"/>
  <c r="S345" i="31"/>
  <c r="S346" i="31"/>
  <c r="S347" i="31"/>
  <c r="S348" i="31"/>
  <c r="S349" i="31"/>
  <c r="S350" i="31"/>
  <c r="S351" i="31"/>
  <c r="S352" i="31"/>
  <c r="S353" i="31"/>
  <c r="S354" i="31"/>
  <c r="S355" i="31"/>
  <c r="S356" i="31"/>
  <c r="S357" i="31"/>
  <c r="S358" i="31"/>
  <c r="S359" i="31"/>
  <c r="S360" i="31"/>
  <c r="S361" i="31"/>
  <c r="S362" i="31"/>
  <c r="S363" i="31"/>
  <c r="S364" i="31"/>
  <c r="S365" i="31"/>
  <c r="S366" i="31"/>
  <c r="S367" i="31"/>
  <c r="S368" i="31"/>
  <c r="S369" i="31"/>
  <c r="S370" i="31"/>
  <c r="S371" i="31"/>
  <c r="S372" i="31"/>
  <c r="S373" i="31"/>
  <c r="S374" i="31"/>
  <c r="S375" i="31"/>
  <c r="S376" i="31"/>
  <c r="S377" i="31"/>
  <c r="S378" i="31"/>
  <c r="S379" i="31"/>
  <c r="S380" i="31"/>
  <c r="S381" i="31"/>
  <c r="S382" i="31"/>
  <c r="S383" i="31"/>
  <c r="S384" i="31"/>
  <c r="S385" i="31"/>
  <c r="S386" i="31"/>
  <c r="S387" i="31"/>
  <c r="S388" i="31"/>
  <c r="S389" i="31"/>
  <c r="S390" i="31"/>
  <c r="S391" i="31"/>
  <c r="S392" i="31"/>
  <c r="S393" i="31"/>
  <c r="S394" i="31"/>
  <c r="S395" i="31"/>
  <c r="S396" i="31"/>
  <c r="S397" i="31"/>
  <c r="S398" i="31"/>
  <c r="S399" i="31"/>
  <c r="S400" i="31"/>
  <c r="S401" i="31"/>
  <c r="S402" i="31"/>
  <c r="S403" i="31"/>
  <c r="S404" i="31"/>
  <c r="S405" i="31"/>
  <c r="S406" i="31"/>
  <c r="S407" i="31"/>
  <c r="S408" i="31"/>
  <c r="S409" i="31"/>
  <c r="S410" i="31"/>
  <c r="S411" i="31"/>
  <c r="S412" i="31"/>
  <c r="S413" i="31"/>
  <c r="S414" i="31"/>
  <c r="S415" i="31"/>
  <c r="S416" i="31"/>
  <c r="S417" i="31"/>
  <c r="S418" i="31"/>
  <c r="S419" i="31"/>
  <c r="S420" i="31"/>
  <c r="S421" i="31"/>
  <c r="S422" i="31"/>
  <c r="S423" i="31"/>
  <c r="S424" i="31"/>
  <c r="S425" i="31"/>
  <c r="S426" i="31"/>
  <c r="S427" i="31"/>
  <c r="S428" i="31"/>
  <c r="S429" i="31"/>
  <c r="S430" i="31"/>
  <c r="S431" i="31"/>
  <c r="S432" i="31"/>
  <c r="S433" i="31"/>
  <c r="S434" i="31"/>
  <c r="S435" i="31"/>
  <c r="S436" i="31"/>
  <c r="S437" i="31"/>
  <c r="S438" i="31"/>
  <c r="S439" i="31"/>
  <c r="S440" i="31"/>
  <c r="S441" i="31"/>
  <c r="S442" i="31"/>
  <c r="S443" i="31"/>
  <c r="S444" i="31"/>
  <c r="S445" i="31"/>
  <c r="S446" i="31"/>
  <c r="S447" i="31"/>
  <c r="S448" i="31"/>
  <c r="S449" i="31"/>
  <c r="S450" i="31"/>
  <c r="S451" i="31"/>
  <c r="S452" i="31"/>
  <c r="S453" i="31"/>
  <c r="S454" i="31"/>
  <c r="S455" i="31"/>
  <c r="S456" i="31"/>
  <c r="S457" i="31"/>
  <c r="S458" i="31"/>
  <c r="S459" i="31"/>
  <c r="S460" i="31"/>
  <c r="S461" i="31"/>
  <c r="S462" i="31"/>
  <c r="S463" i="31"/>
  <c r="S464" i="31"/>
  <c r="S465" i="31"/>
  <c r="S466" i="31"/>
  <c r="S467" i="31"/>
  <c r="S468" i="31"/>
  <c r="S469" i="31"/>
  <c r="S470" i="31"/>
  <c r="S471" i="31"/>
  <c r="S472" i="31"/>
  <c r="S473" i="31"/>
  <c r="S474" i="31"/>
  <c r="S475" i="31"/>
  <c r="S476" i="31"/>
  <c r="S477" i="31"/>
  <c r="S478" i="31"/>
  <c r="S479" i="31"/>
  <c r="S480" i="31"/>
  <c r="S481" i="31"/>
  <c r="S482" i="31"/>
  <c r="S483" i="31"/>
  <c r="S484" i="31"/>
  <c r="S485" i="31"/>
  <c r="S486" i="31"/>
  <c r="S487" i="31"/>
  <c r="S488" i="31"/>
  <c r="S489" i="31"/>
  <c r="S490" i="31"/>
  <c r="S491" i="31"/>
  <c r="S492" i="31"/>
  <c r="S493" i="31"/>
  <c r="S494" i="31"/>
  <c r="S495" i="31"/>
  <c r="S496" i="31"/>
  <c r="S497" i="31"/>
  <c r="S498" i="31"/>
  <c r="S499" i="31"/>
  <c r="S500" i="31"/>
  <c r="S501" i="31"/>
  <c r="S502" i="31"/>
  <c r="S503" i="31"/>
  <c r="S504" i="31"/>
  <c r="S505" i="31"/>
  <c r="S506" i="31"/>
  <c r="S507" i="31"/>
  <c r="S508" i="31"/>
  <c r="S509" i="31"/>
  <c r="S510" i="31"/>
  <c r="S511" i="31"/>
  <c r="S512" i="31"/>
  <c r="S513" i="31"/>
  <c r="S514" i="31"/>
  <c r="S515" i="31"/>
  <c r="S516" i="31"/>
  <c r="S517" i="31"/>
  <c r="S518" i="31"/>
  <c r="S519" i="31"/>
  <c r="S520" i="31"/>
  <c r="S521" i="31"/>
  <c r="S522" i="31"/>
  <c r="S523" i="31"/>
  <c r="S524" i="31"/>
  <c r="S525" i="31"/>
  <c r="S526" i="31"/>
  <c r="S527" i="31"/>
  <c r="S528" i="31"/>
  <c r="S529" i="31"/>
  <c r="S530" i="31"/>
  <c r="S531" i="31"/>
  <c r="S532" i="31"/>
  <c r="S533" i="31"/>
  <c r="S534" i="31"/>
  <c r="S535" i="31"/>
  <c r="S536" i="31"/>
  <c r="S537" i="31"/>
  <c r="S538" i="31"/>
  <c r="S539" i="31"/>
  <c r="S540" i="31"/>
  <c r="S541" i="31"/>
  <c r="S542" i="31"/>
  <c r="S543" i="31"/>
  <c r="S544" i="31"/>
  <c r="S545" i="31"/>
  <c r="S546" i="31"/>
  <c r="S547" i="31"/>
  <c r="S548" i="31"/>
  <c r="S549" i="31"/>
  <c r="S550" i="31"/>
  <c r="S551" i="31"/>
  <c r="S552" i="31"/>
  <c r="S553" i="31"/>
  <c r="S554" i="31"/>
  <c r="S555" i="31"/>
  <c r="S556" i="31"/>
  <c r="S557" i="31"/>
  <c r="S558" i="31"/>
  <c r="S559" i="31"/>
  <c r="S560" i="31"/>
  <c r="S561" i="31"/>
  <c r="S562" i="31"/>
  <c r="S563" i="31"/>
  <c r="S564" i="31"/>
  <c r="S565" i="31"/>
  <c r="S566" i="31"/>
  <c r="S567" i="31"/>
  <c r="S568" i="31"/>
  <c r="S569" i="31"/>
  <c r="S570" i="31"/>
  <c r="S571" i="31"/>
  <c r="S572" i="31"/>
  <c r="S573" i="31"/>
  <c r="S574" i="31"/>
  <c r="S575" i="31"/>
  <c r="S576" i="31"/>
  <c r="S577" i="31"/>
  <c r="S578" i="31"/>
  <c r="S579" i="31"/>
  <c r="S580" i="31"/>
  <c r="S581" i="31"/>
  <c r="S582" i="31"/>
  <c r="S583" i="31"/>
  <c r="S584" i="31"/>
  <c r="S585" i="31"/>
  <c r="S586" i="31"/>
  <c r="S587" i="31"/>
  <c r="S588" i="31"/>
  <c r="S589" i="31"/>
  <c r="S590" i="31"/>
  <c r="S591" i="31"/>
  <c r="S592" i="31"/>
  <c r="S593" i="31"/>
  <c r="S594" i="31"/>
  <c r="S595" i="31"/>
  <c r="S596" i="31"/>
  <c r="S597" i="31"/>
  <c r="S598" i="31"/>
  <c r="S599" i="31"/>
  <c r="S600" i="31"/>
  <c r="S601" i="31"/>
  <c r="S602" i="31"/>
  <c r="S603" i="31"/>
  <c r="S604" i="31"/>
  <c r="S605" i="31"/>
  <c r="S606" i="31"/>
  <c r="S607" i="31"/>
  <c r="S608" i="31"/>
  <c r="S609" i="31"/>
  <c r="S610" i="31"/>
  <c r="S611" i="31"/>
  <c r="S612" i="31"/>
  <c r="S613" i="31"/>
  <c r="S614" i="31"/>
  <c r="S615" i="31"/>
  <c r="S616" i="31"/>
  <c r="S617" i="31"/>
  <c r="S618" i="31"/>
  <c r="S619" i="31"/>
  <c r="S620" i="31"/>
  <c r="S621" i="31"/>
  <c r="S622" i="31"/>
  <c r="S623" i="31"/>
  <c r="S624" i="31"/>
  <c r="S625" i="31"/>
  <c r="S626" i="31"/>
  <c r="S627" i="31"/>
  <c r="S628" i="31"/>
  <c r="S629" i="31"/>
  <c r="S630" i="31"/>
  <c r="S631" i="31"/>
  <c r="S632" i="31"/>
  <c r="S633" i="31"/>
  <c r="S634" i="31"/>
  <c r="S635" i="31"/>
  <c r="S636" i="31"/>
  <c r="S637" i="31"/>
  <c r="S638" i="31"/>
  <c r="S639" i="31"/>
  <c r="S640" i="31"/>
  <c r="S641" i="31"/>
  <c r="S642" i="31"/>
  <c r="S643" i="31"/>
  <c r="S644" i="31"/>
  <c r="S645" i="31"/>
  <c r="S646" i="31"/>
  <c r="S647" i="31"/>
  <c r="S648" i="31"/>
  <c r="S649" i="31"/>
  <c r="S650" i="31"/>
  <c r="S651" i="31"/>
  <c r="S652" i="31"/>
  <c r="S653" i="31"/>
  <c r="S654" i="31"/>
  <c r="S655" i="31"/>
  <c r="S656" i="31"/>
  <c r="S657" i="31"/>
  <c r="S658" i="31"/>
  <c r="S659" i="31"/>
  <c r="S660" i="31"/>
  <c r="S661" i="31"/>
  <c r="S662" i="31"/>
  <c r="S663" i="31"/>
  <c r="S664" i="31"/>
  <c r="S665" i="31"/>
  <c r="S666" i="31"/>
  <c r="S667" i="31"/>
  <c r="S668" i="31"/>
  <c r="S669" i="31"/>
  <c r="S670" i="31"/>
  <c r="S671" i="31"/>
  <c r="S672" i="31"/>
  <c r="S673" i="31"/>
  <c r="S674" i="31"/>
  <c r="S675" i="31"/>
  <c r="S676" i="31"/>
  <c r="S677" i="31"/>
  <c r="S678" i="31"/>
  <c r="S679" i="31"/>
  <c r="S680" i="31"/>
  <c r="S681" i="31"/>
  <c r="S682" i="31"/>
  <c r="S683" i="31"/>
  <c r="S684" i="31"/>
  <c r="S685" i="31"/>
  <c r="S686" i="31"/>
  <c r="S687" i="31"/>
  <c r="S688" i="31"/>
  <c r="S689" i="31"/>
  <c r="S690" i="31"/>
  <c r="S691" i="31"/>
  <c r="S692" i="31"/>
  <c r="S693" i="31"/>
  <c r="S694" i="31"/>
  <c r="S695" i="31"/>
  <c r="S696" i="31"/>
  <c r="S697" i="31"/>
  <c r="S698" i="31"/>
  <c r="S699" i="31"/>
  <c r="S700" i="31"/>
  <c r="S701" i="31"/>
  <c r="S702" i="31"/>
  <c r="S703" i="31"/>
  <c r="S704" i="31"/>
  <c r="S705" i="31"/>
  <c r="S706" i="31"/>
  <c r="S707" i="31"/>
  <c r="S708" i="31"/>
  <c r="S709" i="31"/>
  <c r="S710" i="31"/>
  <c r="S711" i="31"/>
  <c r="S712" i="31"/>
  <c r="S713" i="31"/>
  <c r="S714" i="31"/>
  <c r="S715" i="31"/>
  <c r="S716" i="31"/>
  <c r="S717" i="31"/>
  <c r="S718" i="31"/>
  <c r="S719" i="31"/>
  <c r="S720" i="31"/>
  <c r="S721" i="31"/>
  <c r="S722" i="31"/>
  <c r="S723" i="31"/>
  <c r="S724" i="31"/>
  <c r="S725" i="31"/>
  <c r="S726" i="31"/>
  <c r="S727" i="31"/>
  <c r="S728" i="31"/>
  <c r="S729" i="31"/>
  <c r="S730" i="31"/>
  <c r="S731" i="31"/>
  <c r="S732" i="31"/>
  <c r="S733" i="31"/>
  <c r="S734" i="31"/>
  <c r="S735" i="31"/>
  <c r="S736" i="31"/>
  <c r="S737" i="31"/>
  <c r="S738" i="31"/>
  <c r="S739" i="31"/>
  <c r="S740" i="31"/>
  <c r="S741" i="31"/>
  <c r="S742" i="31"/>
  <c r="S743" i="31"/>
  <c r="S744" i="31"/>
  <c r="S745" i="31"/>
  <c r="S746" i="31"/>
  <c r="S747" i="31"/>
  <c r="S748" i="31"/>
  <c r="S749" i="31"/>
  <c r="S750" i="31"/>
  <c r="S751" i="31"/>
  <c r="S752" i="31"/>
  <c r="S753" i="31"/>
  <c r="S754" i="31"/>
  <c r="S755" i="31"/>
  <c r="S756" i="31"/>
  <c r="S757" i="31"/>
  <c r="S758" i="31"/>
  <c r="S759" i="31"/>
  <c r="S760" i="31"/>
  <c r="S761" i="31"/>
  <c r="S762" i="31"/>
  <c r="S763" i="31"/>
  <c r="S764" i="31"/>
  <c r="S765" i="31"/>
  <c r="S766" i="31"/>
  <c r="M346" i="31"/>
  <c r="M347" i="31"/>
  <c r="M348" i="31"/>
  <c r="M349" i="31"/>
  <c r="M350" i="31"/>
  <c r="M351" i="31"/>
  <c r="M352" i="31"/>
  <c r="M353" i="31"/>
  <c r="M354" i="31"/>
  <c r="M355" i="31"/>
  <c r="M356" i="31"/>
  <c r="M357" i="31"/>
  <c r="M358" i="31"/>
  <c r="M359" i="31"/>
  <c r="M360" i="31"/>
  <c r="M361" i="31"/>
  <c r="M362" i="31"/>
  <c r="M363" i="31"/>
  <c r="M364" i="31"/>
  <c r="M365" i="31"/>
  <c r="M366" i="31"/>
  <c r="M367" i="31"/>
  <c r="M368" i="31"/>
  <c r="M369" i="31"/>
  <c r="M370" i="31"/>
  <c r="M371" i="31"/>
  <c r="M372" i="31"/>
  <c r="M373" i="31"/>
  <c r="M374" i="31"/>
  <c r="M375" i="31"/>
  <c r="M376" i="31"/>
  <c r="M377" i="31"/>
  <c r="M378" i="31"/>
  <c r="M379" i="31"/>
  <c r="M380" i="31"/>
  <c r="M381" i="31"/>
  <c r="M382" i="31"/>
  <c r="M383" i="31"/>
  <c r="M384" i="31"/>
  <c r="M385" i="31"/>
  <c r="M386" i="31"/>
  <c r="M387" i="31"/>
  <c r="M388" i="31"/>
  <c r="M389" i="31"/>
  <c r="M390" i="31"/>
  <c r="M391" i="31"/>
  <c r="M392" i="31"/>
  <c r="M393" i="31"/>
  <c r="M394" i="31"/>
  <c r="M395" i="31"/>
  <c r="M396" i="31"/>
  <c r="M397" i="31"/>
  <c r="M398" i="31"/>
  <c r="M399" i="31"/>
  <c r="M400" i="31"/>
  <c r="M401" i="31"/>
  <c r="M402" i="31"/>
  <c r="M403" i="31"/>
  <c r="M404" i="31"/>
  <c r="M405" i="31"/>
  <c r="M406" i="31"/>
  <c r="M407" i="31"/>
  <c r="M408" i="31"/>
  <c r="M409" i="31"/>
  <c r="M410" i="31"/>
  <c r="M411" i="31"/>
  <c r="M412" i="31"/>
  <c r="M413" i="31"/>
  <c r="M414" i="31"/>
  <c r="M415" i="31"/>
  <c r="M416" i="31"/>
  <c r="M417" i="31"/>
  <c r="M418" i="31"/>
  <c r="M419" i="31"/>
  <c r="M420" i="31"/>
  <c r="M421" i="31"/>
  <c r="M422" i="31"/>
  <c r="M423" i="31"/>
  <c r="M424" i="31"/>
  <c r="M425" i="31"/>
  <c r="M426" i="31"/>
  <c r="M427" i="31"/>
  <c r="M428" i="31"/>
  <c r="M429" i="31"/>
  <c r="M430" i="31"/>
  <c r="M431" i="31"/>
  <c r="M432" i="31"/>
  <c r="M433" i="31"/>
  <c r="M434" i="31"/>
  <c r="M435" i="31"/>
  <c r="M436" i="31"/>
  <c r="M437" i="31"/>
  <c r="M438" i="31"/>
  <c r="M439" i="31"/>
  <c r="M440" i="31"/>
  <c r="M441" i="31"/>
  <c r="M442" i="31"/>
  <c r="M443" i="31"/>
  <c r="M444" i="31"/>
  <c r="M445" i="31"/>
  <c r="M446" i="31"/>
  <c r="M447" i="31"/>
  <c r="M448" i="31"/>
  <c r="M449" i="31"/>
  <c r="M450" i="31"/>
  <c r="M451" i="31"/>
  <c r="M452" i="31"/>
  <c r="M453" i="31"/>
  <c r="M454" i="31"/>
  <c r="M455" i="31"/>
  <c r="M456" i="31"/>
  <c r="M457" i="31"/>
  <c r="M458" i="31"/>
  <c r="M459" i="31"/>
  <c r="M460" i="31"/>
  <c r="M461" i="31"/>
  <c r="M462" i="31"/>
  <c r="M463" i="31"/>
  <c r="M464" i="31"/>
  <c r="M465" i="31"/>
  <c r="M466" i="31"/>
  <c r="M467" i="31"/>
  <c r="M468" i="31"/>
  <c r="M469" i="31"/>
  <c r="M470" i="31"/>
  <c r="M471" i="31"/>
  <c r="M472" i="31"/>
  <c r="M473" i="31"/>
  <c r="M474" i="31"/>
  <c r="M475" i="31"/>
  <c r="M476" i="31"/>
  <c r="M477" i="31"/>
  <c r="M478" i="31"/>
  <c r="M479" i="31"/>
  <c r="M480" i="31"/>
  <c r="M481" i="31"/>
  <c r="M482" i="31"/>
  <c r="M483" i="31"/>
  <c r="M484" i="31"/>
  <c r="M485" i="31"/>
  <c r="M486" i="31"/>
  <c r="M487" i="31"/>
  <c r="M488" i="31"/>
  <c r="M489" i="31"/>
  <c r="M490" i="31"/>
  <c r="M491" i="31"/>
  <c r="M492" i="31"/>
  <c r="M493" i="31"/>
  <c r="M494" i="31"/>
  <c r="M495" i="31"/>
  <c r="M496" i="31"/>
  <c r="M497" i="31"/>
  <c r="M498" i="31"/>
  <c r="M499" i="31"/>
  <c r="M500" i="31"/>
  <c r="M501" i="31"/>
  <c r="M502" i="31"/>
  <c r="M503" i="31"/>
  <c r="M504" i="31"/>
  <c r="M505" i="31"/>
  <c r="M506" i="31"/>
  <c r="M507" i="31"/>
  <c r="M508" i="31"/>
  <c r="M509" i="31"/>
  <c r="M510" i="31"/>
  <c r="M511" i="31"/>
  <c r="M512" i="31"/>
  <c r="M513" i="31"/>
  <c r="M514" i="31"/>
  <c r="M515" i="31"/>
  <c r="M516" i="31"/>
  <c r="M517" i="31"/>
  <c r="M518" i="31"/>
  <c r="M519" i="31"/>
  <c r="M520" i="31"/>
  <c r="M521" i="31"/>
  <c r="M522" i="31"/>
  <c r="M523" i="31"/>
  <c r="M524" i="31"/>
  <c r="M525" i="31"/>
  <c r="M526" i="31"/>
  <c r="M527" i="31"/>
  <c r="M528" i="31"/>
  <c r="M529" i="31"/>
  <c r="M530" i="31"/>
  <c r="M531" i="31"/>
  <c r="M532" i="31"/>
  <c r="M533" i="31"/>
  <c r="M534" i="31"/>
  <c r="M535" i="31"/>
  <c r="M536" i="31"/>
  <c r="M537" i="31"/>
  <c r="M538" i="31"/>
  <c r="M539" i="31"/>
  <c r="M540" i="31"/>
  <c r="M541" i="31"/>
  <c r="M542" i="31"/>
  <c r="M543" i="31"/>
  <c r="M544" i="31"/>
  <c r="M545" i="31"/>
  <c r="M546" i="31"/>
  <c r="M547" i="31"/>
  <c r="M548" i="31"/>
  <c r="M549" i="31"/>
  <c r="M550" i="31"/>
  <c r="M551" i="31"/>
  <c r="M552" i="31"/>
  <c r="M553" i="31"/>
  <c r="M554" i="31"/>
  <c r="M555" i="31"/>
  <c r="M556" i="31"/>
  <c r="M557" i="31"/>
  <c r="M558" i="31"/>
  <c r="M559" i="31"/>
  <c r="M560" i="31"/>
  <c r="M561" i="31"/>
  <c r="M562" i="31"/>
  <c r="M563" i="31"/>
  <c r="M564" i="31"/>
  <c r="M565" i="31"/>
  <c r="M566" i="31"/>
  <c r="M567" i="31"/>
  <c r="M568" i="31"/>
  <c r="M569" i="31"/>
  <c r="M570" i="31"/>
  <c r="M571" i="31"/>
  <c r="M572" i="31"/>
  <c r="M573" i="31"/>
  <c r="M574" i="31"/>
  <c r="M575" i="31"/>
  <c r="M576" i="31"/>
  <c r="M577" i="31"/>
  <c r="M578" i="31"/>
  <c r="M579" i="31"/>
  <c r="M580" i="31"/>
  <c r="M581" i="31"/>
  <c r="M582" i="31"/>
  <c r="M583" i="31"/>
  <c r="M584" i="31"/>
  <c r="M585" i="31"/>
  <c r="M586" i="31"/>
  <c r="M587" i="31"/>
  <c r="M588" i="31"/>
  <c r="M589" i="31"/>
  <c r="M590" i="31"/>
  <c r="M591" i="31"/>
  <c r="M592" i="31"/>
  <c r="M593" i="31"/>
  <c r="M594" i="31"/>
  <c r="M595" i="31"/>
  <c r="M596" i="31"/>
  <c r="M597" i="31"/>
  <c r="M598" i="31"/>
  <c r="M599" i="31"/>
  <c r="M600" i="31"/>
  <c r="M601" i="31"/>
  <c r="M602" i="31"/>
  <c r="M603" i="31"/>
  <c r="M604" i="31"/>
  <c r="M605" i="31"/>
  <c r="M606" i="31"/>
  <c r="M607" i="31"/>
  <c r="M608" i="31"/>
  <c r="M609" i="31"/>
  <c r="M610" i="31"/>
  <c r="M611" i="31"/>
  <c r="M612" i="31"/>
  <c r="M613" i="31"/>
  <c r="M614" i="31"/>
  <c r="M615" i="31"/>
  <c r="M616" i="31"/>
  <c r="M617" i="31"/>
  <c r="M618" i="31"/>
  <c r="M619" i="31"/>
  <c r="M620" i="31"/>
  <c r="M621" i="31"/>
  <c r="M622" i="31"/>
  <c r="M623" i="31"/>
  <c r="M624" i="31"/>
  <c r="M625" i="31"/>
  <c r="M626" i="31"/>
  <c r="M627" i="31"/>
  <c r="M628" i="31"/>
  <c r="M629" i="31"/>
  <c r="M630" i="31"/>
  <c r="M631" i="31"/>
  <c r="M632" i="31"/>
  <c r="M633" i="31"/>
  <c r="M634" i="31"/>
  <c r="M635" i="31"/>
  <c r="M636" i="31"/>
  <c r="M637" i="31"/>
  <c r="M638" i="31"/>
  <c r="M639" i="31"/>
  <c r="M640" i="31"/>
  <c r="M641" i="31"/>
  <c r="M642" i="31"/>
  <c r="M643" i="31"/>
  <c r="M644" i="31"/>
  <c r="M645" i="31"/>
  <c r="M646" i="31"/>
  <c r="M647" i="31"/>
  <c r="M648" i="31"/>
  <c r="M649" i="31"/>
  <c r="M650" i="31"/>
  <c r="M651" i="31"/>
  <c r="M652" i="31"/>
  <c r="M653" i="31"/>
  <c r="M654" i="31"/>
  <c r="M655" i="31"/>
  <c r="M656" i="31"/>
  <c r="M657" i="31"/>
  <c r="M658" i="31"/>
  <c r="M659" i="31"/>
  <c r="M660" i="31"/>
  <c r="M661" i="31"/>
  <c r="M662" i="31"/>
  <c r="M663" i="31"/>
  <c r="M664" i="31"/>
  <c r="M665" i="31"/>
  <c r="M666" i="31"/>
  <c r="M667" i="31"/>
  <c r="M668" i="31"/>
  <c r="M669" i="31"/>
  <c r="M670" i="31"/>
  <c r="M671" i="31"/>
  <c r="M672" i="31"/>
  <c r="M673" i="31"/>
  <c r="M674" i="31"/>
  <c r="M675" i="31"/>
  <c r="M676" i="31"/>
  <c r="M677" i="31"/>
  <c r="M678" i="31"/>
  <c r="M679" i="31"/>
  <c r="M680" i="31"/>
  <c r="M681" i="31"/>
  <c r="M682" i="31"/>
  <c r="M683" i="31"/>
  <c r="M684" i="31"/>
  <c r="M685" i="31"/>
  <c r="M686" i="31"/>
  <c r="M687" i="31"/>
  <c r="M688" i="31"/>
  <c r="M689" i="31"/>
  <c r="M690" i="31"/>
  <c r="M691" i="31"/>
  <c r="M692" i="31"/>
  <c r="M693" i="31"/>
  <c r="M694" i="31"/>
  <c r="M695" i="31"/>
  <c r="M696" i="31"/>
  <c r="M697" i="31"/>
  <c r="M698" i="31"/>
  <c r="M699" i="31"/>
  <c r="M700" i="31"/>
  <c r="M701" i="31"/>
  <c r="M702" i="31"/>
  <c r="M703" i="31"/>
  <c r="M704" i="31"/>
  <c r="M705" i="31"/>
  <c r="M706" i="31"/>
  <c r="M707" i="31"/>
  <c r="M708" i="31"/>
  <c r="M709" i="31"/>
  <c r="M710" i="31"/>
  <c r="M711" i="31"/>
  <c r="M712" i="31"/>
  <c r="M713" i="31"/>
  <c r="M714" i="31"/>
  <c r="M715" i="31"/>
  <c r="M716" i="31"/>
  <c r="M717" i="31"/>
  <c r="M718" i="31"/>
  <c r="M719" i="31"/>
  <c r="M720" i="31"/>
  <c r="M721" i="31"/>
  <c r="M722" i="31"/>
  <c r="M723" i="31"/>
  <c r="M724" i="31"/>
  <c r="M725" i="31"/>
  <c r="M726" i="31"/>
  <c r="M727" i="31"/>
  <c r="M728" i="31"/>
  <c r="M729" i="31"/>
  <c r="M730" i="31"/>
  <c r="M731" i="31"/>
  <c r="M732" i="31"/>
  <c r="M733" i="31"/>
  <c r="M734" i="31"/>
  <c r="M735" i="31"/>
  <c r="M736" i="31"/>
  <c r="M737" i="31"/>
  <c r="M738" i="31"/>
  <c r="M739" i="31"/>
  <c r="M740" i="31"/>
  <c r="M741" i="31"/>
  <c r="M742" i="31"/>
  <c r="M743" i="31"/>
  <c r="M744" i="31"/>
  <c r="M745" i="31"/>
  <c r="M746" i="31"/>
  <c r="M747" i="31"/>
  <c r="M748" i="31"/>
  <c r="M749" i="31"/>
  <c r="M750" i="31"/>
  <c r="M751" i="31"/>
  <c r="M752" i="31"/>
  <c r="M753" i="31"/>
  <c r="M754" i="31"/>
  <c r="M755" i="31"/>
  <c r="M756" i="31"/>
  <c r="M757" i="31"/>
  <c r="M758" i="31"/>
  <c r="M759" i="31"/>
  <c r="M760" i="31"/>
  <c r="M761" i="31"/>
  <c r="M762" i="31"/>
  <c r="M763" i="31"/>
  <c r="M764" i="31"/>
  <c r="M765" i="31"/>
  <c r="M766" i="31"/>
  <c r="L180" i="31"/>
  <c r="L181" i="31"/>
  <c r="L182" i="31"/>
  <c r="L183" i="31"/>
  <c r="L184" i="31"/>
  <c r="L185" i="31"/>
  <c r="L186" i="31"/>
  <c r="L187" i="31"/>
  <c r="L188" i="31"/>
  <c r="L189" i="31"/>
  <c r="L190" i="31"/>
  <c r="L191" i="31"/>
  <c r="L192" i="31"/>
  <c r="L193" i="31"/>
  <c r="L194" i="31"/>
  <c r="L195" i="31"/>
  <c r="L196" i="31"/>
  <c r="L197" i="31"/>
  <c r="L198" i="31"/>
  <c r="L199" i="31"/>
  <c r="L200" i="31"/>
  <c r="L201" i="31"/>
  <c r="L202" i="31"/>
  <c r="L203" i="31"/>
  <c r="L204" i="31"/>
  <c r="L205" i="31"/>
  <c r="L206" i="31"/>
  <c r="L207" i="31"/>
  <c r="L208" i="31"/>
  <c r="L209" i="31"/>
  <c r="L210" i="31"/>
  <c r="L211" i="31"/>
  <c r="L212" i="31"/>
  <c r="L213" i="31"/>
  <c r="L214" i="31"/>
  <c r="L215" i="31"/>
  <c r="L216" i="31"/>
  <c r="L217" i="31"/>
  <c r="L218" i="31"/>
  <c r="L219" i="31"/>
  <c r="L220" i="31"/>
  <c r="L221" i="31"/>
  <c r="L222" i="31"/>
  <c r="L223" i="31"/>
  <c r="L224" i="31"/>
  <c r="L225" i="31"/>
  <c r="L226" i="31"/>
  <c r="L227" i="31"/>
  <c r="L228" i="31"/>
  <c r="L229" i="31"/>
  <c r="L230" i="31"/>
  <c r="L231" i="31"/>
  <c r="L232" i="31"/>
  <c r="L233" i="31"/>
  <c r="L234" i="31"/>
  <c r="L235" i="31"/>
  <c r="L236" i="31"/>
  <c r="L237" i="31"/>
  <c r="L238" i="31"/>
  <c r="L239" i="31"/>
  <c r="L240" i="31"/>
  <c r="L241" i="31"/>
  <c r="L242" i="31"/>
  <c r="L243" i="31"/>
  <c r="L244" i="31"/>
  <c r="L245" i="31"/>
  <c r="L246" i="31"/>
  <c r="L247" i="31"/>
  <c r="L248" i="31"/>
  <c r="L249" i="31"/>
  <c r="L250" i="31"/>
  <c r="L251" i="31"/>
  <c r="L252" i="31"/>
  <c r="L253" i="31"/>
  <c r="L254" i="31"/>
  <c r="L255" i="31"/>
  <c r="L256" i="31"/>
  <c r="L257" i="31"/>
  <c r="L258" i="31"/>
  <c r="L259" i="31"/>
  <c r="L260" i="31"/>
  <c r="L261" i="31"/>
  <c r="L262" i="31"/>
  <c r="L263" i="31"/>
  <c r="L264" i="31"/>
  <c r="L265" i="31"/>
  <c r="L266" i="31"/>
  <c r="L267" i="31"/>
  <c r="L268" i="31"/>
  <c r="L269" i="31"/>
  <c r="L270" i="31"/>
  <c r="L271" i="31"/>
  <c r="L272" i="31"/>
  <c r="L273" i="31"/>
  <c r="L274" i="31"/>
  <c r="L275" i="31"/>
  <c r="L276" i="31"/>
  <c r="L277" i="31"/>
  <c r="L278" i="31"/>
  <c r="L279" i="31"/>
  <c r="L280" i="31"/>
  <c r="L281" i="31"/>
  <c r="L282" i="31"/>
  <c r="L283" i="31"/>
  <c r="L284" i="31"/>
  <c r="L285" i="31"/>
  <c r="L286" i="31"/>
  <c r="L287" i="31"/>
  <c r="L288" i="31"/>
  <c r="L289" i="31"/>
  <c r="L290" i="31"/>
  <c r="L291" i="31"/>
  <c r="L292" i="31"/>
  <c r="L293" i="31"/>
  <c r="L294" i="31"/>
  <c r="L295" i="31"/>
  <c r="L296" i="31"/>
  <c r="L297" i="31"/>
  <c r="L298" i="31"/>
  <c r="L299" i="31"/>
  <c r="L300" i="31"/>
  <c r="L301" i="31"/>
  <c r="L302" i="31"/>
  <c r="L303" i="31"/>
  <c r="L304" i="31"/>
  <c r="L305" i="31"/>
  <c r="L306" i="31"/>
  <c r="L307" i="31"/>
  <c r="L308" i="31"/>
  <c r="L309" i="31"/>
  <c r="L310" i="31"/>
  <c r="L311" i="31"/>
  <c r="L312" i="31"/>
  <c r="L313" i="31"/>
  <c r="L314" i="31"/>
  <c r="L315" i="31"/>
  <c r="L316" i="31"/>
  <c r="L317" i="31"/>
  <c r="L318" i="31"/>
  <c r="L319" i="31"/>
  <c r="L320" i="31"/>
  <c r="L321" i="31"/>
  <c r="L322" i="31"/>
  <c r="L323" i="31"/>
  <c r="L324" i="31"/>
  <c r="L325" i="31"/>
  <c r="L326" i="31"/>
  <c r="L327" i="31"/>
  <c r="L328" i="31"/>
  <c r="L329" i="31"/>
  <c r="L330" i="31"/>
  <c r="L331" i="31"/>
  <c r="L332" i="31"/>
  <c r="L333" i="31"/>
  <c r="L334" i="31"/>
  <c r="L335" i="31"/>
  <c r="L336" i="31"/>
  <c r="L337" i="31"/>
  <c r="L338" i="31"/>
  <c r="L339" i="31"/>
  <c r="L340" i="31"/>
  <c r="L341" i="31"/>
  <c r="L342" i="31"/>
  <c r="L343" i="31"/>
  <c r="L344" i="31"/>
  <c r="L345" i="31"/>
  <c r="L346" i="31"/>
  <c r="L347" i="31"/>
  <c r="L348" i="31"/>
  <c r="L349" i="31"/>
  <c r="L350" i="31"/>
  <c r="L351" i="31"/>
  <c r="L352" i="31"/>
  <c r="L353" i="31"/>
  <c r="L354" i="31"/>
  <c r="L355" i="31"/>
  <c r="L356" i="31"/>
  <c r="L357" i="31"/>
  <c r="L358" i="31"/>
  <c r="L359" i="31"/>
  <c r="L360" i="31"/>
  <c r="L361" i="31"/>
  <c r="L362" i="31"/>
  <c r="L363" i="31"/>
  <c r="L364" i="31"/>
  <c r="L365" i="31"/>
  <c r="L366" i="31"/>
  <c r="L367" i="31"/>
  <c r="L368" i="31"/>
  <c r="L369" i="31"/>
  <c r="L370" i="31"/>
  <c r="L371" i="31"/>
  <c r="L372" i="31"/>
  <c r="L373" i="31"/>
  <c r="L374" i="31"/>
  <c r="L375" i="31"/>
  <c r="L376" i="31"/>
  <c r="L377" i="31"/>
  <c r="L378" i="31"/>
  <c r="L379" i="31"/>
  <c r="L380" i="31"/>
  <c r="L381" i="31"/>
  <c r="L382" i="31"/>
  <c r="L383" i="31"/>
  <c r="L384" i="31"/>
  <c r="L385" i="31"/>
  <c r="L386" i="31"/>
  <c r="L387" i="31"/>
  <c r="L388" i="31"/>
  <c r="L389" i="31"/>
  <c r="L390" i="31"/>
  <c r="L391" i="31"/>
  <c r="L392" i="31"/>
  <c r="L393" i="31"/>
  <c r="L394" i="31"/>
  <c r="L395" i="31"/>
  <c r="L396" i="31"/>
  <c r="L397" i="31"/>
  <c r="L398" i="31"/>
  <c r="L399" i="31"/>
  <c r="L400" i="31"/>
  <c r="L401" i="31"/>
  <c r="L402" i="31"/>
  <c r="L403" i="31"/>
  <c r="L404" i="31"/>
  <c r="L405" i="31"/>
  <c r="L406" i="31"/>
  <c r="L407" i="31"/>
  <c r="L408" i="31"/>
  <c r="L409" i="31"/>
  <c r="L410" i="31"/>
  <c r="L411" i="31"/>
  <c r="L412" i="31"/>
  <c r="L413" i="31"/>
  <c r="L414" i="31"/>
  <c r="L415" i="31"/>
  <c r="L416" i="31"/>
  <c r="L417" i="31"/>
  <c r="L418" i="31"/>
  <c r="L419" i="31"/>
  <c r="L420" i="31"/>
  <c r="L421" i="31"/>
  <c r="L422" i="31"/>
  <c r="L423" i="31"/>
  <c r="L424" i="31"/>
  <c r="L425" i="31"/>
  <c r="L426" i="31"/>
  <c r="L427" i="31"/>
  <c r="L428" i="31"/>
  <c r="L429" i="31"/>
  <c r="L430" i="31"/>
  <c r="L431" i="31"/>
  <c r="L432" i="31"/>
  <c r="L433" i="31"/>
  <c r="L434" i="31"/>
  <c r="L435" i="31"/>
  <c r="L436" i="31"/>
  <c r="L437" i="31"/>
  <c r="L438" i="31"/>
  <c r="L439" i="31"/>
  <c r="L440" i="31"/>
  <c r="L441" i="31"/>
  <c r="L442" i="31"/>
  <c r="L443" i="31"/>
  <c r="L444" i="31"/>
  <c r="L445" i="31"/>
  <c r="L446" i="31"/>
  <c r="L447" i="31"/>
  <c r="L448" i="31"/>
  <c r="L449" i="31"/>
  <c r="L450" i="31"/>
  <c r="L451" i="31"/>
  <c r="L452" i="31"/>
  <c r="L453" i="31"/>
  <c r="L454" i="31"/>
  <c r="L455" i="31"/>
  <c r="L456" i="31"/>
  <c r="L457" i="31"/>
  <c r="L458" i="31"/>
  <c r="L459" i="31"/>
  <c r="L460" i="31"/>
  <c r="L461" i="31"/>
  <c r="L462" i="31"/>
  <c r="L463" i="31"/>
  <c r="L464" i="31"/>
  <c r="L465" i="31"/>
  <c r="L466" i="31"/>
  <c r="L467" i="31"/>
  <c r="L468" i="31"/>
  <c r="L469" i="31"/>
  <c r="L470" i="31"/>
  <c r="L471" i="31"/>
  <c r="L472" i="31"/>
  <c r="L473" i="31"/>
  <c r="L474" i="31"/>
  <c r="L475" i="31"/>
  <c r="L476" i="31"/>
  <c r="L477" i="31"/>
  <c r="L478" i="31"/>
  <c r="L479" i="31"/>
  <c r="L480" i="31"/>
  <c r="L481" i="31"/>
  <c r="L482" i="31"/>
  <c r="L483" i="31"/>
  <c r="L484" i="31"/>
  <c r="L485" i="31"/>
  <c r="L486" i="31"/>
  <c r="L487" i="31"/>
  <c r="L488" i="31"/>
  <c r="L489" i="31"/>
  <c r="L490" i="31"/>
  <c r="L491" i="31"/>
  <c r="L492" i="31"/>
  <c r="L493" i="31"/>
  <c r="L494" i="31"/>
  <c r="L495" i="31"/>
  <c r="L496" i="31"/>
  <c r="L497" i="31"/>
  <c r="L498" i="31"/>
  <c r="L499" i="31"/>
  <c r="L500" i="31"/>
  <c r="L501" i="31"/>
  <c r="L502" i="31"/>
  <c r="L503" i="31"/>
  <c r="L504" i="31"/>
  <c r="L505" i="31"/>
  <c r="L506" i="31"/>
  <c r="L507" i="31"/>
  <c r="L508" i="31"/>
  <c r="L509" i="31"/>
  <c r="L510" i="31"/>
  <c r="L511" i="31"/>
  <c r="L512" i="31"/>
  <c r="L513" i="31"/>
  <c r="L514" i="31"/>
  <c r="L515" i="31"/>
  <c r="L516" i="31"/>
  <c r="L517" i="31"/>
  <c r="L518" i="31"/>
  <c r="L519" i="31"/>
  <c r="L520" i="31"/>
  <c r="L521" i="31"/>
  <c r="L522" i="31"/>
  <c r="L523" i="31"/>
  <c r="L524" i="31"/>
  <c r="L525" i="31"/>
  <c r="L526" i="31"/>
  <c r="L527" i="31"/>
  <c r="L528" i="31"/>
  <c r="L529" i="31"/>
  <c r="L530" i="31"/>
  <c r="L531" i="31"/>
  <c r="L532" i="31"/>
  <c r="L533" i="31"/>
  <c r="L534" i="31"/>
  <c r="L535" i="31"/>
  <c r="L536" i="31"/>
  <c r="L537" i="31"/>
  <c r="L538" i="31"/>
  <c r="L539" i="31"/>
  <c r="L540" i="31"/>
  <c r="L541" i="31"/>
  <c r="L542" i="31"/>
  <c r="L543" i="31"/>
  <c r="L544" i="31"/>
  <c r="L545" i="31"/>
  <c r="L546" i="31"/>
  <c r="L547" i="31"/>
  <c r="L548" i="31"/>
  <c r="L549" i="31"/>
  <c r="L550" i="31"/>
  <c r="L551" i="31"/>
  <c r="L552" i="31"/>
  <c r="L553" i="31"/>
  <c r="L554" i="31"/>
  <c r="L555" i="31"/>
  <c r="L556" i="31"/>
  <c r="L557" i="31"/>
  <c r="L558" i="31"/>
  <c r="L559" i="31"/>
  <c r="L560" i="31"/>
  <c r="L561" i="31"/>
  <c r="L562" i="31"/>
  <c r="L563" i="31"/>
  <c r="L564" i="31"/>
  <c r="L565" i="31"/>
  <c r="L566" i="31"/>
  <c r="L567" i="31"/>
  <c r="L568" i="31"/>
  <c r="L569" i="31"/>
  <c r="L570" i="31"/>
  <c r="L571" i="31"/>
  <c r="L572" i="31"/>
  <c r="L573" i="31"/>
  <c r="L574" i="31"/>
  <c r="L575" i="31"/>
  <c r="L576" i="31"/>
  <c r="L577" i="31"/>
  <c r="L578" i="31"/>
  <c r="L579" i="31"/>
  <c r="L580" i="31"/>
  <c r="L581" i="31"/>
  <c r="L582" i="31"/>
  <c r="L583" i="31"/>
  <c r="L584" i="31"/>
  <c r="L585" i="31"/>
  <c r="L586" i="31"/>
  <c r="L587" i="31"/>
  <c r="L588" i="31"/>
  <c r="L589" i="31"/>
  <c r="L590" i="31"/>
  <c r="L591" i="31"/>
  <c r="L592" i="31"/>
  <c r="L593" i="31"/>
  <c r="L594" i="31"/>
  <c r="L595" i="31"/>
  <c r="L596" i="31"/>
  <c r="L597" i="31"/>
  <c r="L598" i="31"/>
  <c r="L599" i="31"/>
  <c r="L600" i="31"/>
  <c r="L601" i="31"/>
  <c r="L602" i="31"/>
  <c r="L603" i="31"/>
  <c r="L604" i="31"/>
  <c r="L605" i="31"/>
  <c r="L606" i="31"/>
  <c r="L607" i="31"/>
  <c r="L608" i="31"/>
  <c r="L609" i="31"/>
  <c r="L610" i="31"/>
  <c r="L611" i="31"/>
  <c r="L612" i="31"/>
  <c r="L613" i="31"/>
  <c r="L614" i="31"/>
  <c r="L615" i="31"/>
  <c r="L616" i="31"/>
  <c r="L617" i="31"/>
  <c r="L618" i="31"/>
  <c r="L619" i="31"/>
  <c r="L620" i="31"/>
  <c r="L621" i="31"/>
  <c r="L622" i="31"/>
  <c r="L623" i="31"/>
  <c r="L624" i="31"/>
  <c r="L625" i="31"/>
  <c r="L626" i="31"/>
  <c r="L627" i="31"/>
  <c r="L628" i="31"/>
  <c r="L629" i="31"/>
  <c r="L630" i="31"/>
  <c r="L631" i="31"/>
  <c r="L632" i="31"/>
  <c r="L633" i="31"/>
  <c r="L634" i="31"/>
  <c r="L635" i="31"/>
  <c r="L636" i="31"/>
  <c r="L637" i="31"/>
  <c r="L638" i="31"/>
  <c r="L639" i="31"/>
  <c r="L640" i="31"/>
  <c r="L641" i="31"/>
  <c r="L642" i="31"/>
  <c r="L643" i="31"/>
  <c r="L644" i="31"/>
  <c r="L645" i="31"/>
  <c r="L646" i="31"/>
  <c r="L647" i="31"/>
  <c r="L648" i="31"/>
  <c r="L649" i="31"/>
  <c r="L650" i="31"/>
  <c r="L651" i="31"/>
  <c r="L652" i="31"/>
  <c r="L653" i="31"/>
  <c r="L654" i="31"/>
  <c r="L655" i="31"/>
  <c r="L656" i="31"/>
  <c r="L657" i="31"/>
  <c r="L658" i="31"/>
  <c r="L659" i="31"/>
  <c r="L660" i="31"/>
  <c r="L661" i="31"/>
  <c r="L662" i="31"/>
  <c r="L663" i="31"/>
  <c r="L664" i="31"/>
  <c r="L665" i="31"/>
  <c r="L666" i="31"/>
  <c r="L667" i="31"/>
  <c r="L668" i="31"/>
  <c r="L669" i="31"/>
  <c r="L670" i="31"/>
  <c r="L671" i="31"/>
  <c r="L672" i="31"/>
  <c r="L673" i="31"/>
  <c r="L674" i="31"/>
  <c r="L675" i="31"/>
  <c r="L676" i="31"/>
  <c r="L677" i="31"/>
  <c r="L678" i="31"/>
  <c r="L679" i="31"/>
  <c r="L680" i="31"/>
  <c r="L681" i="31"/>
  <c r="L682" i="31"/>
  <c r="L683" i="31"/>
  <c r="L684" i="31"/>
  <c r="L685" i="31"/>
  <c r="L686" i="31"/>
  <c r="L687" i="31"/>
  <c r="L688" i="31"/>
  <c r="L689" i="31"/>
  <c r="L690" i="31"/>
  <c r="L691" i="31"/>
  <c r="L692" i="31"/>
  <c r="L693" i="31"/>
  <c r="L694" i="31"/>
  <c r="L695" i="31"/>
  <c r="L696" i="31"/>
  <c r="L697" i="31"/>
  <c r="L698" i="31"/>
  <c r="L699" i="31"/>
  <c r="L700" i="31"/>
  <c r="L701" i="31"/>
  <c r="L702" i="31"/>
  <c r="L703" i="31"/>
  <c r="L704" i="31"/>
  <c r="L705" i="31"/>
  <c r="L706" i="31"/>
  <c r="L707" i="31"/>
  <c r="L708" i="31"/>
  <c r="L709" i="31"/>
  <c r="L710" i="31"/>
  <c r="L711" i="31"/>
  <c r="L712" i="31"/>
  <c r="L713" i="31"/>
  <c r="L714" i="31"/>
  <c r="L715" i="31"/>
  <c r="L716" i="31"/>
  <c r="L717" i="31"/>
  <c r="L718" i="31"/>
  <c r="L719" i="31"/>
  <c r="L720" i="31"/>
  <c r="L721" i="31"/>
  <c r="L722" i="31"/>
  <c r="L723" i="31"/>
  <c r="L724" i="31"/>
  <c r="L725" i="31"/>
  <c r="L726" i="31"/>
  <c r="L727" i="31"/>
  <c r="L728" i="31"/>
  <c r="L729" i="31"/>
  <c r="L730" i="31"/>
  <c r="L731" i="31"/>
  <c r="L732" i="31"/>
  <c r="L733" i="31"/>
  <c r="L734" i="31"/>
  <c r="L735" i="31"/>
  <c r="L736" i="31"/>
  <c r="L737" i="31"/>
  <c r="L738" i="31"/>
  <c r="L739" i="31"/>
  <c r="L740" i="31"/>
  <c r="L741" i="31"/>
  <c r="L742" i="31"/>
  <c r="L743" i="31"/>
  <c r="L744" i="31"/>
  <c r="L745" i="31"/>
  <c r="L746" i="31"/>
  <c r="L747" i="31"/>
  <c r="L748" i="31"/>
  <c r="L749" i="31"/>
  <c r="L750" i="31"/>
  <c r="L751" i="31"/>
  <c r="L752" i="31"/>
  <c r="L753" i="31"/>
  <c r="L754" i="31"/>
  <c r="L755" i="31"/>
  <c r="L756" i="31"/>
  <c r="L757" i="31"/>
  <c r="L758" i="31"/>
  <c r="L759" i="31"/>
  <c r="L760" i="31"/>
  <c r="L761" i="31"/>
  <c r="L762" i="31"/>
  <c r="L763" i="31"/>
  <c r="L764" i="31"/>
  <c r="L765" i="31"/>
  <c r="L766" i="31"/>
  <c r="J204" i="31"/>
  <c r="J205" i="31"/>
  <c r="J206" i="31"/>
  <c r="J207" i="31"/>
  <c r="J208" i="31"/>
  <c r="J209" i="31"/>
  <c r="J210" i="31"/>
  <c r="J211" i="31"/>
  <c r="J212" i="31"/>
  <c r="J213" i="31"/>
  <c r="J214" i="31"/>
  <c r="J215" i="31"/>
  <c r="J216" i="31"/>
  <c r="J217" i="31"/>
  <c r="J218" i="31"/>
  <c r="J219" i="31"/>
  <c r="J220" i="31"/>
  <c r="J221" i="31"/>
  <c r="J222" i="31"/>
  <c r="J223" i="31"/>
  <c r="J224" i="31"/>
  <c r="J225" i="31"/>
  <c r="J226" i="31"/>
  <c r="J227" i="31"/>
  <c r="J228" i="31"/>
  <c r="J229" i="31"/>
  <c r="J230" i="31"/>
  <c r="J231" i="31"/>
  <c r="J232" i="31"/>
  <c r="J233" i="31"/>
  <c r="J234" i="31"/>
  <c r="J235" i="31"/>
  <c r="J236" i="31"/>
  <c r="J237" i="31"/>
  <c r="J238" i="31"/>
  <c r="J239" i="31"/>
  <c r="J240" i="31"/>
  <c r="J241" i="31"/>
  <c r="J242" i="31"/>
  <c r="J243" i="31"/>
  <c r="J244" i="31"/>
  <c r="J245" i="31"/>
  <c r="J246" i="31"/>
  <c r="J247" i="31"/>
  <c r="J248" i="31"/>
  <c r="J249" i="31"/>
  <c r="J250" i="31"/>
  <c r="J251" i="31"/>
  <c r="J252" i="31"/>
  <c r="J253" i="31"/>
  <c r="J254" i="31"/>
  <c r="J255" i="31"/>
  <c r="J256" i="31"/>
  <c r="J257" i="31"/>
  <c r="J258" i="31"/>
  <c r="J259" i="31"/>
  <c r="J260" i="31"/>
  <c r="J261" i="31"/>
  <c r="J262" i="31"/>
  <c r="J263" i="31"/>
  <c r="J264" i="31"/>
  <c r="J265" i="31"/>
  <c r="J266" i="31"/>
  <c r="J267" i="31"/>
  <c r="J268" i="31"/>
  <c r="J269" i="31"/>
  <c r="J270" i="31"/>
  <c r="J271" i="31"/>
  <c r="J272" i="31"/>
  <c r="J273" i="31"/>
  <c r="J274" i="31"/>
  <c r="J275" i="31"/>
  <c r="J276" i="31"/>
  <c r="J277" i="31"/>
  <c r="J278" i="31"/>
  <c r="J279" i="31"/>
  <c r="J280" i="31"/>
  <c r="J281" i="31"/>
  <c r="J282" i="31"/>
  <c r="J283" i="31"/>
  <c r="J284" i="31"/>
  <c r="J285" i="31"/>
  <c r="J286" i="31"/>
  <c r="J287" i="31"/>
  <c r="J288" i="31"/>
  <c r="J289" i="31"/>
  <c r="J290" i="31"/>
  <c r="J291" i="31"/>
  <c r="J292" i="31"/>
  <c r="J293" i="31"/>
  <c r="J294" i="31"/>
  <c r="J295" i="31"/>
  <c r="J296" i="31"/>
  <c r="J297" i="31"/>
  <c r="J298" i="31"/>
  <c r="J299" i="31"/>
  <c r="J300" i="31"/>
  <c r="J301" i="31"/>
  <c r="J302" i="31"/>
  <c r="J303" i="31"/>
  <c r="J304" i="31"/>
  <c r="J305" i="31"/>
  <c r="J306" i="31"/>
  <c r="J307" i="31"/>
  <c r="J308" i="31"/>
  <c r="J309" i="31"/>
  <c r="J310" i="31"/>
  <c r="J311" i="31"/>
  <c r="J312" i="31"/>
  <c r="J313" i="31"/>
  <c r="J314" i="31"/>
  <c r="J315" i="31"/>
  <c r="J316" i="31"/>
  <c r="J317" i="31"/>
  <c r="J318" i="31"/>
  <c r="J319" i="31"/>
  <c r="J320" i="31"/>
  <c r="J321" i="31"/>
  <c r="J322" i="31"/>
  <c r="J323" i="31"/>
  <c r="J324" i="31"/>
  <c r="J325" i="31"/>
  <c r="J326" i="31"/>
  <c r="J327" i="31"/>
  <c r="J328" i="31"/>
  <c r="J329" i="31"/>
  <c r="J330" i="31"/>
  <c r="J331" i="31"/>
  <c r="J332" i="31"/>
  <c r="J333" i="31"/>
  <c r="J334" i="31"/>
  <c r="J335" i="31"/>
  <c r="J336" i="31"/>
  <c r="J337" i="31"/>
  <c r="J338" i="31"/>
  <c r="J339" i="31"/>
  <c r="J340" i="31"/>
  <c r="J341" i="31"/>
  <c r="J342" i="31"/>
  <c r="J343" i="31"/>
  <c r="J344" i="31"/>
  <c r="J345" i="31"/>
  <c r="J346" i="31"/>
  <c r="J347" i="31"/>
  <c r="J348" i="31"/>
  <c r="J349" i="31"/>
  <c r="J350" i="31"/>
  <c r="J351" i="31"/>
  <c r="J352" i="31"/>
  <c r="J353" i="31"/>
  <c r="J354" i="31"/>
  <c r="J355" i="31"/>
  <c r="J356" i="31"/>
  <c r="J357" i="31"/>
  <c r="J358" i="31"/>
  <c r="J359" i="31"/>
  <c r="J360" i="31"/>
  <c r="J361" i="31"/>
  <c r="J362" i="31"/>
  <c r="J363" i="31"/>
  <c r="J364" i="31"/>
  <c r="J365" i="31"/>
  <c r="J366" i="31"/>
  <c r="J367" i="31"/>
  <c r="J368" i="31"/>
  <c r="J369" i="31"/>
  <c r="J370" i="31"/>
  <c r="J371" i="31"/>
  <c r="J372" i="31"/>
  <c r="J373" i="31"/>
  <c r="J374" i="31"/>
  <c r="J375" i="31"/>
  <c r="J376" i="31"/>
  <c r="J377" i="31"/>
  <c r="J378" i="31"/>
  <c r="J379" i="31"/>
  <c r="J380" i="31"/>
  <c r="J381" i="31"/>
  <c r="J382" i="31"/>
  <c r="J383" i="31"/>
  <c r="J384" i="31"/>
  <c r="J385" i="31"/>
  <c r="J386" i="31"/>
  <c r="J387" i="31"/>
  <c r="J388" i="31"/>
  <c r="J389" i="31"/>
  <c r="J390" i="31"/>
  <c r="J391" i="31"/>
  <c r="J392" i="31"/>
  <c r="J393" i="31"/>
  <c r="J394" i="31"/>
  <c r="J395" i="31"/>
  <c r="J396" i="31"/>
  <c r="J397" i="31"/>
  <c r="J398" i="31"/>
  <c r="J399" i="31"/>
  <c r="J400" i="31"/>
  <c r="J401" i="31"/>
  <c r="J402" i="31"/>
  <c r="J403" i="31"/>
  <c r="J404" i="31"/>
  <c r="J405" i="31"/>
  <c r="J406" i="31"/>
  <c r="J407" i="31"/>
  <c r="J408" i="31"/>
  <c r="J409" i="31"/>
  <c r="J410" i="31"/>
  <c r="J411" i="31"/>
  <c r="J412" i="31"/>
  <c r="J413" i="31"/>
  <c r="J414" i="31"/>
  <c r="J415" i="31"/>
  <c r="J416" i="31"/>
  <c r="J417" i="31"/>
  <c r="J418" i="31"/>
  <c r="J419" i="31"/>
  <c r="J420" i="31"/>
  <c r="J421" i="31"/>
  <c r="J422" i="31"/>
  <c r="J423" i="31"/>
  <c r="J424" i="31"/>
  <c r="J425" i="31"/>
  <c r="J426" i="31"/>
  <c r="J427" i="31"/>
  <c r="J428" i="31"/>
  <c r="J429" i="31"/>
  <c r="J430" i="31"/>
  <c r="J431" i="31"/>
  <c r="J432" i="31"/>
  <c r="J433" i="31"/>
  <c r="J434" i="31"/>
  <c r="J435" i="31"/>
  <c r="J436" i="31"/>
  <c r="J437" i="31"/>
  <c r="J438" i="31"/>
  <c r="J439" i="31"/>
  <c r="J440" i="31"/>
  <c r="J441" i="31"/>
  <c r="J442" i="31"/>
  <c r="J443" i="31"/>
  <c r="J444" i="31"/>
  <c r="J445" i="31"/>
  <c r="J446" i="31"/>
  <c r="J447" i="31"/>
  <c r="J448" i="31"/>
  <c r="J449" i="31"/>
  <c r="J450" i="31"/>
  <c r="J451" i="31"/>
  <c r="J452" i="31"/>
  <c r="J453" i="31"/>
  <c r="J454" i="31"/>
  <c r="J455" i="31"/>
  <c r="J456" i="31"/>
  <c r="J457" i="31"/>
  <c r="J458" i="31"/>
  <c r="J459" i="31"/>
  <c r="J460" i="31"/>
  <c r="J461" i="31"/>
  <c r="J462" i="31"/>
  <c r="J463" i="31"/>
  <c r="J464" i="31"/>
  <c r="J465" i="31"/>
  <c r="J466" i="31"/>
  <c r="J467" i="31"/>
  <c r="J468" i="31"/>
  <c r="J469" i="31"/>
  <c r="J470" i="31"/>
  <c r="J471" i="31"/>
  <c r="J472" i="31"/>
  <c r="J473" i="31"/>
  <c r="J474" i="31"/>
  <c r="J475" i="31"/>
  <c r="J476" i="31"/>
  <c r="J477" i="31"/>
  <c r="J478" i="31"/>
  <c r="J479" i="31"/>
  <c r="J480" i="31"/>
  <c r="J481" i="31"/>
  <c r="J482" i="31"/>
  <c r="J483" i="31"/>
  <c r="J484" i="31"/>
  <c r="J485" i="31"/>
  <c r="J486" i="31"/>
  <c r="J487" i="31"/>
  <c r="J488" i="31"/>
  <c r="J489" i="31"/>
  <c r="J490" i="31"/>
  <c r="J491" i="31"/>
  <c r="J492" i="31"/>
  <c r="J493" i="31"/>
  <c r="J494" i="31"/>
  <c r="J495" i="31"/>
  <c r="J496" i="31"/>
  <c r="J497" i="31"/>
  <c r="J498" i="31"/>
  <c r="J499" i="31"/>
  <c r="J500" i="31"/>
  <c r="J501" i="31"/>
  <c r="J502" i="31"/>
  <c r="J503" i="31"/>
  <c r="J504" i="31"/>
  <c r="J505" i="31"/>
  <c r="J506" i="31"/>
  <c r="J507" i="31"/>
  <c r="J508" i="31"/>
  <c r="J509" i="31"/>
  <c r="J510" i="31"/>
  <c r="J511" i="31"/>
  <c r="J512" i="31"/>
  <c r="J513" i="31"/>
  <c r="J514" i="31"/>
  <c r="J515" i="31"/>
  <c r="J516" i="31"/>
  <c r="J517" i="31"/>
  <c r="J518" i="31"/>
  <c r="J519" i="31"/>
  <c r="J520" i="31"/>
  <c r="J521" i="31"/>
  <c r="J522" i="31"/>
  <c r="J523" i="31"/>
  <c r="J524" i="31"/>
  <c r="J525" i="31"/>
  <c r="J526" i="31"/>
  <c r="J527" i="31"/>
  <c r="J528" i="31"/>
  <c r="J529" i="31"/>
  <c r="J530" i="31"/>
  <c r="J531" i="31"/>
  <c r="J532" i="31"/>
  <c r="J533" i="31"/>
  <c r="J534" i="31"/>
  <c r="J535" i="31"/>
  <c r="J536" i="31"/>
  <c r="J537" i="31"/>
  <c r="J538" i="31"/>
  <c r="J539" i="31"/>
  <c r="J540" i="31"/>
  <c r="J541" i="31"/>
  <c r="J542" i="31"/>
  <c r="J543" i="31"/>
  <c r="J544" i="31"/>
  <c r="J545" i="31"/>
  <c r="J546" i="31"/>
  <c r="J547" i="31"/>
  <c r="J548" i="31"/>
  <c r="J549" i="31"/>
  <c r="J550" i="31"/>
  <c r="J551" i="31"/>
  <c r="J552" i="31"/>
  <c r="J553" i="31"/>
  <c r="J554" i="31"/>
  <c r="J555" i="31"/>
  <c r="J556" i="31"/>
  <c r="J557" i="31"/>
  <c r="J558" i="31"/>
  <c r="J559" i="31"/>
  <c r="J560" i="31"/>
  <c r="J561" i="31"/>
  <c r="J562" i="31"/>
  <c r="J563" i="31"/>
  <c r="J564" i="31"/>
  <c r="J565" i="31"/>
  <c r="J566" i="31"/>
  <c r="J567" i="31"/>
  <c r="J568" i="31"/>
  <c r="J569" i="31"/>
  <c r="J570" i="31"/>
  <c r="J571" i="31"/>
  <c r="J572" i="31"/>
  <c r="J573" i="31"/>
  <c r="J574" i="31"/>
  <c r="J575" i="31"/>
  <c r="J576" i="31"/>
  <c r="J577" i="31"/>
  <c r="J578" i="31"/>
  <c r="J579" i="31"/>
  <c r="J580" i="31"/>
  <c r="J581" i="31"/>
  <c r="J582" i="31"/>
  <c r="J583" i="31"/>
  <c r="J584" i="31"/>
  <c r="J585" i="31"/>
  <c r="J586" i="31"/>
  <c r="J587" i="31"/>
  <c r="J588" i="31"/>
  <c r="J589" i="31"/>
  <c r="J590" i="31"/>
  <c r="J591" i="31"/>
  <c r="J592" i="31"/>
  <c r="J593" i="31"/>
  <c r="J594" i="31"/>
  <c r="J595" i="31"/>
  <c r="J596" i="31"/>
  <c r="J597" i="31"/>
  <c r="J598" i="31"/>
  <c r="J599" i="31"/>
  <c r="J600" i="31"/>
  <c r="J601" i="31"/>
  <c r="J602" i="31"/>
  <c r="J603" i="31"/>
  <c r="J604" i="31"/>
  <c r="J605" i="31"/>
  <c r="J606" i="31"/>
  <c r="J607" i="31"/>
  <c r="J608" i="31"/>
  <c r="J609" i="31"/>
  <c r="J610" i="31"/>
  <c r="J611" i="31"/>
  <c r="J612" i="31"/>
  <c r="J613" i="31"/>
  <c r="J614" i="31"/>
  <c r="J615" i="31"/>
  <c r="J616" i="31"/>
  <c r="J617" i="31"/>
  <c r="J618" i="31"/>
  <c r="J619" i="31"/>
  <c r="J620" i="31"/>
  <c r="J621" i="31"/>
  <c r="J622" i="31"/>
  <c r="J623" i="31"/>
  <c r="J624" i="31"/>
  <c r="J625" i="31"/>
  <c r="J626" i="31"/>
  <c r="J627" i="31"/>
  <c r="J628" i="31"/>
  <c r="J629" i="31"/>
  <c r="J630" i="31"/>
  <c r="J631" i="31"/>
  <c r="J632" i="31"/>
  <c r="J633" i="31"/>
  <c r="J634" i="31"/>
  <c r="J635" i="31"/>
  <c r="J636" i="31"/>
  <c r="J637" i="31"/>
  <c r="J638" i="31"/>
  <c r="J639" i="31"/>
  <c r="J640" i="31"/>
  <c r="J641" i="31"/>
  <c r="J642" i="31"/>
  <c r="J643" i="31"/>
  <c r="J644" i="31"/>
  <c r="J645" i="31"/>
  <c r="J646" i="31"/>
  <c r="J647" i="31"/>
  <c r="J648" i="31"/>
  <c r="J649" i="31"/>
  <c r="J650" i="31"/>
  <c r="J651" i="31"/>
  <c r="J652" i="31"/>
  <c r="J653" i="31"/>
  <c r="J654" i="31"/>
  <c r="J655" i="31"/>
  <c r="J656" i="31"/>
  <c r="J657" i="31"/>
  <c r="J658" i="31"/>
  <c r="J659" i="31"/>
  <c r="J660" i="31"/>
  <c r="J661" i="31"/>
  <c r="J662" i="31"/>
  <c r="J663" i="31"/>
  <c r="J664" i="31"/>
  <c r="J665" i="31"/>
  <c r="J666" i="31"/>
  <c r="J667" i="31"/>
  <c r="J668" i="31"/>
  <c r="J669" i="31"/>
  <c r="J670" i="31"/>
  <c r="J671" i="31"/>
  <c r="J672" i="31"/>
  <c r="J673" i="31"/>
  <c r="J674" i="31"/>
  <c r="J675" i="31"/>
  <c r="J676" i="31"/>
  <c r="J677" i="31"/>
  <c r="J678" i="31"/>
  <c r="J679" i="31"/>
  <c r="J680" i="31"/>
  <c r="J681" i="31"/>
  <c r="J682" i="31"/>
  <c r="J683" i="31"/>
  <c r="J684" i="31"/>
  <c r="J685" i="31"/>
  <c r="J686" i="31"/>
  <c r="J687" i="31"/>
  <c r="J688" i="31"/>
  <c r="J689" i="31"/>
  <c r="J690" i="31"/>
  <c r="J691" i="31"/>
  <c r="J692" i="31"/>
  <c r="J693" i="31"/>
  <c r="J694" i="31"/>
  <c r="J695" i="31"/>
  <c r="J696" i="31"/>
  <c r="J697" i="31"/>
  <c r="J698" i="31"/>
  <c r="J699" i="31"/>
  <c r="J700" i="31"/>
  <c r="J701" i="31"/>
  <c r="J702" i="31"/>
  <c r="J703" i="31"/>
  <c r="J704" i="31"/>
  <c r="J705" i="31"/>
  <c r="J706" i="31"/>
  <c r="J707" i="31"/>
  <c r="J708" i="31"/>
  <c r="J709" i="31"/>
  <c r="J710" i="31"/>
  <c r="J711" i="31"/>
  <c r="J712" i="31"/>
  <c r="J713" i="31"/>
  <c r="J714" i="31"/>
  <c r="J715" i="31"/>
  <c r="J716" i="31"/>
  <c r="J717" i="31"/>
  <c r="J718" i="31"/>
  <c r="J719" i="31"/>
  <c r="J720" i="31"/>
  <c r="J721" i="31"/>
  <c r="J722" i="31"/>
  <c r="J723" i="31"/>
  <c r="J724" i="31"/>
  <c r="J725" i="31"/>
  <c r="J726" i="31"/>
  <c r="J727" i="31"/>
  <c r="J728" i="31"/>
  <c r="J729" i="31"/>
  <c r="J730" i="31"/>
  <c r="J731" i="31"/>
  <c r="J732" i="31"/>
  <c r="J733" i="31"/>
  <c r="J734" i="31"/>
  <c r="J735" i="31"/>
  <c r="J736" i="31"/>
  <c r="J737" i="31"/>
  <c r="J738" i="31"/>
  <c r="J739" i="31"/>
  <c r="J740" i="31"/>
  <c r="J741" i="31"/>
  <c r="J742" i="31"/>
  <c r="J743" i="31"/>
  <c r="J744" i="31"/>
  <c r="J745" i="31"/>
  <c r="J746" i="31"/>
  <c r="J747" i="31"/>
  <c r="J748" i="31"/>
  <c r="J749" i="31"/>
  <c r="J750" i="31"/>
  <c r="J751" i="31"/>
  <c r="J752" i="31"/>
  <c r="J753" i="31"/>
  <c r="J754" i="31"/>
  <c r="J755" i="31"/>
  <c r="J756" i="31"/>
  <c r="J757" i="31"/>
  <c r="J758" i="31"/>
  <c r="J759" i="31"/>
  <c r="J760" i="31"/>
  <c r="J761" i="31"/>
  <c r="J762" i="31"/>
  <c r="J763" i="31"/>
  <c r="J764" i="31"/>
  <c r="J765" i="31"/>
  <c r="J766" i="31"/>
  <c r="H204" i="31"/>
  <c r="AC204" i="31" s="1"/>
  <c r="H205" i="31"/>
  <c r="AC205" i="31" s="1"/>
  <c r="H206" i="31"/>
  <c r="AC206" i="31" s="1"/>
  <c r="H207" i="31"/>
  <c r="AC207" i="31" s="1"/>
  <c r="H208" i="31"/>
  <c r="AC208" i="31" s="1"/>
  <c r="H209" i="31"/>
  <c r="AC209" i="31" s="1"/>
  <c r="H210" i="31"/>
  <c r="AC210" i="31" s="1"/>
  <c r="H211" i="31"/>
  <c r="AC211" i="31" s="1"/>
  <c r="H212" i="31"/>
  <c r="AC212" i="31" s="1"/>
  <c r="H213" i="31"/>
  <c r="AC213" i="31" s="1"/>
  <c r="H214" i="31"/>
  <c r="AC214" i="31" s="1"/>
  <c r="H215" i="31"/>
  <c r="AC215" i="31" s="1"/>
  <c r="H216" i="31"/>
  <c r="AC216" i="31" s="1"/>
  <c r="H217" i="31"/>
  <c r="AC217" i="31" s="1"/>
  <c r="H218" i="31"/>
  <c r="AC218" i="31" s="1"/>
  <c r="H219" i="31"/>
  <c r="AC219" i="31" s="1"/>
  <c r="H220" i="31"/>
  <c r="AC220" i="31" s="1"/>
  <c r="H221" i="31"/>
  <c r="AC221" i="31" s="1"/>
  <c r="H222" i="31"/>
  <c r="AC222" i="31" s="1"/>
  <c r="H223" i="31"/>
  <c r="AC223" i="31" s="1"/>
  <c r="H224" i="31"/>
  <c r="AC224" i="31" s="1"/>
  <c r="H225" i="31"/>
  <c r="AC225" i="31" s="1"/>
  <c r="H226" i="31"/>
  <c r="AC226" i="31" s="1"/>
  <c r="H227" i="31"/>
  <c r="AC227" i="31" s="1"/>
  <c r="H228" i="31"/>
  <c r="AC228" i="31" s="1"/>
  <c r="H229" i="31"/>
  <c r="AC229" i="31" s="1"/>
  <c r="H230" i="31"/>
  <c r="AC230" i="31" s="1"/>
  <c r="H231" i="31"/>
  <c r="AC231" i="31" s="1"/>
  <c r="H232" i="31"/>
  <c r="AC232" i="31" s="1"/>
  <c r="H233" i="31"/>
  <c r="AC233" i="31" s="1"/>
  <c r="H234" i="31"/>
  <c r="AC234" i="31" s="1"/>
  <c r="H235" i="31"/>
  <c r="AC235" i="31" s="1"/>
  <c r="H236" i="31"/>
  <c r="AC236" i="31" s="1"/>
  <c r="H237" i="31"/>
  <c r="AC237" i="31" s="1"/>
  <c r="H238" i="31"/>
  <c r="AC238" i="31" s="1"/>
  <c r="H239" i="31"/>
  <c r="AC239" i="31" s="1"/>
  <c r="H240" i="31"/>
  <c r="AC240" i="31" s="1"/>
  <c r="H241" i="31"/>
  <c r="AC241" i="31" s="1"/>
  <c r="H242" i="31"/>
  <c r="AC242" i="31" s="1"/>
  <c r="H243" i="31"/>
  <c r="AC243" i="31" s="1"/>
  <c r="H244" i="31"/>
  <c r="AC244" i="31" s="1"/>
  <c r="H245" i="31"/>
  <c r="AC245" i="31" s="1"/>
  <c r="H246" i="31"/>
  <c r="AC246" i="31" s="1"/>
  <c r="H247" i="31"/>
  <c r="AC247" i="31" s="1"/>
  <c r="H248" i="31"/>
  <c r="AC248" i="31" s="1"/>
  <c r="H249" i="31"/>
  <c r="AC249" i="31" s="1"/>
  <c r="H250" i="31"/>
  <c r="AC250" i="31" s="1"/>
  <c r="H251" i="31"/>
  <c r="AC251" i="31" s="1"/>
  <c r="H252" i="31"/>
  <c r="AC252" i="31" s="1"/>
  <c r="H253" i="31"/>
  <c r="AC253" i="31" s="1"/>
  <c r="H254" i="31"/>
  <c r="AC254" i="31" s="1"/>
  <c r="H255" i="31"/>
  <c r="AC255" i="31" s="1"/>
  <c r="H256" i="31"/>
  <c r="AC256" i="31" s="1"/>
  <c r="H257" i="31"/>
  <c r="AC257" i="31" s="1"/>
  <c r="H258" i="31"/>
  <c r="AC258" i="31" s="1"/>
  <c r="H259" i="31"/>
  <c r="AC259" i="31" s="1"/>
  <c r="H260" i="31"/>
  <c r="AC260" i="31" s="1"/>
  <c r="H261" i="31"/>
  <c r="AC261" i="31" s="1"/>
  <c r="H262" i="31"/>
  <c r="AC262" i="31" s="1"/>
  <c r="H263" i="31"/>
  <c r="AC263" i="31" s="1"/>
  <c r="H264" i="31"/>
  <c r="AC264" i="31" s="1"/>
  <c r="H265" i="31"/>
  <c r="AC265" i="31" s="1"/>
  <c r="H266" i="31"/>
  <c r="AC266" i="31" s="1"/>
  <c r="H267" i="31"/>
  <c r="AC267" i="31" s="1"/>
  <c r="H268" i="31"/>
  <c r="AC268" i="31" s="1"/>
  <c r="H269" i="31"/>
  <c r="AC269" i="31" s="1"/>
  <c r="H270" i="31"/>
  <c r="AC270" i="31" s="1"/>
  <c r="H271" i="31"/>
  <c r="AC271" i="31" s="1"/>
  <c r="H272" i="31"/>
  <c r="AC272" i="31" s="1"/>
  <c r="H273" i="31"/>
  <c r="AC273" i="31" s="1"/>
  <c r="H274" i="31"/>
  <c r="AC274" i="31" s="1"/>
  <c r="H275" i="31"/>
  <c r="AC275" i="31" s="1"/>
  <c r="H276" i="31"/>
  <c r="AC276" i="31" s="1"/>
  <c r="H277" i="31"/>
  <c r="AC277" i="31" s="1"/>
  <c r="H278" i="31"/>
  <c r="AC278" i="31" s="1"/>
  <c r="H279" i="31"/>
  <c r="AC279" i="31" s="1"/>
  <c r="H280" i="31"/>
  <c r="AC280" i="31" s="1"/>
  <c r="H281" i="31"/>
  <c r="AC281" i="31" s="1"/>
  <c r="H282" i="31"/>
  <c r="AC282" i="31" s="1"/>
  <c r="H283" i="31"/>
  <c r="AC283" i="31" s="1"/>
  <c r="H284" i="31"/>
  <c r="AC284" i="31" s="1"/>
  <c r="H285" i="31"/>
  <c r="AC285" i="31" s="1"/>
  <c r="H286" i="31"/>
  <c r="AC286" i="31" s="1"/>
  <c r="H287" i="31"/>
  <c r="AC287" i="31" s="1"/>
  <c r="H288" i="31"/>
  <c r="AC288" i="31" s="1"/>
  <c r="H289" i="31"/>
  <c r="AC289" i="31" s="1"/>
  <c r="H290" i="31"/>
  <c r="AC290" i="31" s="1"/>
  <c r="H291" i="31"/>
  <c r="AC291" i="31" s="1"/>
  <c r="H292" i="31"/>
  <c r="AC292" i="31" s="1"/>
  <c r="H293" i="31"/>
  <c r="AC293" i="31" s="1"/>
  <c r="H294" i="31"/>
  <c r="AC294" i="31" s="1"/>
  <c r="H295" i="31"/>
  <c r="AC295" i="31" s="1"/>
  <c r="H296" i="31"/>
  <c r="AC296" i="31" s="1"/>
  <c r="H297" i="31"/>
  <c r="AC297" i="31" s="1"/>
  <c r="H298" i="31"/>
  <c r="AC298" i="31" s="1"/>
  <c r="H299" i="31"/>
  <c r="AC299" i="31" s="1"/>
  <c r="H300" i="31"/>
  <c r="AC300" i="31" s="1"/>
  <c r="H301" i="31"/>
  <c r="AC301" i="31" s="1"/>
  <c r="H302" i="31"/>
  <c r="AC302" i="31" s="1"/>
  <c r="H303" i="31"/>
  <c r="AC303" i="31" s="1"/>
  <c r="H304" i="31"/>
  <c r="AC304" i="31" s="1"/>
  <c r="H305" i="31"/>
  <c r="AC305" i="31" s="1"/>
  <c r="H306" i="31"/>
  <c r="AC306" i="31" s="1"/>
  <c r="H307" i="31"/>
  <c r="AC307" i="31" s="1"/>
  <c r="H308" i="31"/>
  <c r="AC308" i="31" s="1"/>
  <c r="H309" i="31"/>
  <c r="AC309" i="31" s="1"/>
  <c r="H310" i="31"/>
  <c r="AC310" i="31" s="1"/>
  <c r="H311" i="31"/>
  <c r="AC311" i="31" s="1"/>
  <c r="H312" i="31"/>
  <c r="AC312" i="31" s="1"/>
  <c r="H313" i="31"/>
  <c r="AC313" i="31" s="1"/>
  <c r="H314" i="31"/>
  <c r="AC314" i="31" s="1"/>
  <c r="H315" i="31"/>
  <c r="AC315" i="31" s="1"/>
  <c r="H316" i="31"/>
  <c r="AC316" i="31" s="1"/>
  <c r="H317" i="31"/>
  <c r="AC317" i="31" s="1"/>
  <c r="H318" i="31"/>
  <c r="AC318" i="31" s="1"/>
  <c r="H319" i="31"/>
  <c r="AC319" i="31" s="1"/>
  <c r="H320" i="31"/>
  <c r="AC320" i="31" s="1"/>
  <c r="H321" i="31"/>
  <c r="AC321" i="31" s="1"/>
  <c r="H322" i="31"/>
  <c r="AC322" i="31" s="1"/>
  <c r="H323" i="31"/>
  <c r="AC323" i="31" s="1"/>
  <c r="H324" i="31"/>
  <c r="AC324" i="31" s="1"/>
  <c r="H325" i="31"/>
  <c r="AC325" i="31" s="1"/>
  <c r="H326" i="31"/>
  <c r="AC326" i="31" s="1"/>
  <c r="H327" i="31"/>
  <c r="AC327" i="31" s="1"/>
  <c r="H328" i="31"/>
  <c r="AC328" i="31" s="1"/>
  <c r="H329" i="31"/>
  <c r="AC329" i="31" s="1"/>
  <c r="H330" i="31"/>
  <c r="AC330" i="31" s="1"/>
  <c r="H331" i="31"/>
  <c r="AC331" i="31" s="1"/>
  <c r="H332" i="31"/>
  <c r="AC332" i="31" s="1"/>
  <c r="H333" i="31"/>
  <c r="AC333" i="31" s="1"/>
  <c r="H334" i="31"/>
  <c r="AC334" i="31" s="1"/>
  <c r="H335" i="31"/>
  <c r="AC335" i="31" s="1"/>
  <c r="H336" i="31"/>
  <c r="AC336" i="31" s="1"/>
  <c r="H337" i="31"/>
  <c r="AC337" i="31" s="1"/>
  <c r="H338" i="31"/>
  <c r="AC338" i="31" s="1"/>
  <c r="H339" i="31"/>
  <c r="AC339" i="31" s="1"/>
  <c r="H340" i="31"/>
  <c r="AC340" i="31" s="1"/>
  <c r="H341" i="31"/>
  <c r="AC341" i="31" s="1"/>
  <c r="H342" i="31"/>
  <c r="AC342" i="31" s="1"/>
  <c r="H343" i="31"/>
  <c r="AC343" i="31" s="1"/>
  <c r="H344" i="31"/>
  <c r="AC344" i="31" s="1"/>
  <c r="H345" i="31"/>
  <c r="AC345" i="31" s="1"/>
  <c r="H346" i="31"/>
  <c r="AC346" i="31" s="1"/>
  <c r="H347" i="31"/>
  <c r="AC347" i="31" s="1"/>
  <c r="H348" i="31"/>
  <c r="AC348" i="31" s="1"/>
  <c r="H349" i="31"/>
  <c r="AC349" i="31" s="1"/>
  <c r="H350" i="31"/>
  <c r="AC350" i="31" s="1"/>
  <c r="H351" i="31"/>
  <c r="AC351" i="31" s="1"/>
  <c r="H352" i="31"/>
  <c r="AC352" i="31" s="1"/>
  <c r="H353" i="31"/>
  <c r="AC353" i="31" s="1"/>
  <c r="H354" i="31"/>
  <c r="AC354" i="31" s="1"/>
  <c r="H355" i="31"/>
  <c r="AC355" i="31" s="1"/>
  <c r="H356" i="31"/>
  <c r="AC356" i="31" s="1"/>
  <c r="H357" i="31"/>
  <c r="AC357" i="31" s="1"/>
  <c r="H358" i="31"/>
  <c r="AC358" i="31" s="1"/>
  <c r="H359" i="31"/>
  <c r="AC359" i="31" s="1"/>
  <c r="H360" i="31"/>
  <c r="AC360" i="31" s="1"/>
  <c r="H361" i="31"/>
  <c r="AC361" i="31" s="1"/>
  <c r="H362" i="31"/>
  <c r="AC362" i="31" s="1"/>
  <c r="H363" i="31"/>
  <c r="AC363" i="31" s="1"/>
  <c r="H364" i="31"/>
  <c r="AC364" i="31" s="1"/>
  <c r="H365" i="31"/>
  <c r="AC365" i="31" s="1"/>
  <c r="H366" i="31"/>
  <c r="AC366" i="31" s="1"/>
  <c r="H367" i="31"/>
  <c r="AC367" i="31" s="1"/>
  <c r="H368" i="31"/>
  <c r="AC368" i="31" s="1"/>
  <c r="H369" i="31"/>
  <c r="AC369" i="31" s="1"/>
  <c r="H370" i="31"/>
  <c r="AC370" i="31" s="1"/>
  <c r="H371" i="31"/>
  <c r="AC371" i="31" s="1"/>
  <c r="H372" i="31"/>
  <c r="AC372" i="31" s="1"/>
  <c r="H373" i="31"/>
  <c r="AC373" i="31" s="1"/>
  <c r="H374" i="31"/>
  <c r="AC374" i="31" s="1"/>
  <c r="H375" i="31"/>
  <c r="AC375" i="31" s="1"/>
  <c r="H376" i="31"/>
  <c r="AC376" i="31" s="1"/>
  <c r="H377" i="31"/>
  <c r="AC377" i="31" s="1"/>
  <c r="H378" i="31"/>
  <c r="AC378" i="31" s="1"/>
  <c r="H379" i="31"/>
  <c r="AC379" i="31" s="1"/>
  <c r="H380" i="31"/>
  <c r="AC380" i="31" s="1"/>
  <c r="H381" i="31"/>
  <c r="AC381" i="31" s="1"/>
  <c r="H382" i="31"/>
  <c r="AC382" i="31" s="1"/>
  <c r="H383" i="31"/>
  <c r="AC383" i="31" s="1"/>
  <c r="H384" i="31"/>
  <c r="AC384" i="31" s="1"/>
  <c r="H385" i="31"/>
  <c r="AC385" i="31" s="1"/>
  <c r="H386" i="31"/>
  <c r="AC386" i="31" s="1"/>
  <c r="H387" i="31"/>
  <c r="AC387" i="31" s="1"/>
  <c r="H388" i="31"/>
  <c r="AC388" i="31" s="1"/>
  <c r="H389" i="31"/>
  <c r="AC389" i="31" s="1"/>
  <c r="H390" i="31"/>
  <c r="AC390" i="31" s="1"/>
  <c r="H391" i="31"/>
  <c r="AC391" i="31" s="1"/>
  <c r="H392" i="31"/>
  <c r="AC392" i="31" s="1"/>
  <c r="H393" i="31"/>
  <c r="AC393" i="31" s="1"/>
  <c r="H394" i="31"/>
  <c r="AC394" i="31" s="1"/>
  <c r="H395" i="31"/>
  <c r="AC395" i="31" s="1"/>
  <c r="H396" i="31"/>
  <c r="AC396" i="31" s="1"/>
  <c r="H397" i="31"/>
  <c r="AC397" i="31" s="1"/>
  <c r="H398" i="31"/>
  <c r="AC398" i="31" s="1"/>
  <c r="H399" i="31"/>
  <c r="AC399" i="31" s="1"/>
  <c r="H400" i="31"/>
  <c r="AC400" i="31" s="1"/>
  <c r="H401" i="31"/>
  <c r="AC401" i="31" s="1"/>
  <c r="H402" i="31"/>
  <c r="AC402" i="31" s="1"/>
  <c r="H403" i="31"/>
  <c r="AC403" i="31" s="1"/>
  <c r="H404" i="31"/>
  <c r="AC404" i="31" s="1"/>
  <c r="H405" i="31"/>
  <c r="AC405" i="31" s="1"/>
  <c r="H406" i="31"/>
  <c r="AC406" i="31" s="1"/>
  <c r="H407" i="31"/>
  <c r="AC407" i="31" s="1"/>
  <c r="H408" i="31"/>
  <c r="AC408" i="31" s="1"/>
  <c r="H409" i="31"/>
  <c r="AC409" i="31" s="1"/>
  <c r="H410" i="31"/>
  <c r="AC410" i="31" s="1"/>
  <c r="H411" i="31"/>
  <c r="AC411" i="31" s="1"/>
  <c r="H412" i="31"/>
  <c r="AC412" i="31" s="1"/>
  <c r="H413" i="31"/>
  <c r="AC413" i="31" s="1"/>
  <c r="H414" i="31"/>
  <c r="AC414" i="31" s="1"/>
  <c r="H415" i="31"/>
  <c r="AC415" i="31" s="1"/>
  <c r="H416" i="31"/>
  <c r="AC416" i="31" s="1"/>
  <c r="H417" i="31"/>
  <c r="AC417" i="31" s="1"/>
  <c r="H418" i="31"/>
  <c r="AC418" i="31" s="1"/>
  <c r="H419" i="31"/>
  <c r="AC419" i="31" s="1"/>
  <c r="H420" i="31"/>
  <c r="AC420" i="31" s="1"/>
  <c r="H421" i="31"/>
  <c r="AC421" i="31" s="1"/>
  <c r="H422" i="31"/>
  <c r="AC422" i="31" s="1"/>
  <c r="H423" i="31"/>
  <c r="AC423" i="31" s="1"/>
  <c r="H424" i="31"/>
  <c r="AC424" i="31" s="1"/>
  <c r="H425" i="31"/>
  <c r="AC425" i="31" s="1"/>
  <c r="H426" i="31"/>
  <c r="AC426" i="31" s="1"/>
  <c r="H427" i="31"/>
  <c r="AC427" i="31" s="1"/>
  <c r="H428" i="31"/>
  <c r="AC428" i="31" s="1"/>
  <c r="H429" i="31"/>
  <c r="AC429" i="31" s="1"/>
  <c r="H430" i="31"/>
  <c r="AC430" i="31" s="1"/>
  <c r="H431" i="31"/>
  <c r="AC431" i="31" s="1"/>
  <c r="H432" i="31"/>
  <c r="AC432" i="31" s="1"/>
  <c r="H433" i="31"/>
  <c r="AC433" i="31" s="1"/>
  <c r="H434" i="31"/>
  <c r="AC434" i="31" s="1"/>
  <c r="H435" i="31"/>
  <c r="AC435" i="31" s="1"/>
  <c r="H436" i="31"/>
  <c r="AC436" i="31" s="1"/>
  <c r="H437" i="31"/>
  <c r="AC437" i="31" s="1"/>
  <c r="H438" i="31"/>
  <c r="AC438" i="31" s="1"/>
  <c r="H439" i="31"/>
  <c r="AC439" i="31" s="1"/>
  <c r="H440" i="31"/>
  <c r="AC440" i="31" s="1"/>
  <c r="H441" i="31"/>
  <c r="AC441" i="31" s="1"/>
  <c r="H442" i="31"/>
  <c r="AC442" i="31" s="1"/>
  <c r="H443" i="31"/>
  <c r="AC443" i="31" s="1"/>
  <c r="H444" i="31"/>
  <c r="AC444" i="31" s="1"/>
  <c r="H445" i="31"/>
  <c r="AC445" i="31" s="1"/>
  <c r="H446" i="31"/>
  <c r="AC446" i="31" s="1"/>
  <c r="H447" i="31"/>
  <c r="AC447" i="31" s="1"/>
  <c r="H448" i="31"/>
  <c r="AC448" i="31" s="1"/>
  <c r="H449" i="31"/>
  <c r="AC449" i="31" s="1"/>
  <c r="H450" i="31"/>
  <c r="AC450" i="31" s="1"/>
  <c r="H451" i="31"/>
  <c r="AC451" i="31" s="1"/>
  <c r="H452" i="31"/>
  <c r="AC452" i="31" s="1"/>
  <c r="H453" i="31"/>
  <c r="AC453" i="31" s="1"/>
  <c r="H454" i="31"/>
  <c r="AC454" i="31" s="1"/>
  <c r="H455" i="31"/>
  <c r="AC455" i="31" s="1"/>
  <c r="H456" i="31"/>
  <c r="AC456" i="31" s="1"/>
  <c r="H457" i="31"/>
  <c r="AC457" i="31" s="1"/>
  <c r="H458" i="31"/>
  <c r="AC458" i="31" s="1"/>
  <c r="H459" i="31"/>
  <c r="AC459" i="31" s="1"/>
  <c r="H460" i="31"/>
  <c r="AC460" i="31" s="1"/>
  <c r="H461" i="31"/>
  <c r="AC461" i="31" s="1"/>
  <c r="H462" i="31"/>
  <c r="AC462" i="31" s="1"/>
  <c r="H463" i="31"/>
  <c r="AC463" i="31" s="1"/>
  <c r="H464" i="31"/>
  <c r="AC464" i="31" s="1"/>
  <c r="H465" i="31"/>
  <c r="AC465" i="31" s="1"/>
  <c r="H466" i="31"/>
  <c r="AC466" i="31" s="1"/>
  <c r="H467" i="31"/>
  <c r="AC467" i="31" s="1"/>
  <c r="H468" i="31"/>
  <c r="AC468" i="31" s="1"/>
  <c r="H469" i="31"/>
  <c r="AC469" i="31" s="1"/>
  <c r="H470" i="31"/>
  <c r="AC470" i="31" s="1"/>
  <c r="H471" i="31"/>
  <c r="AC471" i="31" s="1"/>
  <c r="H472" i="31"/>
  <c r="AC472" i="31" s="1"/>
  <c r="H473" i="31"/>
  <c r="AC473" i="31" s="1"/>
  <c r="H474" i="31"/>
  <c r="AC474" i="31" s="1"/>
  <c r="H475" i="31"/>
  <c r="AC475" i="31" s="1"/>
  <c r="H476" i="31"/>
  <c r="AC476" i="31" s="1"/>
  <c r="H477" i="31"/>
  <c r="AC477" i="31" s="1"/>
  <c r="H478" i="31"/>
  <c r="AC478" i="31" s="1"/>
  <c r="H479" i="31"/>
  <c r="AC479" i="31" s="1"/>
  <c r="H480" i="31"/>
  <c r="AC480" i="31" s="1"/>
  <c r="H481" i="31"/>
  <c r="AC481" i="31" s="1"/>
  <c r="H482" i="31"/>
  <c r="AC482" i="31" s="1"/>
  <c r="H483" i="31"/>
  <c r="AC483" i="31" s="1"/>
  <c r="H484" i="31"/>
  <c r="AC484" i="31" s="1"/>
  <c r="H485" i="31"/>
  <c r="AC485" i="31" s="1"/>
  <c r="H486" i="31"/>
  <c r="AC486" i="31" s="1"/>
  <c r="H487" i="31"/>
  <c r="AC487" i="31" s="1"/>
  <c r="H488" i="31"/>
  <c r="AC488" i="31" s="1"/>
  <c r="H489" i="31"/>
  <c r="AC489" i="31" s="1"/>
  <c r="H490" i="31"/>
  <c r="AC490" i="31" s="1"/>
  <c r="H491" i="31"/>
  <c r="AC491" i="31" s="1"/>
  <c r="H492" i="31"/>
  <c r="AC492" i="31" s="1"/>
  <c r="H493" i="31"/>
  <c r="AC493" i="31" s="1"/>
  <c r="H494" i="31"/>
  <c r="AC494" i="31" s="1"/>
  <c r="H495" i="31"/>
  <c r="AC495" i="31" s="1"/>
  <c r="H496" i="31"/>
  <c r="AC496" i="31" s="1"/>
  <c r="H497" i="31"/>
  <c r="AC497" i="31" s="1"/>
  <c r="H498" i="31"/>
  <c r="AC498" i="31" s="1"/>
  <c r="H499" i="31"/>
  <c r="AC499" i="31" s="1"/>
  <c r="H500" i="31"/>
  <c r="AC500" i="31" s="1"/>
  <c r="H501" i="31"/>
  <c r="AC501" i="31" s="1"/>
  <c r="H502" i="31"/>
  <c r="AC502" i="31" s="1"/>
  <c r="H503" i="31"/>
  <c r="AC503" i="31" s="1"/>
  <c r="H504" i="31"/>
  <c r="AC504" i="31" s="1"/>
  <c r="H505" i="31"/>
  <c r="AC505" i="31" s="1"/>
  <c r="H506" i="31"/>
  <c r="AC506" i="31" s="1"/>
  <c r="H507" i="31"/>
  <c r="AC507" i="31" s="1"/>
  <c r="H508" i="31"/>
  <c r="AC508" i="31" s="1"/>
  <c r="H509" i="31"/>
  <c r="AC509" i="31" s="1"/>
  <c r="H510" i="31"/>
  <c r="AC510" i="31" s="1"/>
  <c r="H511" i="31"/>
  <c r="AC511" i="31" s="1"/>
  <c r="H512" i="31"/>
  <c r="AC512" i="31" s="1"/>
  <c r="H513" i="31"/>
  <c r="AC513" i="31" s="1"/>
  <c r="H514" i="31"/>
  <c r="AC514" i="31" s="1"/>
  <c r="H515" i="31"/>
  <c r="AC515" i="31" s="1"/>
  <c r="H516" i="31"/>
  <c r="AC516" i="31" s="1"/>
  <c r="H517" i="31"/>
  <c r="AC517" i="31" s="1"/>
  <c r="H518" i="31"/>
  <c r="AC518" i="31" s="1"/>
  <c r="H519" i="31"/>
  <c r="AC519" i="31" s="1"/>
  <c r="H520" i="31"/>
  <c r="AC520" i="31" s="1"/>
  <c r="H521" i="31"/>
  <c r="AC521" i="31" s="1"/>
  <c r="H522" i="31"/>
  <c r="AC522" i="31" s="1"/>
  <c r="H523" i="31"/>
  <c r="AC523" i="31" s="1"/>
  <c r="H524" i="31"/>
  <c r="AC524" i="31" s="1"/>
  <c r="H525" i="31"/>
  <c r="AC525" i="31" s="1"/>
  <c r="H526" i="31"/>
  <c r="AC526" i="31" s="1"/>
  <c r="H527" i="31"/>
  <c r="AC527" i="31" s="1"/>
  <c r="H528" i="31"/>
  <c r="AC528" i="31" s="1"/>
  <c r="H529" i="31"/>
  <c r="AC529" i="31" s="1"/>
  <c r="H530" i="31"/>
  <c r="AC530" i="31" s="1"/>
  <c r="H531" i="31"/>
  <c r="AC531" i="31" s="1"/>
  <c r="H532" i="31"/>
  <c r="AC532" i="31" s="1"/>
  <c r="H533" i="31"/>
  <c r="AC533" i="31" s="1"/>
  <c r="H534" i="31"/>
  <c r="AC534" i="31" s="1"/>
  <c r="H535" i="31"/>
  <c r="AC535" i="31" s="1"/>
  <c r="H536" i="31"/>
  <c r="AC536" i="31" s="1"/>
  <c r="H537" i="31"/>
  <c r="AC537" i="31" s="1"/>
  <c r="H538" i="31"/>
  <c r="AC538" i="31" s="1"/>
  <c r="H539" i="31"/>
  <c r="AC539" i="31" s="1"/>
  <c r="H540" i="31"/>
  <c r="AC540" i="31" s="1"/>
  <c r="H541" i="31"/>
  <c r="AC541" i="31" s="1"/>
  <c r="H542" i="31"/>
  <c r="AC542" i="31" s="1"/>
  <c r="H543" i="31"/>
  <c r="AC543" i="31" s="1"/>
  <c r="H544" i="31"/>
  <c r="AC544" i="31" s="1"/>
  <c r="H545" i="31"/>
  <c r="AC545" i="31" s="1"/>
  <c r="H546" i="31"/>
  <c r="AC546" i="31" s="1"/>
  <c r="H547" i="31"/>
  <c r="AC547" i="31" s="1"/>
  <c r="H548" i="31"/>
  <c r="AC548" i="31" s="1"/>
  <c r="H549" i="31"/>
  <c r="AC549" i="31" s="1"/>
  <c r="H550" i="31"/>
  <c r="AC550" i="31" s="1"/>
  <c r="H551" i="31"/>
  <c r="AC551" i="31" s="1"/>
  <c r="H552" i="31"/>
  <c r="AC552" i="31" s="1"/>
  <c r="H553" i="31"/>
  <c r="AC553" i="31" s="1"/>
  <c r="H554" i="31"/>
  <c r="AC554" i="31" s="1"/>
  <c r="H555" i="31"/>
  <c r="AC555" i="31" s="1"/>
  <c r="H556" i="31"/>
  <c r="AC556" i="31" s="1"/>
  <c r="H557" i="31"/>
  <c r="AC557" i="31" s="1"/>
  <c r="H558" i="31"/>
  <c r="AC558" i="31" s="1"/>
  <c r="H559" i="31"/>
  <c r="AC559" i="31" s="1"/>
  <c r="H560" i="31"/>
  <c r="AC560" i="31" s="1"/>
  <c r="H561" i="31"/>
  <c r="AC561" i="31" s="1"/>
  <c r="H562" i="31"/>
  <c r="AC562" i="31" s="1"/>
  <c r="H563" i="31"/>
  <c r="AC563" i="31" s="1"/>
  <c r="H564" i="31"/>
  <c r="AC564" i="31" s="1"/>
  <c r="H565" i="31"/>
  <c r="AC565" i="31" s="1"/>
  <c r="H566" i="31"/>
  <c r="AC566" i="31" s="1"/>
  <c r="H567" i="31"/>
  <c r="AC567" i="31" s="1"/>
  <c r="H568" i="31"/>
  <c r="AC568" i="31" s="1"/>
  <c r="H569" i="31"/>
  <c r="AC569" i="31" s="1"/>
  <c r="H570" i="31"/>
  <c r="AC570" i="31" s="1"/>
  <c r="H571" i="31"/>
  <c r="AC571" i="31" s="1"/>
  <c r="H572" i="31"/>
  <c r="AC572" i="31" s="1"/>
  <c r="H573" i="31"/>
  <c r="AC573" i="31" s="1"/>
  <c r="H574" i="31"/>
  <c r="AC574" i="31" s="1"/>
  <c r="H575" i="31"/>
  <c r="AC575" i="31" s="1"/>
  <c r="H576" i="31"/>
  <c r="AC576" i="31" s="1"/>
  <c r="H577" i="31"/>
  <c r="AC577" i="31" s="1"/>
  <c r="H578" i="31"/>
  <c r="AC578" i="31" s="1"/>
  <c r="H579" i="31"/>
  <c r="AC579" i="31" s="1"/>
  <c r="H580" i="31"/>
  <c r="AC580" i="31" s="1"/>
  <c r="H581" i="31"/>
  <c r="AC581" i="31" s="1"/>
  <c r="H582" i="31"/>
  <c r="AC582" i="31" s="1"/>
  <c r="H583" i="31"/>
  <c r="AC583" i="31" s="1"/>
  <c r="H584" i="31"/>
  <c r="AC584" i="31" s="1"/>
  <c r="H585" i="31"/>
  <c r="AC585" i="31" s="1"/>
  <c r="H586" i="31"/>
  <c r="AC586" i="31" s="1"/>
  <c r="H587" i="31"/>
  <c r="AC587" i="31" s="1"/>
  <c r="H588" i="31"/>
  <c r="AC588" i="31" s="1"/>
  <c r="H589" i="31"/>
  <c r="AC589" i="31" s="1"/>
  <c r="H590" i="31"/>
  <c r="AC590" i="31" s="1"/>
  <c r="H591" i="31"/>
  <c r="AC591" i="31" s="1"/>
  <c r="H592" i="31"/>
  <c r="AC592" i="31" s="1"/>
  <c r="H593" i="31"/>
  <c r="AC593" i="31" s="1"/>
  <c r="H594" i="31"/>
  <c r="AC594" i="31" s="1"/>
  <c r="H595" i="31"/>
  <c r="AC595" i="31" s="1"/>
  <c r="H596" i="31"/>
  <c r="AC596" i="31" s="1"/>
  <c r="H597" i="31"/>
  <c r="AC597" i="31" s="1"/>
  <c r="H598" i="31"/>
  <c r="AC598" i="31" s="1"/>
  <c r="H599" i="31"/>
  <c r="AC599" i="31" s="1"/>
  <c r="H600" i="31"/>
  <c r="AC600" i="31" s="1"/>
  <c r="H601" i="31"/>
  <c r="AC601" i="31" s="1"/>
  <c r="H602" i="31"/>
  <c r="AC602" i="31" s="1"/>
  <c r="H603" i="31"/>
  <c r="AC603" i="31" s="1"/>
  <c r="H604" i="31"/>
  <c r="AC604" i="31" s="1"/>
  <c r="H605" i="31"/>
  <c r="AC605" i="31" s="1"/>
  <c r="H606" i="31"/>
  <c r="AC606" i="31" s="1"/>
  <c r="H607" i="31"/>
  <c r="AC607" i="31" s="1"/>
  <c r="H608" i="31"/>
  <c r="AC608" i="31" s="1"/>
  <c r="H609" i="31"/>
  <c r="AC609" i="31" s="1"/>
  <c r="H610" i="31"/>
  <c r="AC610" i="31" s="1"/>
  <c r="H611" i="31"/>
  <c r="AC611" i="31" s="1"/>
  <c r="H612" i="31"/>
  <c r="AC612" i="31" s="1"/>
  <c r="H613" i="31"/>
  <c r="AC613" i="31" s="1"/>
  <c r="H614" i="31"/>
  <c r="AC614" i="31" s="1"/>
  <c r="H615" i="31"/>
  <c r="AC615" i="31" s="1"/>
  <c r="H616" i="31"/>
  <c r="AC616" i="31" s="1"/>
  <c r="H617" i="31"/>
  <c r="AC617" i="31" s="1"/>
  <c r="H618" i="31"/>
  <c r="AC618" i="31" s="1"/>
  <c r="H619" i="31"/>
  <c r="AC619" i="31" s="1"/>
  <c r="H620" i="31"/>
  <c r="AC620" i="31" s="1"/>
  <c r="H621" i="31"/>
  <c r="AC621" i="31" s="1"/>
  <c r="H622" i="31"/>
  <c r="AC622" i="31" s="1"/>
  <c r="H623" i="31"/>
  <c r="AC623" i="31" s="1"/>
  <c r="H624" i="31"/>
  <c r="AC624" i="31" s="1"/>
  <c r="H625" i="31"/>
  <c r="AC625" i="31" s="1"/>
  <c r="H626" i="31"/>
  <c r="AC626" i="31" s="1"/>
  <c r="H627" i="31"/>
  <c r="AC627" i="31" s="1"/>
  <c r="H628" i="31"/>
  <c r="AC628" i="31" s="1"/>
  <c r="H629" i="31"/>
  <c r="AC629" i="31" s="1"/>
  <c r="H630" i="31"/>
  <c r="AC630" i="31" s="1"/>
  <c r="H631" i="31"/>
  <c r="AC631" i="31" s="1"/>
  <c r="H632" i="31"/>
  <c r="AC632" i="31" s="1"/>
  <c r="H633" i="31"/>
  <c r="AC633" i="31" s="1"/>
  <c r="H634" i="31"/>
  <c r="AC634" i="31" s="1"/>
  <c r="H635" i="31"/>
  <c r="AC635" i="31" s="1"/>
  <c r="H636" i="31"/>
  <c r="AC636" i="31" s="1"/>
  <c r="H637" i="31"/>
  <c r="AC637" i="31" s="1"/>
  <c r="H638" i="31"/>
  <c r="AC638" i="31" s="1"/>
  <c r="H639" i="31"/>
  <c r="AC639" i="31" s="1"/>
  <c r="H640" i="31"/>
  <c r="AC640" i="31" s="1"/>
  <c r="H641" i="31"/>
  <c r="AC641" i="31" s="1"/>
  <c r="H642" i="31"/>
  <c r="AC642" i="31" s="1"/>
  <c r="H643" i="31"/>
  <c r="AC643" i="31" s="1"/>
  <c r="H644" i="31"/>
  <c r="AC644" i="31" s="1"/>
  <c r="H645" i="31"/>
  <c r="AC645" i="31" s="1"/>
  <c r="H646" i="31"/>
  <c r="AC646" i="31" s="1"/>
  <c r="H647" i="31"/>
  <c r="AC647" i="31" s="1"/>
  <c r="H648" i="31"/>
  <c r="AC648" i="31" s="1"/>
  <c r="H649" i="31"/>
  <c r="AC649" i="31" s="1"/>
  <c r="H650" i="31"/>
  <c r="AC650" i="31" s="1"/>
  <c r="H651" i="31"/>
  <c r="AC651" i="31" s="1"/>
  <c r="H652" i="31"/>
  <c r="AC652" i="31" s="1"/>
  <c r="H653" i="31"/>
  <c r="AC653" i="31" s="1"/>
  <c r="H654" i="31"/>
  <c r="AC654" i="31" s="1"/>
  <c r="H655" i="31"/>
  <c r="AC655" i="31" s="1"/>
  <c r="H656" i="31"/>
  <c r="AC656" i="31" s="1"/>
  <c r="H657" i="31"/>
  <c r="AC657" i="31" s="1"/>
  <c r="H658" i="31"/>
  <c r="AC658" i="31" s="1"/>
  <c r="H659" i="31"/>
  <c r="AC659" i="31" s="1"/>
  <c r="H660" i="31"/>
  <c r="AC660" i="31" s="1"/>
  <c r="H661" i="31"/>
  <c r="AC661" i="31" s="1"/>
  <c r="H662" i="31"/>
  <c r="AC662" i="31" s="1"/>
  <c r="H663" i="31"/>
  <c r="AC663" i="31" s="1"/>
  <c r="H664" i="31"/>
  <c r="AC664" i="31" s="1"/>
  <c r="H665" i="31"/>
  <c r="AC665" i="31" s="1"/>
  <c r="H666" i="31"/>
  <c r="AC666" i="31" s="1"/>
  <c r="H667" i="31"/>
  <c r="AC667" i="31" s="1"/>
  <c r="H668" i="31"/>
  <c r="AC668" i="31" s="1"/>
  <c r="H669" i="31"/>
  <c r="AC669" i="31" s="1"/>
  <c r="H670" i="31"/>
  <c r="AC670" i="31" s="1"/>
  <c r="H671" i="31"/>
  <c r="AC671" i="31" s="1"/>
  <c r="H672" i="31"/>
  <c r="AC672" i="31" s="1"/>
  <c r="H673" i="31"/>
  <c r="AC673" i="31" s="1"/>
  <c r="H674" i="31"/>
  <c r="AC674" i="31" s="1"/>
  <c r="H675" i="31"/>
  <c r="AC675" i="31" s="1"/>
  <c r="H676" i="31"/>
  <c r="AC676" i="31" s="1"/>
  <c r="H677" i="31"/>
  <c r="AC677" i="31" s="1"/>
  <c r="H678" i="31"/>
  <c r="AC678" i="31" s="1"/>
  <c r="H679" i="31"/>
  <c r="AC679" i="31" s="1"/>
  <c r="H680" i="31"/>
  <c r="AC680" i="31" s="1"/>
  <c r="H681" i="31"/>
  <c r="AC681" i="31" s="1"/>
  <c r="H682" i="31"/>
  <c r="AC682" i="31" s="1"/>
  <c r="H683" i="31"/>
  <c r="AC683" i="31" s="1"/>
  <c r="H684" i="31"/>
  <c r="AC684" i="31" s="1"/>
  <c r="H685" i="31"/>
  <c r="AC685" i="31" s="1"/>
  <c r="H686" i="31"/>
  <c r="AC686" i="31" s="1"/>
  <c r="H687" i="31"/>
  <c r="AC687" i="31" s="1"/>
  <c r="H688" i="31"/>
  <c r="AC688" i="31" s="1"/>
  <c r="H689" i="31"/>
  <c r="AC689" i="31" s="1"/>
  <c r="H690" i="31"/>
  <c r="AC690" i="31" s="1"/>
  <c r="H691" i="31"/>
  <c r="AC691" i="31" s="1"/>
  <c r="H692" i="31"/>
  <c r="AC692" i="31" s="1"/>
  <c r="H693" i="31"/>
  <c r="AC693" i="31" s="1"/>
  <c r="H694" i="31"/>
  <c r="AC694" i="31" s="1"/>
  <c r="H695" i="31"/>
  <c r="AC695" i="31" s="1"/>
  <c r="H696" i="31"/>
  <c r="AC696" i="31" s="1"/>
  <c r="H697" i="31"/>
  <c r="AC697" i="31" s="1"/>
  <c r="H698" i="31"/>
  <c r="AC698" i="31" s="1"/>
  <c r="H699" i="31"/>
  <c r="AC699" i="31" s="1"/>
  <c r="H700" i="31"/>
  <c r="AC700" i="31" s="1"/>
  <c r="H701" i="31"/>
  <c r="AC701" i="31" s="1"/>
  <c r="H702" i="31"/>
  <c r="AC702" i="31" s="1"/>
  <c r="H703" i="31"/>
  <c r="AC703" i="31" s="1"/>
  <c r="H704" i="31"/>
  <c r="AC704" i="31" s="1"/>
  <c r="H705" i="31"/>
  <c r="AC705" i="31" s="1"/>
  <c r="H706" i="31"/>
  <c r="AC706" i="31" s="1"/>
  <c r="H707" i="31"/>
  <c r="AC707" i="31" s="1"/>
  <c r="H708" i="31"/>
  <c r="AC708" i="31" s="1"/>
  <c r="H709" i="31"/>
  <c r="AC709" i="31" s="1"/>
  <c r="H710" i="31"/>
  <c r="AC710" i="31" s="1"/>
  <c r="H711" i="31"/>
  <c r="AC711" i="31" s="1"/>
  <c r="H712" i="31"/>
  <c r="AC712" i="31" s="1"/>
  <c r="H713" i="31"/>
  <c r="AC713" i="31" s="1"/>
  <c r="H714" i="31"/>
  <c r="AC714" i="31" s="1"/>
  <c r="H715" i="31"/>
  <c r="AC715" i="31" s="1"/>
  <c r="H716" i="31"/>
  <c r="AC716" i="31" s="1"/>
  <c r="H717" i="31"/>
  <c r="AC717" i="31" s="1"/>
  <c r="H718" i="31"/>
  <c r="AC718" i="31" s="1"/>
  <c r="H719" i="31"/>
  <c r="AC719" i="31" s="1"/>
  <c r="H720" i="31"/>
  <c r="AC720" i="31" s="1"/>
  <c r="H721" i="31"/>
  <c r="AC721" i="31" s="1"/>
  <c r="H722" i="31"/>
  <c r="AC722" i="31" s="1"/>
  <c r="H723" i="31"/>
  <c r="AC723" i="31" s="1"/>
  <c r="H724" i="31"/>
  <c r="AC724" i="31" s="1"/>
  <c r="H725" i="31"/>
  <c r="AC725" i="31" s="1"/>
  <c r="H726" i="31"/>
  <c r="AC726" i="31" s="1"/>
  <c r="H727" i="31"/>
  <c r="AC727" i="31" s="1"/>
  <c r="H728" i="31"/>
  <c r="AC728" i="31" s="1"/>
  <c r="H729" i="31"/>
  <c r="AC729" i="31" s="1"/>
  <c r="H730" i="31"/>
  <c r="AC730" i="31" s="1"/>
  <c r="H731" i="31"/>
  <c r="AC731" i="31" s="1"/>
  <c r="H732" i="31"/>
  <c r="AC732" i="31" s="1"/>
  <c r="H733" i="31"/>
  <c r="AC733" i="31" s="1"/>
  <c r="H734" i="31"/>
  <c r="AC734" i="31" s="1"/>
  <c r="H735" i="31"/>
  <c r="AC735" i="31" s="1"/>
  <c r="H736" i="31"/>
  <c r="AC736" i="31" s="1"/>
  <c r="H737" i="31"/>
  <c r="AC737" i="31" s="1"/>
  <c r="H738" i="31"/>
  <c r="AC738" i="31" s="1"/>
  <c r="H739" i="31"/>
  <c r="AC739" i="31" s="1"/>
  <c r="H740" i="31"/>
  <c r="AC740" i="31" s="1"/>
  <c r="H741" i="31"/>
  <c r="AC741" i="31" s="1"/>
  <c r="H742" i="31"/>
  <c r="AC742" i="31" s="1"/>
  <c r="H743" i="31"/>
  <c r="AC743" i="31" s="1"/>
  <c r="H744" i="31"/>
  <c r="AC744" i="31" s="1"/>
  <c r="H745" i="31"/>
  <c r="AC745" i="31" s="1"/>
  <c r="H746" i="31"/>
  <c r="AC746" i="31" s="1"/>
  <c r="H747" i="31"/>
  <c r="AC747" i="31" s="1"/>
  <c r="H748" i="31"/>
  <c r="AC748" i="31" s="1"/>
  <c r="H749" i="31"/>
  <c r="AC749" i="31" s="1"/>
  <c r="H750" i="31"/>
  <c r="AC750" i="31" s="1"/>
  <c r="H751" i="31"/>
  <c r="AC751" i="31" s="1"/>
  <c r="H752" i="31"/>
  <c r="AC752" i="31" s="1"/>
  <c r="H753" i="31"/>
  <c r="AC753" i="31" s="1"/>
  <c r="H754" i="31"/>
  <c r="AC754" i="31" s="1"/>
  <c r="H755" i="31"/>
  <c r="AC755" i="31" s="1"/>
  <c r="H756" i="31"/>
  <c r="AC756" i="31" s="1"/>
  <c r="H757" i="31"/>
  <c r="AC757" i="31" s="1"/>
  <c r="H758" i="31"/>
  <c r="AC758" i="31" s="1"/>
  <c r="H759" i="31"/>
  <c r="AC759" i="31" s="1"/>
  <c r="H760" i="31"/>
  <c r="AC760" i="31" s="1"/>
  <c r="H761" i="31"/>
  <c r="AC761" i="31" s="1"/>
  <c r="H762" i="31"/>
  <c r="AC762" i="31" s="1"/>
  <c r="H763" i="31"/>
  <c r="AC763" i="31" s="1"/>
  <c r="H764" i="31"/>
  <c r="AC764" i="31" s="1"/>
  <c r="H765" i="31"/>
  <c r="AC765" i="31" s="1"/>
  <c r="H766" i="31"/>
  <c r="AC766" i="31" s="1"/>
  <c r="F346" i="31"/>
  <c r="F347" i="31"/>
  <c r="F348" i="31"/>
  <c r="F349" i="31"/>
  <c r="F350" i="31"/>
  <c r="F351" i="31"/>
  <c r="F352" i="31"/>
  <c r="F353" i="31"/>
  <c r="F354" i="31"/>
  <c r="F355" i="31"/>
  <c r="F356" i="31"/>
  <c r="F357" i="31"/>
  <c r="F358" i="31"/>
  <c r="F359" i="31"/>
  <c r="F360" i="31"/>
  <c r="F361" i="31"/>
  <c r="F362" i="31"/>
  <c r="F363" i="31"/>
  <c r="F364" i="31"/>
  <c r="F365" i="31"/>
  <c r="F366" i="31"/>
  <c r="F367" i="31"/>
  <c r="F368" i="31"/>
  <c r="F369" i="31"/>
  <c r="F370" i="31"/>
  <c r="F371" i="31"/>
  <c r="F372" i="31"/>
  <c r="F373" i="31"/>
  <c r="F374" i="31"/>
  <c r="F375" i="31"/>
  <c r="F376" i="31"/>
  <c r="F377" i="31"/>
  <c r="F378" i="31"/>
  <c r="F379" i="31"/>
  <c r="F380" i="31"/>
  <c r="F381" i="31"/>
  <c r="F382" i="31"/>
  <c r="F383" i="31"/>
  <c r="F384" i="31"/>
  <c r="F385" i="31"/>
  <c r="F386" i="31"/>
  <c r="F387" i="31"/>
  <c r="F388" i="31"/>
  <c r="F389" i="31"/>
  <c r="F390" i="31"/>
  <c r="F391" i="31"/>
  <c r="F392" i="31"/>
  <c r="F393" i="31"/>
  <c r="F394" i="31"/>
  <c r="F395" i="31"/>
  <c r="F396" i="31"/>
  <c r="F397" i="31"/>
  <c r="F398" i="31"/>
  <c r="F399" i="31"/>
  <c r="F400" i="31"/>
  <c r="F401" i="31"/>
  <c r="F402" i="31"/>
  <c r="F403" i="31"/>
  <c r="F404" i="31"/>
  <c r="F405" i="31"/>
  <c r="F406" i="31"/>
  <c r="F407" i="31"/>
  <c r="F408" i="31"/>
  <c r="F409" i="31"/>
  <c r="F410" i="31"/>
  <c r="F411" i="31"/>
  <c r="F412" i="31"/>
  <c r="F413" i="31"/>
  <c r="F414" i="31"/>
  <c r="F415" i="31"/>
  <c r="F416" i="31"/>
  <c r="F417" i="31"/>
  <c r="F418" i="31"/>
  <c r="F419" i="31"/>
  <c r="F420" i="31"/>
  <c r="F421" i="31"/>
  <c r="F422" i="31"/>
  <c r="F423" i="31"/>
  <c r="F424" i="31"/>
  <c r="F425" i="31"/>
  <c r="F426" i="31"/>
  <c r="F427" i="31"/>
  <c r="F428" i="31"/>
  <c r="F429" i="31"/>
  <c r="F430" i="31"/>
  <c r="F431" i="31"/>
  <c r="F432" i="31"/>
  <c r="F433" i="31"/>
  <c r="F434" i="31"/>
  <c r="F435" i="31"/>
  <c r="F436" i="31"/>
  <c r="F437" i="31"/>
  <c r="F438" i="31"/>
  <c r="F439" i="31"/>
  <c r="F440" i="31"/>
  <c r="F441" i="31"/>
  <c r="F442" i="31"/>
  <c r="F443" i="31"/>
  <c r="F444" i="31"/>
  <c r="F445" i="31"/>
  <c r="F446" i="31"/>
  <c r="F447" i="31"/>
  <c r="F448" i="31"/>
  <c r="F449" i="31"/>
  <c r="F450" i="31"/>
  <c r="F451" i="31"/>
  <c r="F452" i="31"/>
  <c r="F453" i="31"/>
  <c r="F454" i="31"/>
  <c r="F455" i="31"/>
  <c r="F456" i="31"/>
  <c r="F457" i="31"/>
  <c r="F458" i="31"/>
  <c r="F459" i="31"/>
  <c r="F460" i="31"/>
  <c r="F461" i="31"/>
  <c r="F462" i="31"/>
  <c r="F463" i="31"/>
  <c r="F464" i="31"/>
  <c r="F465" i="31"/>
  <c r="F466" i="31"/>
  <c r="F467" i="31"/>
  <c r="F468" i="31"/>
  <c r="F469" i="31"/>
  <c r="F470" i="31"/>
  <c r="F471" i="31"/>
  <c r="F472" i="31"/>
  <c r="F473" i="31"/>
  <c r="F474" i="31"/>
  <c r="F475" i="31"/>
  <c r="F476" i="31"/>
  <c r="F477" i="31"/>
  <c r="F478" i="31"/>
  <c r="F479" i="31"/>
  <c r="F480" i="31"/>
  <c r="F481" i="31"/>
  <c r="F482" i="31"/>
  <c r="F483" i="31"/>
  <c r="F484" i="31"/>
  <c r="F485" i="31"/>
  <c r="F486" i="31"/>
  <c r="F487" i="31"/>
  <c r="F488" i="31"/>
  <c r="F489" i="31"/>
  <c r="F490" i="31"/>
  <c r="F491" i="31"/>
  <c r="F492" i="31"/>
  <c r="F493" i="31"/>
  <c r="F494" i="31"/>
  <c r="F495" i="31"/>
  <c r="F496" i="31"/>
  <c r="F497" i="31"/>
  <c r="F498" i="31"/>
  <c r="F499" i="31"/>
  <c r="F500" i="31"/>
  <c r="F501" i="31"/>
  <c r="F502" i="31"/>
  <c r="F503" i="31"/>
  <c r="F504" i="31"/>
  <c r="F505" i="31"/>
  <c r="F506" i="31"/>
  <c r="F507" i="31"/>
  <c r="F508" i="31"/>
  <c r="F509" i="31"/>
  <c r="F510" i="31"/>
  <c r="F511" i="31"/>
  <c r="F512" i="31"/>
  <c r="F513" i="31"/>
  <c r="F514" i="31"/>
  <c r="F515" i="31"/>
  <c r="F516" i="31"/>
  <c r="F517" i="31"/>
  <c r="F518" i="31"/>
  <c r="F519" i="31"/>
  <c r="F520" i="31"/>
  <c r="F521" i="31"/>
  <c r="F522" i="31"/>
  <c r="F523" i="31"/>
  <c r="F524" i="31"/>
  <c r="F525" i="31"/>
  <c r="F526" i="31"/>
  <c r="F527" i="31"/>
  <c r="F528" i="31"/>
  <c r="F529" i="31"/>
  <c r="F530" i="31"/>
  <c r="F531" i="31"/>
  <c r="F532" i="31"/>
  <c r="F533" i="31"/>
  <c r="F534" i="31"/>
  <c r="F535" i="31"/>
  <c r="F536" i="31"/>
  <c r="F537" i="31"/>
  <c r="F538" i="31"/>
  <c r="F539" i="31"/>
  <c r="F540" i="31"/>
  <c r="F541" i="31"/>
  <c r="F542" i="31"/>
  <c r="F543" i="31"/>
  <c r="F544" i="31"/>
  <c r="F545" i="31"/>
  <c r="F546" i="31"/>
  <c r="F547" i="31"/>
  <c r="F548" i="31"/>
  <c r="F549" i="31"/>
  <c r="F550" i="31"/>
  <c r="F551" i="31"/>
  <c r="F552" i="31"/>
  <c r="F553" i="31"/>
  <c r="F554" i="31"/>
  <c r="F555" i="31"/>
  <c r="F556" i="31"/>
  <c r="F557" i="31"/>
  <c r="F558" i="31"/>
  <c r="F559" i="31"/>
  <c r="F560" i="31"/>
  <c r="F561" i="31"/>
  <c r="F562" i="31"/>
  <c r="F563" i="31"/>
  <c r="F564" i="31"/>
  <c r="F565" i="31"/>
  <c r="F566" i="31"/>
  <c r="F567" i="31"/>
  <c r="F568" i="31"/>
  <c r="F569" i="31"/>
  <c r="F570" i="31"/>
  <c r="F571" i="31"/>
  <c r="F572" i="31"/>
  <c r="F573" i="31"/>
  <c r="F574" i="31"/>
  <c r="F575" i="31"/>
  <c r="F576" i="31"/>
  <c r="F577" i="31"/>
  <c r="F578" i="31"/>
  <c r="F579" i="31"/>
  <c r="F580" i="31"/>
  <c r="F581" i="31"/>
  <c r="F582" i="31"/>
  <c r="F583" i="31"/>
  <c r="F584" i="31"/>
  <c r="F585" i="31"/>
  <c r="F586" i="31"/>
  <c r="F587" i="31"/>
  <c r="F588" i="31"/>
  <c r="F589" i="31"/>
  <c r="F590" i="31"/>
  <c r="F591" i="31"/>
  <c r="F592" i="31"/>
  <c r="F593" i="31"/>
  <c r="F594" i="31"/>
  <c r="F595" i="31"/>
  <c r="F596" i="31"/>
  <c r="F597" i="31"/>
  <c r="F598" i="31"/>
  <c r="F599" i="31"/>
  <c r="F600" i="31"/>
  <c r="F601" i="31"/>
  <c r="F602" i="31"/>
  <c r="F603" i="31"/>
  <c r="F604" i="31"/>
  <c r="F605" i="31"/>
  <c r="F606" i="31"/>
  <c r="F607" i="31"/>
  <c r="F608" i="31"/>
  <c r="F609" i="31"/>
  <c r="F610" i="31"/>
  <c r="F611" i="31"/>
  <c r="F612" i="31"/>
  <c r="F613" i="31"/>
  <c r="F614" i="31"/>
  <c r="F615" i="31"/>
  <c r="F616" i="31"/>
  <c r="F617" i="31"/>
  <c r="F618" i="31"/>
  <c r="F619" i="31"/>
  <c r="F620" i="31"/>
  <c r="F621" i="31"/>
  <c r="F622" i="31"/>
  <c r="F623" i="31"/>
  <c r="F624" i="31"/>
  <c r="F625" i="31"/>
  <c r="F626" i="31"/>
  <c r="F627" i="31"/>
  <c r="F628" i="31"/>
  <c r="F629" i="31"/>
  <c r="F630" i="31"/>
  <c r="F631" i="31"/>
  <c r="F632" i="31"/>
  <c r="F633" i="31"/>
  <c r="F634" i="31"/>
  <c r="F635" i="31"/>
  <c r="F636" i="31"/>
  <c r="F637" i="31"/>
  <c r="F638" i="31"/>
  <c r="F639" i="31"/>
  <c r="F640" i="31"/>
  <c r="F641" i="31"/>
  <c r="F642" i="31"/>
  <c r="F643" i="31"/>
  <c r="F644" i="31"/>
  <c r="F645" i="31"/>
  <c r="F646" i="31"/>
  <c r="F647" i="31"/>
  <c r="F648" i="31"/>
  <c r="F649" i="31"/>
  <c r="F650" i="31"/>
  <c r="F651" i="31"/>
  <c r="F652" i="31"/>
  <c r="F653" i="31"/>
  <c r="F654" i="31"/>
  <c r="F655" i="31"/>
  <c r="F656" i="31"/>
  <c r="F657" i="31"/>
  <c r="F658" i="31"/>
  <c r="F659" i="31"/>
  <c r="F660" i="31"/>
  <c r="F661" i="31"/>
  <c r="F662" i="31"/>
  <c r="F663" i="31"/>
  <c r="F664" i="31"/>
  <c r="F665" i="31"/>
  <c r="F666" i="31"/>
  <c r="F667" i="31"/>
  <c r="F668" i="31"/>
  <c r="F669" i="31"/>
  <c r="F670" i="31"/>
  <c r="F671" i="31"/>
  <c r="F672" i="31"/>
  <c r="F673" i="31"/>
  <c r="F674" i="31"/>
  <c r="F675" i="31"/>
  <c r="F676" i="31"/>
  <c r="F677" i="31"/>
  <c r="F678" i="31"/>
  <c r="F679" i="31"/>
  <c r="F680" i="31"/>
  <c r="F681" i="31"/>
  <c r="F682" i="31"/>
  <c r="F683" i="31"/>
  <c r="F684" i="31"/>
  <c r="F685" i="31"/>
  <c r="F686" i="31"/>
  <c r="F687" i="31"/>
  <c r="F688" i="31"/>
  <c r="F689" i="31"/>
  <c r="F690" i="31"/>
  <c r="F691" i="31"/>
  <c r="F692" i="31"/>
  <c r="F693" i="31"/>
  <c r="F694" i="31"/>
  <c r="F695" i="31"/>
  <c r="F696" i="31"/>
  <c r="F697" i="31"/>
  <c r="F698" i="31"/>
  <c r="F699" i="31"/>
  <c r="F700" i="31"/>
  <c r="F701" i="31"/>
  <c r="F702" i="31"/>
  <c r="F703" i="31"/>
  <c r="F704" i="31"/>
  <c r="F705" i="31"/>
  <c r="F706" i="31"/>
  <c r="F707" i="31"/>
  <c r="F708" i="31"/>
  <c r="F709" i="31"/>
  <c r="F710" i="31"/>
  <c r="F711" i="31"/>
  <c r="F712" i="31"/>
  <c r="F713" i="31"/>
  <c r="F714" i="31"/>
  <c r="F715" i="31"/>
  <c r="F716" i="31"/>
  <c r="F717" i="31"/>
  <c r="F718" i="31"/>
  <c r="F719" i="31"/>
  <c r="F720" i="31"/>
  <c r="F721" i="31"/>
  <c r="F722" i="31"/>
  <c r="F723" i="31"/>
  <c r="F724" i="31"/>
  <c r="F725" i="31"/>
  <c r="F726" i="31"/>
  <c r="F727" i="31"/>
  <c r="F728" i="31"/>
  <c r="F729" i="31"/>
  <c r="F730" i="31"/>
  <c r="F731" i="31"/>
  <c r="F732" i="31"/>
  <c r="F733" i="31"/>
  <c r="F734" i="31"/>
  <c r="F735" i="31"/>
  <c r="F736" i="31"/>
  <c r="F737" i="31"/>
  <c r="F738" i="31"/>
  <c r="F739" i="31"/>
  <c r="F740" i="31"/>
  <c r="F741" i="31"/>
  <c r="F742" i="31"/>
  <c r="F743" i="31"/>
  <c r="F744" i="31"/>
  <c r="F745" i="31"/>
  <c r="F746" i="31"/>
  <c r="F747" i="31"/>
  <c r="F748" i="31"/>
  <c r="F749" i="31"/>
  <c r="F750" i="31"/>
  <c r="F751" i="31"/>
  <c r="F752" i="31"/>
  <c r="F753" i="31"/>
  <c r="F754" i="31"/>
  <c r="F755" i="31"/>
  <c r="F756" i="31"/>
  <c r="F757" i="31"/>
  <c r="F758" i="31"/>
  <c r="F759" i="31"/>
  <c r="F760" i="31"/>
  <c r="F761" i="31"/>
  <c r="F762" i="31"/>
  <c r="F763" i="31"/>
  <c r="F764" i="31"/>
  <c r="F765" i="31"/>
  <c r="F766" i="31"/>
  <c r="E5" i="31"/>
  <c r="E180" i="31"/>
  <c r="E181" i="31"/>
  <c r="E182" i="31"/>
  <c r="E183" i="31"/>
  <c r="E184" i="31"/>
  <c r="E185" i="31"/>
  <c r="E186" i="31"/>
  <c r="E187" i="31"/>
  <c r="E188" i="31"/>
  <c r="E189" i="31"/>
  <c r="E190" i="31"/>
  <c r="E191" i="31"/>
  <c r="E192" i="31"/>
  <c r="E193" i="31"/>
  <c r="E194" i="31"/>
  <c r="E195" i="31"/>
  <c r="E196" i="31"/>
  <c r="E197" i="31"/>
  <c r="E198" i="31"/>
  <c r="E199" i="31"/>
  <c r="E200" i="31"/>
  <c r="E201" i="31"/>
  <c r="E202" i="31"/>
  <c r="E203" i="31"/>
  <c r="E204" i="31"/>
  <c r="E205" i="31"/>
  <c r="E206" i="31"/>
  <c r="E207" i="31"/>
  <c r="E208" i="31"/>
  <c r="E209" i="31"/>
  <c r="E210" i="31"/>
  <c r="E211" i="31"/>
  <c r="E212" i="31"/>
  <c r="E213" i="31"/>
  <c r="E214" i="31"/>
  <c r="E215" i="31"/>
  <c r="E216" i="31"/>
  <c r="E217" i="31"/>
  <c r="E218" i="31"/>
  <c r="E219" i="31"/>
  <c r="E220" i="31"/>
  <c r="E221" i="31"/>
  <c r="E222" i="31"/>
  <c r="E223" i="31"/>
  <c r="E224" i="31"/>
  <c r="E225" i="31"/>
  <c r="E226" i="31"/>
  <c r="E227" i="31"/>
  <c r="E228" i="31"/>
  <c r="E229" i="31"/>
  <c r="E230" i="31"/>
  <c r="E231" i="31"/>
  <c r="E232" i="31"/>
  <c r="E233" i="31"/>
  <c r="E234" i="31"/>
  <c r="E235" i="31"/>
  <c r="E236" i="31"/>
  <c r="E237" i="31"/>
  <c r="E238" i="31"/>
  <c r="E239" i="31"/>
  <c r="E240" i="31"/>
  <c r="E241" i="31"/>
  <c r="E242" i="31"/>
  <c r="E243" i="31"/>
  <c r="E244" i="31"/>
  <c r="E245" i="31"/>
  <c r="E246" i="31"/>
  <c r="E247" i="31"/>
  <c r="E248" i="31"/>
  <c r="E249" i="31"/>
  <c r="E250" i="31"/>
  <c r="E251" i="31"/>
  <c r="E252" i="31"/>
  <c r="E253" i="31"/>
  <c r="E254" i="31"/>
  <c r="E255" i="31"/>
  <c r="E256" i="31"/>
  <c r="E257" i="31"/>
  <c r="E258" i="31"/>
  <c r="E259" i="31"/>
  <c r="E260" i="31"/>
  <c r="E261" i="31"/>
  <c r="E262" i="31"/>
  <c r="E263" i="31"/>
  <c r="E264" i="31"/>
  <c r="E265" i="31"/>
  <c r="E266" i="31"/>
  <c r="E267" i="31"/>
  <c r="E268" i="31"/>
  <c r="E269" i="31"/>
  <c r="E270" i="31"/>
  <c r="E271" i="31"/>
  <c r="E272" i="31"/>
  <c r="E273" i="31"/>
  <c r="E274" i="31"/>
  <c r="E275" i="31"/>
  <c r="E276" i="31"/>
  <c r="E277" i="31"/>
  <c r="E278" i="31"/>
  <c r="E279" i="31"/>
  <c r="E280" i="31"/>
  <c r="E281" i="31"/>
  <c r="E282" i="31"/>
  <c r="E283" i="31"/>
  <c r="E284" i="31"/>
  <c r="E285" i="31"/>
  <c r="E286" i="31"/>
  <c r="E287" i="31"/>
  <c r="E288" i="31"/>
  <c r="E289" i="31"/>
  <c r="E290" i="31"/>
  <c r="E291" i="31"/>
  <c r="E292" i="31"/>
  <c r="E293" i="31"/>
  <c r="E294" i="31"/>
  <c r="E295" i="31"/>
  <c r="E296" i="31"/>
  <c r="E297" i="31"/>
  <c r="E298" i="31"/>
  <c r="E299" i="31"/>
  <c r="E300" i="31"/>
  <c r="E301" i="31"/>
  <c r="E302" i="31"/>
  <c r="E303" i="31"/>
  <c r="E304" i="31"/>
  <c r="E305" i="31"/>
  <c r="E306" i="31"/>
  <c r="E307" i="31"/>
  <c r="E308" i="31"/>
  <c r="E309" i="31"/>
  <c r="E310" i="31"/>
  <c r="E311" i="31"/>
  <c r="E312" i="31"/>
  <c r="E313" i="31"/>
  <c r="E314" i="31"/>
  <c r="E315" i="31"/>
  <c r="E316" i="31"/>
  <c r="E317" i="31"/>
  <c r="E318" i="31"/>
  <c r="E319" i="31"/>
  <c r="E320" i="31"/>
  <c r="E321" i="31"/>
  <c r="E322" i="31"/>
  <c r="E323" i="31"/>
  <c r="E324" i="31"/>
  <c r="E325" i="31"/>
  <c r="E326" i="31"/>
  <c r="E327" i="31"/>
  <c r="E328" i="31"/>
  <c r="E329" i="31"/>
  <c r="E330" i="31"/>
  <c r="E331" i="31"/>
  <c r="E332" i="31"/>
  <c r="E333" i="31"/>
  <c r="E334" i="31"/>
  <c r="E335" i="31"/>
  <c r="E336" i="31"/>
  <c r="E337" i="31"/>
  <c r="E338" i="31"/>
  <c r="E339" i="31"/>
  <c r="E340" i="31"/>
  <c r="E341" i="31"/>
  <c r="E342" i="31"/>
  <c r="E343" i="31"/>
  <c r="E344" i="31"/>
  <c r="E345" i="31"/>
  <c r="E346" i="31"/>
  <c r="E347" i="31"/>
  <c r="E348" i="31"/>
  <c r="E349" i="31"/>
  <c r="E350" i="31"/>
  <c r="E351" i="31"/>
  <c r="E352" i="31"/>
  <c r="E353" i="31"/>
  <c r="E354" i="31"/>
  <c r="E355" i="31"/>
  <c r="E356" i="31"/>
  <c r="E357" i="31"/>
  <c r="E358" i="31"/>
  <c r="E359" i="31"/>
  <c r="E360" i="31"/>
  <c r="E361" i="31"/>
  <c r="E362" i="31"/>
  <c r="E363" i="31"/>
  <c r="E364" i="31"/>
  <c r="E365" i="31"/>
  <c r="E366" i="31"/>
  <c r="E367" i="31"/>
  <c r="E368" i="31"/>
  <c r="E369" i="31"/>
  <c r="E370" i="31"/>
  <c r="E371" i="31"/>
  <c r="E372" i="31"/>
  <c r="E373" i="31"/>
  <c r="E374" i="31"/>
  <c r="E375" i="31"/>
  <c r="E376" i="31"/>
  <c r="E377" i="31"/>
  <c r="E378" i="31"/>
  <c r="E379" i="31"/>
  <c r="E380" i="31"/>
  <c r="E381" i="31"/>
  <c r="E382" i="31"/>
  <c r="E383" i="31"/>
  <c r="E384" i="31"/>
  <c r="E385" i="31"/>
  <c r="E386" i="31"/>
  <c r="E387" i="31"/>
  <c r="E388" i="31"/>
  <c r="E389" i="31"/>
  <c r="E390" i="31"/>
  <c r="E391" i="31"/>
  <c r="E392" i="31"/>
  <c r="E393" i="31"/>
  <c r="E394" i="31"/>
  <c r="E395" i="31"/>
  <c r="E396" i="31"/>
  <c r="E397" i="31"/>
  <c r="E398" i="31"/>
  <c r="E399" i="31"/>
  <c r="E400" i="31"/>
  <c r="E401" i="31"/>
  <c r="E402" i="31"/>
  <c r="E403" i="31"/>
  <c r="E404" i="31"/>
  <c r="E405" i="31"/>
  <c r="E406" i="31"/>
  <c r="E407" i="31"/>
  <c r="E408" i="31"/>
  <c r="E409" i="31"/>
  <c r="E410" i="31"/>
  <c r="E411" i="31"/>
  <c r="E412" i="31"/>
  <c r="E413" i="31"/>
  <c r="E414" i="31"/>
  <c r="E415" i="31"/>
  <c r="E416" i="31"/>
  <c r="E417" i="31"/>
  <c r="E418" i="31"/>
  <c r="E419" i="31"/>
  <c r="E420" i="31"/>
  <c r="E421" i="31"/>
  <c r="E422" i="31"/>
  <c r="E423" i="31"/>
  <c r="E424" i="31"/>
  <c r="E425" i="31"/>
  <c r="E426" i="31"/>
  <c r="E427" i="31"/>
  <c r="E428" i="31"/>
  <c r="E429" i="31"/>
  <c r="E430" i="31"/>
  <c r="E431" i="31"/>
  <c r="E432" i="31"/>
  <c r="E433" i="31"/>
  <c r="E434" i="31"/>
  <c r="E435" i="31"/>
  <c r="E436" i="31"/>
  <c r="E437" i="31"/>
  <c r="E438" i="31"/>
  <c r="E439" i="31"/>
  <c r="E440" i="31"/>
  <c r="E441" i="31"/>
  <c r="E442" i="31"/>
  <c r="E443" i="31"/>
  <c r="E444" i="31"/>
  <c r="E445" i="31"/>
  <c r="E446" i="31"/>
  <c r="E447" i="31"/>
  <c r="E448" i="31"/>
  <c r="E449" i="31"/>
  <c r="E450" i="31"/>
  <c r="E451" i="31"/>
  <c r="E452" i="31"/>
  <c r="E453" i="31"/>
  <c r="E454" i="31"/>
  <c r="E455" i="31"/>
  <c r="E456" i="31"/>
  <c r="E457" i="31"/>
  <c r="E458" i="31"/>
  <c r="E459" i="31"/>
  <c r="E460" i="31"/>
  <c r="E461" i="31"/>
  <c r="E462" i="31"/>
  <c r="E463" i="31"/>
  <c r="E464" i="31"/>
  <c r="E465" i="31"/>
  <c r="E466" i="31"/>
  <c r="E467" i="31"/>
  <c r="E468" i="31"/>
  <c r="E469" i="31"/>
  <c r="E470" i="31"/>
  <c r="E471" i="31"/>
  <c r="E472" i="31"/>
  <c r="E473" i="31"/>
  <c r="E474" i="31"/>
  <c r="E475" i="31"/>
  <c r="E476" i="31"/>
  <c r="E477" i="31"/>
  <c r="E478" i="31"/>
  <c r="E479" i="31"/>
  <c r="E480" i="31"/>
  <c r="E481" i="31"/>
  <c r="E482" i="31"/>
  <c r="E483" i="31"/>
  <c r="E484" i="31"/>
  <c r="E485" i="31"/>
  <c r="E486" i="31"/>
  <c r="E487" i="31"/>
  <c r="E488" i="31"/>
  <c r="E489" i="31"/>
  <c r="E490" i="31"/>
  <c r="E491" i="31"/>
  <c r="E492" i="31"/>
  <c r="E493" i="31"/>
  <c r="E494" i="31"/>
  <c r="E495" i="31"/>
  <c r="E496" i="31"/>
  <c r="E497" i="31"/>
  <c r="E498" i="31"/>
  <c r="E499" i="31"/>
  <c r="E500" i="31"/>
  <c r="E501" i="31"/>
  <c r="E502" i="31"/>
  <c r="E503" i="31"/>
  <c r="E504" i="31"/>
  <c r="E505" i="31"/>
  <c r="E506" i="31"/>
  <c r="E507" i="31"/>
  <c r="E508" i="31"/>
  <c r="E509" i="31"/>
  <c r="E510" i="31"/>
  <c r="E511" i="31"/>
  <c r="E512" i="31"/>
  <c r="E513" i="31"/>
  <c r="E514" i="31"/>
  <c r="E515" i="31"/>
  <c r="E516" i="31"/>
  <c r="E517" i="31"/>
  <c r="E518" i="31"/>
  <c r="E519" i="31"/>
  <c r="E520" i="31"/>
  <c r="E521" i="31"/>
  <c r="E522" i="31"/>
  <c r="E523" i="31"/>
  <c r="E524" i="31"/>
  <c r="E525" i="31"/>
  <c r="E526" i="31"/>
  <c r="E527" i="31"/>
  <c r="E528" i="31"/>
  <c r="E529" i="31"/>
  <c r="E530" i="31"/>
  <c r="E531" i="31"/>
  <c r="E532" i="31"/>
  <c r="E533" i="31"/>
  <c r="E534" i="31"/>
  <c r="E535" i="31"/>
  <c r="E536" i="31"/>
  <c r="E537" i="31"/>
  <c r="E538" i="31"/>
  <c r="E539" i="31"/>
  <c r="E540" i="31"/>
  <c r="E541" i="31"/>
  <c r="E542" i="31"/>
  <c r="E543" i="31"/>
  <c r="E544" i="31"/>
  <c r="E545" i="31"/>
  <c r="E546" i="31"/>
  <c r="E547" i="31"/>
  <c r="E548" i="31"/>
  <c r="E549" i="31"/>
  <c r="E550" i="31"/>
  <c r="E551" i="31"/>
  <c r="E552" i="31"/>
  <c r="E553" i="31"/>
  <c r="E554" i="31"/>
  <c r="E555" i="31"/>
  <c r="E556" i="31"/>
  <c r="E557" i="31"/>
  <c r="E558" i="31"/>
  <c r="E559" i="31"/>
  <c r="E560" i="31"/>
  <c r="E561" i="31"/>
  <c r="E562" i="31"/>
  <c r="E563" i="31"/>
  <c r="E564" i="31"/>
  <c r="E565" i="31"/>
  <c r="E566" i="31"/>
  <c r="E567" i="31"/>
  <c r="E568" i="31"/>
  <c r="E569" i="31"/>
  <c r="E570" i="31"/>
  <c r="E571" i="31"/>
  <c r="E572" i="31"/>
  <c r="E573" i="31"/>
  <c r="E574" i="31"/>
  <c r="E575" i="31"/>
  <c r="E576" i="31"/>
  <c r="E577" i="31"/>
  <c r="E578" i="31"/>
  <c r="E579" i="31"/>
  <c r="E580" i="31"/>
  <c r="E581" i="31"/>
  <c r="E582" i="31"/>
  <c r="E583" i="31"/>
  <c r="E584" i="31"/>
  <c r="E585" i="31"/>
  <c r="E586" i="31"/>
  <c r="E587" i="31"/>
  <c r="E588" i="31"/>
  <c r="E589" i="31"/>
  <c r="E590" i="31"/>
  <c r="E591" i="31"/>
  <c r="E592" i="31"/>
  <c r="E593" i="31"/>
  <c r="E594" i="31"/>
  <c r="E595" i="31"/>
  <c r="E596" i="31"/>
  <c r="E597" i="31"/>
  <c r="E598" i="31"/>
  <c r="E599" i="31"/>
  <c r="E600" i="31"/>
  <c r="E601" i="31"/>
  <c r="E602" i="31"/>
  <c r="E603" i="31"/>
  <c r="E604" i="31"/>
  <c r="E605" i="31"/>
  <c r="E606" i="31"/>
  <c r="E607" i="31"/>
  <c r="E608" i="31"/>
  <c r="E609" i="31"/>
  <c r="E610" i="31"/>
  <c r="E611" i="31"/>
  <c r="E612" i="31"/>
  <c r="E613" i="31"/>
  <c r="E614" i="31"/>
  <c r="E615" i="31"/>
  <c r="E616" i="31"/>
  <c r="E617" i="31"/>
  <c r="E618" i="31"/>
  <c r="E619" i="31"/>
  <c r="E620" i="31"/>
  <c r="E621" i="31"/>
  <c r="E622" i="31"/>
  <c r="E623" i="31"/>
  <c r="E624" i="31"/>
  <c r="E625" i="31"/>
  <c r="E626" i="31"/>
  <c r="E627" i="31"/>
  <c r="E628" i="31"/>
  <c r="E629" i="31"/>
  <c r="E630" i="31"/>
  <c r="E631" i="31"/>
  <c r="E632" i="31"/>
  <c r="E633" i="31"/>
  <c r="E634" i="31"/>
  <c r="E635" i="31"/>
  <c r="E636" i="31"/>
  <c r="E637" i="31"/>
  <c r="E638" i="31"/>
  <c r="E639" i="31"/>
  <c r="E640" i="31"/>
  <c r="E641" i="31"/>
  <c r="E642" i="31"/>
  <c r="E643" i="31"/>
  <c r="E644" i="31"/>
  <c r="E645" i="31"/>
  <c r="E646" i="31"/>
  <c r="E647" i="31"/>
  <c r="E648" i="31"/>
  <c r="E649" i="31"/>
  <c r="E650" i="31"/>
  <c r="E651" i="31"/>
  <c r="E652" i="31"/>
  <c r="E653" i="31"/>
  <c r="E654" i="31"/>
  <c r="E655" i="31"/>
  <c r="E656" i="31"/>
  <c r="E657" i="31"/>
  <c r="E658" i="31"/>
  <c r="E659" i="31"/>
  <c r="E660" i="31"/>
  <c r="E661" i="31"/>
  <c r="E662" i="31"/>
  <c r="E663" i="31"/>
  <c r="E664" i="31"/>
  <c r="E665" i="31"/>
  <c r="E666" i="31"/>
  <c r="E667" i="31"/>
  <c r="E668" i="31"/>
  <c r="E669" i="31"/>
  <c r="E670" i="31"/>
  <c r="E671" i="31"/>
  <c r="E672" i="31"/>
  <c r="E673" i="31"/>
  <c r="E674" i="31"/>
  <c r="E675" i="31"/>
  <c r="E676" i="31"/>
  <c r="E677" i="31"/>
  <c r="E678" i="31"/>
  <c r="E679" i="31"/>
  <c r="E680" i="31"/>
  <c r="E681" i="31"/>
  <c r="E682" i="31"/>
  <c r="E683" i="31"/>
  <c r="E684" i="31"/>
  <c r="E685" i="31"/>
  <c r="E686" i="31"/>
  <c r="E687" i="31"/>
  <c r="E688" i="31"/>
  <c r="E689" i="31"/>
  <c r="E690" i="31"/>
  <c r="E691" i="31"/>
  <c r="E692" i="31"/>
  <c r="E693" i="31"/>
  <c r="E694" i="31"/>
  <c r="E695" i="31"/>
  <c r="E696" i="31"/>
  <c r="E697" i="31"/>
  <c r="E698" i="31"/>
  <c r="E699" i="31"/>
  <c r="E700" i="31"/>
  <c r="E701" i="31"/>
  <c r="E702" i="31"/>
  <c r="E703" i="31"/>
  <c r="E704" i="31"/>
  <c r="E705" i="31"/>
  <c r="E706" i="31"/>
  <c r="E707" i="31"/>
  <c r="E708" i="31"/>
  <c r="E709" i="31"/>
  <c r="E710" i="31"/>
  <c r="E711" i="31"/>
  <c r="E712" i="31"/>
  <c r="E713" i="31"/>
  <c r="E714" i="31"/>
  <c r="E715" i="31"/>
  <c r="E716" i="31"/>
  <c r="E717" i="31"/>
  <c r="E718" i="31"/>
  <c r="E719" i="31"/>
  <c r="E720" i="31"/>
  <c r="E721" i="31"/>
  <c r="E722" i="31"/>
  <c r="E723" i="31"/>
  <c r="E724" i="31"/>
  <c r="E725" i="31"/>
  <c r="E726" i="31"/>
  <c r="E727" i="31"/>
  <c r="E728" i="31"/>
  <c r="E729" i="31"/>
  <c r="E730" i="31"/>
  <c r="E731" i="31"/>
  <c r="E732" i="31"/>
  <c r="E733" i="31"/>
  <c r="E734" i="31"/>
  <c r="E735" i="31"/>
  <c r="E736" i="31"/>
  <c r="E737" i="31"/>
  <c r="E738" i="31"/>
  <c r="E739" i="31"/>
  <c r="E740" i="31"/>
  <c r="E741" i="31"/>
  <c r="E742" i="31"/>
  <c r="E743" i="31"/>
  <c r="E744" i="31"/>
  <c r="E745" i="31"/>
  <c r="E746" i="31"/>
  <c r="E747" i="31"/>
  <c r="E748" i="31"/>
  <c r="E749" i="31"/>
  <c r="E750" i="31"/>
  <c r="E751" i="31"/>
  <c r="E752" i="31"/>
  <c r="E753" i="31"/>
  <c r="E754" i="31"/>
  <c r="E755" i="31"/>
  <c r="E756" i="31"/>
  <c r="E757" i="31"/>
  <c r="E758" i="31"/>
  <c r="E759" i="31"/>
  <c r="E760" i="31"/>
  <c r="E761" i="31"/>
  <c r="E762" i="31"/>
  <c r="E763" i="31"/>
  <c r="E764" i="31"/>
  <c r="E765" i="31"/>
  <c r="E766" i="31"/>
  <c r="D4" i="31"/>
  <c r="D5" i="31"/>
  <c r="D6" i="31"/>
  <c r="D7" i="31"/>
  <c r="D8" i="31"/>
  <c r="D9" i="31"/>
  <c r="D10" i="31"/>
  <c r="D11" i="31"/>
  <c r="D12" i="31"/>
  <c r="D13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274" i="31"/>
  <c r="D275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D320" i="31"/>
  <c r="D321" i="31"/>
  <c r="D322" i="31"/>
  <c r="D323" i="31"/>
  <c r="D324" i="31"/>
  <c r="D325" i="31"/>
  <c r="D326" i="31"/>
  <c r="D327" i="31"/>
  <c r="D328" i="31"/>
  <c r="D329" i="31"/>
  <c r="D330" i="31"/>
  <c r="D331" i="31"/>
  <c r="D332" i="31"/>
  <c r="D333" i="31"/>
  <c r="D334" i="31"/>
  <c r="D335" i="31"/>
  <c r="D336" i="31"/>
  <c r="D337" i="31"/>
  <c r="D338" i="31"/>
  <c r="D339" i="31"/>
  <c r="D340" i="31"/>
  <c r="D341" i="31"/>
  <c r="D342" i="31"/>
  <c r="D343" i="31"/>
  <c r="D344" i="31"/>
  <c r="D345" i="31"/>
  <c r="D346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2" i="31"/>
  <c r="D363" i="31"/>
  <c r="D364" i="31"/>
  <c r="D365" i="31"/>
  <c r="D366" i="31"/>
  <c r="D367" i="31"/>
  <c r="D368" i="31"/>
  <c r="D369" i="31"/>
  <c r="D370" i="31"/>
  <c r="D371" i="31"/>
  <c r="D372" i="31"/>
  <c r="D373" i="31"/>
  <c r="D374" i="31"/>
  <c r="D375" i="31"/>
  <c r="D376" i="31"/>
  <c r="D377" i="31"/>
  <c r="D378" i="31"/>
  <c r="D379" i="31"/>
  <c r="D380" i="31"/>
  <c r="D381" i="31"/>
  <c r="D382" i="31"/>
  <c r="D383" i="31"/>
  <c r="D384" i="31"/>
  <c r="D385" i="31"/>
  <c r="D386" i="31"/>
  <c r="D387" i="31"/>
  <c r="D388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D403" i="31"/>
  <c r="D404" i="31"/>
  <c r="D405" i="31"/>
  <c r="D406" i="31"/>
  <c r="D407" i="31"/>
  <c r="D408" i="31"/>
  <c r="D409" i="31"/>
  <c r="D410" i="31"/>
  <c r="D411" i="31"/>
  <c r="D412" i="31"/>
  <c r="D413" i="31"/>
  <c r="D414" i="31"/>
  <c r="D415" i="31"/>
  <c r="D416" i="31"/>
  <c r="D417" i="31"/>
  <c r="D418" i="31"/>
  <c r="D419" i="31"/>
  <c r="D420" i="31"/>
  <c r="D421" i="31"/>
  <c r="D422" i="31"/>
  <c r="D423" i="31"/>
  <c r="D424" i="31"/>
  <c r="D425" i="31"/>
  <c r="D426" i="31"/>
  <c r="D427" i="31"/>
  <c r="D428" i="31"/>
  <c r="D429" i="31"/>
  <c r="D430" i="31"/>
  <c r="D431" i="31"/>
  <c r="D432" i="31"/>
  <c r="D433" i="31"/>
  <c r="D434" i="31"/>
  <c r="D435" i="31"/>
  <c r="D436" i="31"/>
  <c r="D437" i="31"/>
  <c r="D438" i="31"/>
  <c r="D439" i="31"/>
  <c r="D440" i="31"/>
  <c r="D441" i="31"/>
  <c r="D442" i="31"/>
  <c r="D443" i="31"/>
  <c r="D444" i="31"/>
  <c r="D445" i="31"/>
  <c r="D446" i="31"/>
  <c r="D447" i="31"/>
  <c r="D448" i="31"/>
  <c r="D449" i="31"/>
  <c r="D450" i="31"/>
  <c r="D451" i="31"/>
  <c r="D452" i="31"/>
  <c r="D453" i="31"/>
  <c r="D454" i="31"/>
  <c r="D455" i="31"/>
  <c r="D456" i="31"/>
  <c r="D457" i="31"/>
  <c r="D458" i="31"/>
  <c r="D459" i="31"/>
  <c r="D460" i="31"/>
  <c r="D461" i="31"/>
  <c r="D462" i="31"/>
  <c r="D463" i="31"/>
  <c r="D464" i="31"/>
  <c r="D465" i="31"/>
  <c r="D466" i="31"/>
  <c r="D467" i="31"/>
  <c r="D468" i="31"/>
  <c r="D469" i="31"/>
  <c r="D470" i="31"/>
  <c r="D471" i="31"/>
  <c r="D472" i="31"/>
  <c r="D473" i="31"/>
  <c r="D474" i="31"/>
  <c r="D475" i="31"/>
  <c r="D476" i="31"/>
  <c r="D477" i="31"/>
  <c r="D478" i="31"/>
  <c r="D479" i="31"/>
  <c r="D480" i="31"/>
  <c r="D481" i="31"/>
  <c r="D482" i="31"/>
  <c r="D483" i="31"/>
  <c r="D484" i="31"/>
  <c r="D485" i="31"/>
  <c r="D486" i="31"/>
  <c r="D487" i="31"/>
  <c r="D488" i="31"/>
  <c r="D489" i="31"/>
  <c r="D490" i="31"/>
  <c r="D491" i="31"/>
  <c r="D492" i="31"/>
  <c r="D493" i="31"/>
  <c r="D494" i="31"/>
  <c r="D495" i="31"/>
  <c r="D496" i="31"/>
  <c r="D497" i="31"/>
  <c r="D498" i="31"/>
  <c r="D499" i="31"/>
  <c r="D500" i="31"/>
  <c r="D501" i="31"/>
  <c r="D502" i="31"/>
  <c r="D503" i="31"/>
  <c r="D504" i="31"/>
  <c r="D505" i="31"/>
  <c r="D506" i="31"/>
  <c r="D507" i="31"/>
  <c r="D508" i="31"/>
  <c r="D509" i="31"/>
  <c r="D510" i="31"/>
  <c r="D511" i="31"/>
  <c r="D512" i="31"/>
  <c r="D513" i="31"/>
  <c r="D514" i="31"/>
  <c r="D515" i="31"/>
  <c r="D516" i="31"/>
  <c r="D517" i="31"/>
  <c r="D518" i="31"/>
  <c r="D519" i="31"/>
  <c r="D520" i="31"/>
  <c r="D521" i="31"/>
  <c r="D522" i="31"/>
  <c r="D523" i="31"/>
  <c r="D524" i="31"/>
  <c r="D525" i="31"/>
  <c r="D526" i="31"/>
  <c r="D527" i="31"/>
  <c r="D528" i="31"/>
  <c r="D529" i="31"/>
  <c r="D530" i="31"/>
  <c r="D531" i="31"/>
  <c r="D532" i="31"/>
  <c r="D533" i="31"/>
  <c r="D534" i="31"/>
  <c r="D535" i="31"/>
  <c r="D536" i="31"/>
  <c r="D537" i="31"/>
  <c r="D538" i="31"/>
  <c r="D539" i="31"/>
  <c r="D540" i="31"/>
  <c r="D541" i="31"/>
  <c r="D542" i="31"/>
  <c r="D543" i="31"/>
  <c r="D544" i="31"/>
  <c r="D545" i="31"/>
  <c r="D546" i="31"/>
  <c r="D547" i="31"/>
  <c r="D548" i="31"/>
  <c r="D549" i="31"/>
  <c r="D550" i="31"/>
  <c r="D551" i="31"/>
  <c r="D552" i="31"/>
  <c r="D553" i="31"/>
  <c r="D554" i="31"/>
  <c r="D555" i="31"/>
  <c r="D556" i="31"/>
  <c r="D557" i="31"/>
  <c r="D558" i="31"/>
  <c r="D559" i="31"/>
  <c r="D560" i="31"/>
  <c r="D561" i="31"/>
  <c r="D562" i="31"/>
  <c r="D563" i="31"/>
  <c r="D564" i="31"/>
  <c r="D565" i="31"/>
  <c r="D566" i="31"/>
  <c r="D567" i="31"/>
  <c r="D568" i="31"/>
  <c r="D569" i="31"/>
  <c r="D570" i="31"/>
  <c r="D571" i="31"/>
  <c r="D572" i="31"/>
  <c r="D573" i="31"/>
  <c r="D574" i="31"/>
  <c r="D575" i="31"/>
  <c r="D576" i="31"/>
  <c r="D577" i="31"/>
  <c r="D578" i="31"/>
  <c r="D579" i="31"/>
  <c r="D580" i="31"/>
  <c r="D581" i="31"/>
  <c r="D582" i="31"/>
  <c r="D583" i="31"/>
  <c r="D584" i="31"/>
  <c r="D585" i="31"/>
  <c r="D586" i="31"/>
  <c r="D587" i="31"/>
  <c r="D588" i="31"/>
  <c r="D589" i="31"/>
  <c r="D590" i="31"/>
  <c r="D591" i="31"/>
  <c r="D592" i="31"/>
  <c r="D593" i="31"/>
  <c r="D594" i="31"/>
  <c r="D595" i="31"/>
  <c r="D596" i="31"/>
  <c r="D597" i="31"/>
  <c r="D598" i="31"/>
  <c r="D599" i="31"/>
  <c r="D600" i="31"/>
  <c r="D601" i="31"/>
  <c r="D602" i="31"/>
  <c r="D603" i="31"/>
  <c r="D604" i="31"/>
  <c r="D605" i="31"/>
  <c r="D606" i="31"/>
  <c r="D607" i="31"/>
  <c r="D608" i="31"/>
  <c r="D609" i="31"/>
  <c r="D610" i="31"/>
  <c r="D611" i="31"/>
  <c r="D612" i="31"/>
  <c r="D613" i="31"/>
  <c r="D614" i="31"/>
  <c r="D615" i="31"/>
  <c r="D616" i="31"/>
  <c r="D617" i="31"/>
  <c r="D618" i="31"/>
  <c r="D619" i="31"/>
  <c r="D620" i="31"/>
  <c r="D621" i="31"/>
  <c r="D622" i="31"/>
  <c r="D623" i="31"/>
  <c r="D624" i="31"/>
  <c r="D625" i="31"/>
  <c r="D626" i="31"/>
  <c r="D627" i="31"/>
  <c r="D628" i="31"/>
  <c r="D629" i="31"/>
  <c r="D630" i="31"/>
  <c r="D631" i="31"/>
  <c r="D632" i="31"/>
  <c r="D633" i="31"/>
  <c r="D634" i="31"/>
  <c r="D635" i="31"/>
  <c r="D636" i="31"/>
  <c r="D637" i="31"/>
  <c r="D638" i="31"/>
  <c r="D639" i="31"/>
  <c r="D640" i="31"/>
  <c r="D641" i="31"/>
  <c r="D642" i="31"/>
  <c r="D643" i="31"/>
  <c r="D644" i="31"/>
  <c r="D645" i="31"/>
  <c r="D646" i="31"/>
  <c r="D647" i="31"/>
  <c r="D648" i="31"/>
  <c r="D649" i="31"/>
  <c r="D650" i="31"/>
  <c r="D651" i="31"/>
  <c r="D652" i="31"/>
  <c r="D653" i="31"/>
  <c r="D654" i="31"/>
  <c r="D655" i="31"/>
  <c r="D656" i="31"/>
  <c r="D657" i="31"/>
  <c r="D658" i="31"/>
  <c r="D659" i="31"/>
  <c r="D660" i="31"/>
  <c r="D661" i="31"/>
  <c r="D662" i="31"/>
  <c r="D663" i="31"/>
  <c r="D664" i="31"/>
  <c r="D665" i="31"/>
  <c r="D666" i="31"/>
  <c r="D667" i="31"/>
  <c r="D668" i="31"/>
  <c r="D669" i="31"/>
  <c r="D670" i="31"/>
  <c r="D671" i="31"/>
  <c r="D672" i="31"/>
  <c r="D673" i="31"/>
  <c r="D674" i="31"/>
  <c r="D675" i="31"/>
  <c r="D676" i="31"/>
  <c r="D677" i="31"/>
  <c r="D678" i="31"/>
  <c r="D679" i="31"/>
  <c r="D680" i="31"/>
  <c r="D681" i="31"/>
  <c r="D682" i="31"/>
  <c r="D683" i="31"/>
  <c r="D684" i="31"/>
  <c r="D685" i="31"/>
  <c r="D686" i="31"/>
  <c r="D687" i="31"/>
  <c r="D688" i="31"/>
  <c r="D689" i="31"/>
  <c r="D690" i="31"/>
  <c r="D691" i="31"/>
  <c r="D692" i="31"/>
  <c r="D693" i="31"/>
  <c r="D694" i="31"/>
  <c r="D695" i="31"/>
  <c r="D696" i="31"/>
  <c r="D697" i="31"/>
  <c r="D698" i="31"/>
  <c r="D699" i="31"/>
  <c r="D700" i="31"/>
  <c r="D701" i="31"/>
  <c r="D702" i="31"/>
  <c r="D703" i="31"/>
  <c r="D704" i="31"/>
  <c r="D705" i="31"/>
  <c r="D706" i="31"/>
  <c r="D707" i="31"/>
  <c r="D708" i="31"/>
  <c r="D709" i="31"/>
  <c r="D710" i="31"/>
  <c r="D711" i="31"/>
  <c r="D712" i="31"/>
  <c r="D713" i="31"/>
  <c r="D714" i="31"/>
  <c r="D715" i="31"/>
  <c r="D716" i="31"/>
  <c r="D717" i="31"/>
  <c r="D718" i="31"/>
  <c r="D719" i="31"/>
  <c r="D720" i="31"/>
  <c r="D721" i="31"/>
  <c r="D722" i="31"/>
  <c r="D723" i="31"/>
  <c r="D724" i="31"/>
  <c r="D725" i="31"/>
  <c r="D726" i="31"/>
  <c r="D727" i="31"/>
  <c r="D728" i="31"/>
  <c r="D729" i="31"/>
  <c r="D730" i="31"/>
  <c r="D731" i="31"/>
  <c r="D732" i="31"/>
  <c r="D733" i="31"/>
  <c r="D734" i="31"/>
  <c r="D735" i="31"/>
  <c r="D736" i="31"/>
  <c r="D737" i="31"/>
  <c r="D738" i="31"/>
  <c r="D739" i="31"/>
  <c r="D740" i="31"/>
  <c r="D741" i="31"/>
  <c r="D742" i="31"/>
  <c r="D743" i="31"/>
  <c r="D744" i="31"/>
  <c r="D745" i="31"/>
  <c r="D746" i="31"/>
  <c r="D747" i="31"/>
  <c r="D748" i="31"/>
  <c r="D749" i="31"/>
  <c r="D750" i="31"/>
  <c r="D751" i="31"/>
  <c r="D752" i="31"/>
  <c r="D753" i="31"/>
  <c r="D754" i="31"/>
  <c r="D755" i="31"/>
  <c r="D756" i="31"/>
  <c r="D757" i="31"/>
  <c r="D758" i="31"/>
  <c r="D759" i="31"/>
  <c r="D760" i="31"/>
  <c r="D761" i="31"/>
  <c r="D762" i="31"/>
  <c r="D763" i="31"/>
  <c r="D764" i="31"/>
  <c r="D765" i="31"/>
  <c r="D766" i="31"/>
  <c r="A586" i="31"/>
  <c r="A587" i="31"/>
  <c r="A588" i="31"/>
  <c r="A589" i="31"/>
  <c r="A590" i="31"/>
  <c r="A591" i="31"/>
  <c r="A592" i="31"/>
  <c r="A593" i="31"/>
  <c r="A594" i="31"/>
  <c r="A595" i="31"/>
  <c r="A596" i="31"/>
  <c r="A597" i="31"/>
  <c r="A598" i="31"/>
  <c r="A599" i="31"/>
  <c r="A600" i="31"/>
  <c r="A601" i="31"/>
  <c r="A602" i="31"/>
  <c r="A603" i="31"/>
  <c r="A604" i="31"/>
  <c r="A605" i="31"/>
  <c r="A606" i="31"/>
  <c r="A607" i="31"/>
  <c r="A608" i="31"/>
  <c r="A609" i="31"/>
  <c r="A610" i="31"/>
  <c r="A611" i="31"/>
  <c r="A612" i="31"/>
  <c r="A613" i="31"/>
  <c r="A614" i="31"/>
  <c r="A615" i="31"/>
  <c r="A616" i="31"/>
  <c r="A617" i="31"/>
  <c r="A618" i="31"/>
  <c r="A619" i="31"/>
  <c r="A620" i="31"/>
  <c r="A621" i="31"/>
  <c r="A622" i="31"/>
  <c r="A623" i="31"/>
  <c r="A624" i="31"/>
  <c r="A625" i="31"/>
  <c r="A626" i="31"/>
  <c r="A627" i="31"/>
  <c r="A628" i="31"/>
  <c r="A629" i="31"/>
  <c r="A630" i="31"/>
  <c r="A631" i="31"/>
  <c r="A632" i="31"/>
  <c r="A633" i="31"/>
  <c r="A634" i="31"/>
  <c r="A635" i="31"/>
  <c r="A636" i="31"/>
  <c r="A637" i="31"/>
  <c r="A638" i="31"/>
  <c r="A639" i="31"/>
  <c r="A640" i="31"/>
  <c r="A641" i="31"/>
  <c r="A642" i="31"/>
  <c r="A643" i="31"/>
  <c r="A644" i="31"/>
  <c r="A645" i="31"/>
  <c r="A646" i="31"/>
  <c r="A647" i="31"/>
  <c r="A648" i="31"/>
  <c r="A649" i="31"/>
  <c r="A650" i="31"/>
  <c r="A651" i="31"/>
  <c r="A652" i="31"/>
  <c r="A653" i="31"/>
  <c r="A654" i="31"/>
  <c r="A655" i="31"/>
  <c r="A656" i="31"/>
  <c r="A657" i="31"/>
  <c r="A658" i="31"/>
  <c r="A659" i="31"/>
  <c r="A660" i="31"/>
  <c r="A661" i="31"/>
  <c r="A662" i="31"/>
  <c r="A663" i="31"/>
  <c r="A664" i="31"/>
  <c r="A665" i="31"/>
  <c r="A666" i="31"/>
  <c r="A667" i="31"/>
  <c r="A668" i="31"/>
  <c r="A669" i="31"/>
  <c r="A670" i="31"/>
  <c r="A671" i="31"/>
  <c r="A672" i="31"/>
  <c r="A673" i="31"/>
  <c r="A674" i="31"/>
  <c r="A675" i="31"/>
  <c r="A676" i="31"/>
  <c r="A677" i="31"/>
  <c r="A678" i="31"/>
  <c r="A679" i="31"/>
  <c r="A680" i="31"/>
  <c r="A681" i="31"/>
  <c r="A682" i="31"/>
  <c r="A683" i="31"/>
  <c r="A684" i="31"/>
  <c r="A685" i="31"/>
  <c r="A686" i="31"/>
  <c r="A687" i="31"/>
  <c r="A688" i="31"/>
  <c r="A689" i="31"/>
  <c r="A690" i="31"/>
  <c r="A691" i="31"/>
  <c r="A692" i="31"/>
  <c r="A693" i="31"/>
  <c r="A694" i="31"/>
  <c r="A695" i="31"/>
  <c r="A696" i="31"/>
  <c r="A697" i="31"/>
  <c r="A698" i="31"/>
  <c r="A699" i="31"/>
  <c r="A700" i="31"/>
  <c r="A701" i="31"/>
  <c r="A702" i="31"/>
  <c r="A703" i="31"/>
  <c r="A704" i="31"/>
  <c r="A705" i="31"/>
  <c r="A706" i="31"/>
  <c r="A707" i="31"/>
  <c r="A708" i="31"/>
  <c r="A709" i="31"/>
  <c r="A710" i="31"/>
  <c r="A711" i="31"/>
  <c r="A712" i="31"/>
  <c r="A713" i="31"/>
  <c r="A714" i="31"/>
  <c r="A715" i="31"/>
  <c r="A716" i="31"/>
  <c r="A717" i="31"/>
  <c r="A718" i="31"/>
  <c r="A719" i="31"/>
  <c r="A720" i="31"/>
  <c r="A721" i="31"/>
  <c r="A722" i="31"/>
  <c r="A723" i="31"/>
  <c r="A724" i="31"/>
  <c r="A725" i="31"/>
  <c r="A726" i="31"/>
  <c r="A727" i="31"/>
  <c r="A728" i="31"/>
  <c r="A729" i="31"/>
  <c r="A730" i="31"/>
  <c r="A731" i="31"/>
  <c r="A732" i="31"/>
  <c r="A733" i="31"/>
  <c r="A734" i="31"/>
  <c r="A735" i="31"/>
  <c r="A736" i="31"/>
  <c r="A737" i="31"/>
  <c r="A738" i="31"/>
  <c r="A739" i="31"/>
  <c r="A740" i="31"/>
  <c r="A741" i="31"/>
  <c r="A742" i="31"/>
  <c r="A743" i="31"/>
  <c r="A744" i="31"/>
  <c r="A745" i="31"/>
  <c r="A746" i="31"/>
  <c r="A747" i="31"/>
  <c r="A748" i="31"/>
  <c r="A749" i="31"/>
  <c r="A750" i="31"/>
  <c r="A751" i="31"/>
  <c r="A752" i="31"/>
  <c r="A753" i="31"/>
  <c r="A754" i="31"/>
  <c r="A755" i="31"/>
  <c r="A756" i="31"/>
  <c r="A757" i="31"/>
  <c r="A758" i="31"/>
  <c r="A759" i="31"/>
  <c r="A760" i="31"/>
  <c r="A761" i="31"/>
  <c r="A762" i="31"/>
  <c r="A763" i="31"/>
  <c r="A764" i="31"/>
  <c r="A765" i="31"/>
  <c r="A766" i="31"/>
  <c r="A180" i="31"/>
  <c r="A181" i="31"/>
  <c r="A182" i="31"/>
  <c r="A183" i="31"/>
  <c r="A184" i="31"/>
  <c r="A185" i="31"/>
  <c r="A186" i="31"/>
  <c r="A187" i="31"/>
  <c r="A188" i="31"/>
  <c r="A189" i="31"/>
  <c r="A190" i="31"/>
  <c r="A191" i="31"/>
  <c r="A192" i="31"/>
  <c r="A193" i="31"/>
  <c r="A194" i="31"/>
  <c r="A195" i="31"/>
  <c r="A196" i="31"/>
  <c r="A197" i="31"/>
  <c r="A198" i="31"/>
  <c r="A199" i="31"/>
  <c r="A200" i="31"/>
  <c r="A201" i="31"/>
  <c r="A202" i="31"/>
  <c r="A203" i="31"/>
  <c r="A204" i="31"/>
  <c r="A205" i="31"/>
  <c r="A206" i="31"/>
  <c r="A207" i="31"/>
  <c r="A208" i="31"/>
  <c r="A209" i="31"/>
  <c r="A210" i="31"/>
  <c r="A211" i="31"/>
  <c r="A212" i="31"/>
  <c r="A213" i="31"/>
  <c r="A214" i="31"/>
  <c r="A215" i="31"/>
  <c r="A216" i="31"/>
  <c r="A217" i="31"/>
  <c r="A218" i="31"/>
  <c r="A219" i="31"/>
  <c r="A220" i="31"/>
  <c r="A221" i="31"/>
  <c r="A222" i="31"/>
  <c r="A223" i="31"/>
  <c r="A224" i="31"/>
  <c r="A225" i="31"/>
  <c r="A226" i="31"/>
  <c r="A227" i="31"/>
  <c r="A228" i="31"/>
  <c r="A229" i="31"/>
  <c r="A230" i="31"/>
  <c r="A231" i="31"/>
  <c r="A232" i="31"/>
  <c r="A233" i="31"/>
  <c r="A234" i="31"/>
  <c r="A235" i="31"/>
  <c r="A236" i="31"/>
  <c r="A237" i="31"/>
  <c r="A238" i="31"/>
  <c r="A239" i="31"/>
  <c r="A240" i="31"/>
  <c r="A241" i="31"/>
  <c r="A242" i="31"/>
  <c r="A243" i="31"/>
  <c r="A244" i="31"/>
  <c r="A245" i="31"/>
  <c r="A246" i="31"/>
  <c r="A247" i="31"/>
  <c r="A248" i="31"/>
  <c r="A249" i="31"/>
  <c r="A250" i="31"/>
  <c r="A251" i="31"/>
  <c r="A252" i="31"/>
  <c r="A253" i="31"/>
  <c r="A254" i="31"/>
  <c r="A255" i="31"/>
  <c r="A256" i="31"/>
  <c r="A257" i="31"/>
  <c r="A258" i="31"/>
  <c r="A259" i="31"/>
  <c r="A260" i="31"/>
  <c r="A261" i="31"/>
  <c r="A262" i="31"/>
  <c r="A263" i="31"/>
  <c r="A264" i="31"/>
  <c r="A265" i="31"/>
  <c r="A266" i="31"/>
  <c r="A267" i="31"/>
  <c r="A268" i="31"/>
  <c r="A269" i="31"/>
  <c r="A270" i="31"/>
  <c r="A271" i="31"/>
  <c r="A272" i="31"/>
  <c r="A273" i="31"/>
  <c r="A274" i="31"/>
  <c r="A275" i="31"/>
  <c r="A276" i="31"/>
  <c r="A277" i="31"/>
  <c r="A278" i="31"/>
  <c r="A279" i="31"/>
  <c r="A280" i="31"/>
  <c r="A281" i="31"/>
  <c r="A282" i="31"/>
  <c r="A283" i="31"/>
  <c r="A284" i="31"/>
  <c r="A285" i="31"/>
  <c r="A286" i="31"/>
  <c r="A287" i="31"/>
  <c r="A288" i="31"/>
  <c r="A289" i="31"/>
  <c r="A290" i="31"/>
  <c r="A291" i="31"/>
  <c r="A292" i="31"/>
  <c r="A293" i="31"/>
  <c r="A294" i="31"/>
  <c r="A295" i="31"/>
  <c r="A296" i="31"/>
  <c r="A297" i="31"/>
  <c r="A298" i="31"/>
  <c r="A299" i="31"/>
  <c r="A300" i="31"/>
  <c r="A301" i="31"/>
  <c r="A302" i="31"/>
  <c r="A303" i="31"/>
  <c r="A304" i="31"/>
  <c r="A305" i="31"/>
  <c r="A306" i="31"/>
  <c r="A307" i="31"/>
  <c r="A308" i="31"/>
  <c r="A309" i="31"/>
  <c r="A310" i="31"/>
  <c r="A311" i="31"/>
  <c r="A312" i="31"/>
  <c r="A313" i="31"/>
  <c r="A314" i="31"/>
  <c r="A315" i="31"/>
  <c r="A316" i="31"/>
  <c r="A317" i="31"/>
  <c r="A318" i="31"/>
  <c r="A319" i="31"/>
  <c r="A320" i="31"/>
  <c r="A321" i="31"/>
  <c r="A322" i="31"/>
  <c r="A323" i="31"/>
  <c r="A324" i="31"/>
  <c r="A325" i="31"/>
  <c r="A326" i="31"/>
  <c r="A327" i="31"/>
  <c r="A328" i="31"/>
  <c r="A329" i="31"/>
  <c r="A330" i="31"/>
  <c r="A331" i="31"/>
  <c r="A332" i="31"/>
  <c r="A333" i="31"/>
  <c r="A334" i="31"/>
  <c r="A335" i="31"/>
  <c r="A336" i="31"/>
  <c r="A337" i="31"/>
  <c r="A338" i="31"/>
  <c r="A339" i="31"/>
  <c r="A340" i="31"/>
  <c r="A341" i="31"/>
  <c r="A342" i="31"/>
  <c r="A343" i="31"/>
  <c r="A344" i="31"/>
  <c r="A345" i="31"/>
  <c r="A346" i="31"/>
  <c r="A347" i="31"/>
  <c r="A348" i="31"/>
  <c r="A349" i="31"/>
  <c r="A350" i="31"/>
  <c r="A351" i="31"/>
  <c r="A352" i="31"/>
  <c r="A353" i="31"/>
  <c r="A354" i="31"/>
  <c r="A355" i="31"/>
  <c r="A356" i="31"/>
  <c r="A357" i="31"/>
  <c r="A358" i="31"/>
  <c r="A359" i="31"/>
  <c r="A360" i="31"/>
  <c r="A361" i="31"/>
  <c r="A362" i="31"/>
  <c r="A363" i="31"/>
  <c r="A364" i="31"/>
  <c r="A365" i="31"/>
  <c r="A366" i="31"/>
  <c r="A367" i="31"/>
  <c r="A368" i="31"/>
  <c r="A369" i="31"/>
  <c r="A370" i="31"/>
  <c r="A371" i="31"/>
  <c r="A372" i="31"/>
  <c r="A373" i="31"/>
  <c r="A374" i="31"/>
  <c r="A375" i="31"/>
  <c r="A376" i="31"/>
  <c r="A377" i="31"/>
  <c r="A378" i="31"/>
  <c r="A379" i="31"/>
  <c r="A380" i="31"/>
  <c r="A381" i="31"/>
  <c r="A382" i="31"/>
  <c r="A383" i="31"/>
  <c r="A384" i="31"/>
  <c r="A385" i="31"/>
  <c r="A386" i="31"/>
  <c r="A387" i="31"/>
  <c r="A388" i="31"/>
  <c r="A389" i="31"/>
  <c r="A390" i="31"/>
  <c r="A391" i="31"/>
  <c r="A392" i="31"/>
  <c r="A393" i="31"/>
  <c r="A394" i="31"/>
  <c r="A395" i="31"/>
  <c r="A396" i="31"/>
  <c r="A397" i="31"/>
  <c r="A398" i="31"/>
  <c r="A399" i="31"/>
  <c r="A400" i="31"/>
  <c r="A401" i="31"/>
  <c r="A402" i="31"/>
  <c r="A403" i="31"/>
  <c r="A404" i="31"/>
  <c r="A405" i="31"/>
  <c r="A406" i="31"/>
  <c r="A407" i="31"/>
  <c r="A408" i="31"/>
  <c r="A409" i="31"/>
  <c r="A410" i="31"/>
  <c r="A411" i="31"/>
  <c r="A412" i="31"/>
  <c r="A413" i="31"/>
  <c r="A414" i="31"/>
  <c r="A415" i="31"/>
  <c r="A416" i="31"/>
  <c r="A417" i="31"/>
  <c r="A418" i="31"/>
  <c r="A419" i="31"/>
  <c r="A420" i="31"/>
  <c r="A421" i="31"/>
  <c r="A422" i="31"/>
  <c r="A423" i="31"/>
  <c r="A424" i="31"/>
  <c r="A425" i="31"/>
  <c r="A426" i="31"/>
  <c r="A427" i="31"/>
  <c r="A428" i="31"/>
  <c r="A429" i="31"/>
  <c r="A430" i="31"/>
  <c r="A431" i="31"/>
  <c r="A432" i="31"/>
  <c r="A433" i="31"/>
  <c r="A434" i="31"/>
  <c r="A435" i="31"/>
  <c r="A436" i="31"/>
  <c r="A437" i="31"/>
  <c r="A438" i="31"/>
  <c r="A439" i="31"/>
  <c r="A440" i="31"/>
  <c r="A441" i="31"/>
  <c r="A442" i="31"/>
  <c r="A443" i="31"/>
  <c r="A444" i="31"/>
  <c r="A445" i="31"/>
  <c r="A446" i="31"/>
  <c r="A447" i="31"/>
  <c r="A448" i="31"/>
  <c r="A449" i="31"/>
  <c r="A450" i="31"/>
  <c r="A451" i="31"/>
  <c r="A452" i="31"/>
  <c r="A453" i="31"/>
  <c r="A454" i="31"/>
  <c r="A455" i="31"/>
  <c r="A456" i="31"/>
  <c r="A457" i="31"/>
  <c r="A458" i="31"/>
  <c r="A459" i="31"/>
  <c r="A460" i="31"/>
  <c r="A461" i="31"/>
  <c r="A462" i="31"/>
  <c r="A463" i="31"/>
  <c r="A464" i="31"/>
  <c r="A465" i="31"/>
  <c r="A466" i="31"/>
  <c r="A467" i="31"/>
  <c r="A468" i="31"/>
  <c r="A469" i="31"/>
  <c r="A470" i="31"/>
  <c r="A471" i="31"/>
  <c r="A472" i="31"/>
  <c r="A473" i="31"/>
  <c r="A474" i="31"/>
  <c r="A475" i="31"/>
  <c r="A476" i="31"/>
  <c r="A477" i="31"/>
  <c r="A478" i="31"/>
  <c r="A479" i="31"/>
  <c r="A480" i="31"/>
  <c r="A481" i="31"/>
  <c r="A482" i="31"/>
  <c r="A483" i="31"/>
  <c r="A484" i="31"/>
  <c r="A485" i="31"/>
  <c r="A486" i="31"/>
  <c r="A487" i="31"/>
  <c r="A488" i="31"/>
  <c r="A489" i="31"/>
  <c r="A490" i="31"/>
  <c r="A491" i="31"/>
  <c r="A492" i="31"/>
  <c r="A493" i="31"/>
  <c r="A494" i="31"/>
  <c r="A495" i="31"/>
  <c r="A496" i="31"/>
  <c r="A497" i="31"/>
  <c r="A498" i="31"/>
  <c r="A499" i="31"/>
  <c r="A500" i="31"/>
  <c r="A501" i="31"/>
  <c r="A502" i="31"/>
  <c r="A503" i="31"/>
  <c r="A504" i="31"/>
  <c r="A505" i="31"/>
  <c r="A506" i="31"/>
  <c r="A507" i="31"/>
  <c r="A508" i="31"/>
  <c r="A509" i="31"/>
  <c r="A510" i="31"/>
  <c r="A511" i="31"/>
  <c r="A512" i="31"/>
  <c r="A513" i="31"/>
  <c r="A514" i="31"/>
  <c r="A515" i="31"/>
  <c r="A516" i="31"/>
  <c r="A517" i="31"/>
  <c r="A518" i="31"/>
  <c r="A519" i="31"/>
  <c r="A520" i="31"/>
  <c r="A521" i="31"/>
  <c r="A522" i="31"/>
  <c r="A523" i="31"/>
  <c r="A524" i="31"/>
  <c r="A525" i="31"/>
  <c r="A526" i="31"/>
  <c r="A527" i="31"/>
  <c r="A528" i="31"/>
  <c r="A529" i="31"/>
  <c r="A530" i="31"/>
  <c r="A531" i="31"/>
  <c r="A532" i="31"/>
  <c r="A533" i="31"/>
  <c r="A534" i="31"/>
  <c r="A535" i="31"/>
  <c r="A536" i="31"/>
  <c r="A537" i="31"/>
  <c r="A538" i="31"/>
  <c r="A539" i="31"/>
  <c r="A540" i="31"/>
  <c r="A541" i="31"/>
  <c r="A542" i="31"/>
  <c r="A543" i="31"/>
  <c r="A544" i="31"/>
  <c r="A545" i="31"/>
  <c r="A546" i="31"/>
  <c r="A547" i="31"/>
  <c r="A548" i="31"/>
  <c r="A549" i="31"/>
  <c r="A550" i="31"/>
  <c r="A551" i="31"/>
  <c r="A552" i="31"/>
  <c r="A553" i="31"/>
  <c r="A554" i="31"/>
  <c r="A555" i="31"/>
  <c r="A556" i="31"/>
  <c r="A557" i="31"/>
  <c r="A558" i="31"/>
  <c r="A559" i="31"/>
  <c r="A560" i="31"/>
  <c r="A561" i="31"/>
  <c r="A562" i="31"/>
  <c r="A563" i="31"/>
  <c r="A564" i="31"/>
  <c r="A565" i="31"/>
  <c r="A566" i="31"/>
  <c r="A567" i="31"/>
  <c r="A568" i="31"/>
  <c r="A569" i="31"/>
  <c r="A570" i="31"/>
  <c r="A571" i="31"/>
  <c r="A572" i="31"/>
  <c r="A573" i="31"/>
  <c r="A574" i="31"/>
  <c r="A575" i="31"/>
  <c r="A576" i="31"/>
  <c r="A577" i="31"/>
  <c r="A578" i="31"/>
  <c r="A579" i="31"/>
  <c r="A580" i="31"/>
  <c r="A581" i="31"/>
  <c r="A582" i="31"/>
  <c r="A583" i="31"/>
  <c r="A584" i="31"/>
  <c r="A585" i="31"/>
  <c r="I184" i="4" l="1"/>
  <c r="C118" i="4"/>
  <c r="I185" i="4"/>
  <c r="I127" i="4"/>
  <c r="C166" i="4"/>
  <c r="E176" i="4"/>
  <c r="I174" i="4"/>
  <c r="D127" i="4"/>
  <c r="C167" i="4"/>
  <c r="E118" i="4"/>
  <c r="I175" i="4"/>
  <c r="D176" i="4"/>
  <c r="E127" i="4"/>
  <c r="I176" i="4"/>
  <c r="E175" i="4"/>
  <c r="E166" i="4"/>
  <c r="D175" i="4"/>
  <c r="I136" i="4"/>
  <c r="E167" i="4"/>
  <c r="C165" i="4"/>
  <c r="E117" i="4"/>
  <c r="G164" i="4"/>
  <c r="D124" i="4"/>
  <c r="E76" i="4"/>
  <c r="D174" i="4"/>
  <c r="K164" i="4"/>
  <c r="I173" i="4"/>
  <c r="F115" i="4"/>
  <c r="I124" i="4"/>
  <c r="F164" i="4"/>
  <c r="I135" i="4"/>
  <c r="E174" i="4"/>
  <c r="I76" i="4"/>
  <c r="I125" i="4"/>
  <c r="D126" i="4"/>
  <c r="K115" i="4"/>
  <c r="D76" i="4"/>
  <c r="C67" i="4"/>
  <c r="I183" i="4"/>
  <c r="E124" i="4"/>
  <c r="I182" i="4"/>
  <c r="E115" i="4"/>
  <c r="E67" i="4"/>
  <c r="I134" i="4"/>
  <c r="E125" i="4"/>
  <c r="E126" i="4"/>
  <c r="C164" i="4"/>
  <c r="I85" i="4"/>
  <c r="E116" i="4"/>
  <c r="D173" i="4"/>
  <c r="C115" i="4"/>
  <c r="C116" i="4"/>
  <c r="D125" i="4"/>
  <c r="E164" i="4"/>
  <c r="E173" i="4"/>
  <c r="I126" i="4"/>
  <c r="C117" i="4"/>
  <c r="E165" i="4"/>
  <c r="G115" i="4"/>
  <c r="I133" i="4"/>
  <c r="E19" i="4"/>
  <c r="D28" i="4"/>
  <c r="E20" i="4"/>
  <c r="D29" i="4"/>
  <c r="E29" i="4"/>
  <c r="I38" i="4"/>
  <c r="I37" i="4"/>
  <c r="I28" i="4"/>
  <c r="I29" i="4"/>
  <c r="N20" i="18"/>
  <c r="E75" i="4"/>
  <c r="F66" i="4"/>
  <c r="E66" i="4"/>
  <c r="D75" i="4"/>
  <c r="I84" i="4"/>
  <c r="G66" i="4"/>
  <c r="K66" i="4"/>
  <c r="C66" i="4"/>
  <c r="I75" i="4"/>
  <c r="AB763" i="31"/>
  <c r="AA763" i="31"/>
  <c r="AB755" i="31"/>
  <c r="AA755" i="31"/>
  <c r="AB743" i="31"/>
  <c r="AA743" i="31"/>
  <c r="AB735" i="31"/>
  <c r="AA735" i="31"/>
  <c r="AB727" i="31"/>
  <c r="AA727" i="31"/>
  <c r="AB723" i="31"/>
  <c r="AA723" i="31"/>
  <c r="AB715" i="31"/>
  <c r="AA715" i="31"/>
  <c r="AB707" i="31"/>
  <c r="AA707" i="31"/>
  <c r="AB699" i="31"/>
  <c r="AA699" i="31"/>
  <c r="AB691" i="31"/>
  <c r="AA691" i="31"/>
  <c r="AB679" i="31"/>
  <c r="AA679" i="31"/>
  <c r="AB671" i="31"/>
  <c r="AA671" i="31"/>
  <c r="AB663" i="31"/>
  <c r="AA663" i="31"/>
  <c r="AB659" i="31"/>
  <c r="AA659" i="31"/>
  <c r="AB651" i="31"/>
  <c r="AA651" i="31"/>
  <c r="AB643" i="31"/>
  <c r="AA643" i="31"/>
  <c r="AB635" i="31"/>
  <c r="AA635" i="31"/>
  <c r="AB627" i="31"/>
  <c r="AA627" i="31"/>
  <c r="AB623" i="31"/>
  <c r="AA623" i="31"/>
  <c r="AB615" i="31"/>
  <c r="AA615" i="31"/>
  <c r="AB607" i="31"/>
  <c r="AA607" i="31"/>
  <c r="AB599" i="31"/>
  <c r="AA599" i="31"/>
  <c r="AB591" i="31"/>
  <c r="AA591" i="31"/>
  <c r="AB583" i="31"/>
  <c r="AA583" i="31"/>
  <c r="AB575" i="31"/>
  <c r="AA575" i="31"/>
  <c r="AB567" i="31"/>
  <c r="AA567" i="31"/>
  <c r="AB559" i="31"/>
  <c r="AA559" i="31"/>
  <c r="AB551" i="31"/>
  <c r="AA551" i="31"/>
  <c r="AB543" i="31"/>
  <c r="AA543" i="31"/>
  <c r="AB535" i="31"/>
  <c r="AA535" i="31"/>
  <c r="AB527" i="31"/>
  <c r="AA527" i="31"/>
  <c r="AB519" i="31"/>
  <c r="AA519" i="31"/>
  <c r="AB507" i="31"/>
  <c r="AA507" i="31"/>
  <c r="AB499" i="31"/>
  <c r="AA499" i="31"/>
  <c r="AB491" i="31"/>
  <c r="AA491" i="31"/>
  <c r="AB483" i="31"/>
  <c r="AA483" i="31"/>
  <c r="AB475" i="31"/>
  <c r="AA475" i="31"/>
  <c r="AB467" i="31"/>
  <c r="AA467" i="31"/>
  <c r="AB459" i="31"/>
  <c r="AA459" i="31"/>
  <c r="AB451" i="31"/>
  <c r="AA451" i="31"/>
  <c r="AB443" i="31"/>
  <c r="AA443" i="31"/>
  <c r="AB435" i="31"/>
  <c r="AA435" i="31"/>
  <c r="AB427" i="31"/>
  <c r="AA427" i="31"/>
  <c r="AB423" i="31"/>
  <c r="AA423" i="31"/>
  <c r="AB415" i="31"/>
  <c r="AA415" i="31"/>
  <c r="AB407" i="31"/>
  <c r="AA407" i="31"/>
  <c r="AB399" i="31"/>
  <c r="AA399" i="31"/>
  <c r="AB391" i="31"/>
  <c r="AA391" i="31"/>
  <c r="AB387" i="31"/>
  <c r="AA387" i="31"/>
  <c r="AB379" i="31"/>
  <c r="AA379" i="31"/>
  <c r="AB371" i="31"/>
  <c r="AA371" i="31"/>
  <c r="AB359" i="31"/>
  <c r="AA359" i="31"/>
  <c r="AB351" i="31"/>
  <c r="AA351" i="31"/>
  <c r="AB339" i="31"/>
  <c r="AA339" i="31"/>
  <c r="AB331" i="31"/>
  <c r="AA331" i="31"/>
  <c r="AB323" i="31"/>
  <c r="AA323" i="31"/>
  <c r="AB315" i="31"/>
  <c r="AA315" i="31"/>
  <c r="AB307" i="31"/>
  <c r="AA307" i="31"/>
  <c r="AB299" i="31"/>
  <c r="AA299" i="31"/>
  <c r="AB291" i="31"/>
  <c r="AA291" i="31"/>
  <c r="AB279" i="31"/>
  <c r="AA279" i="31"/>
  <c r="AB271" i="31"/>
  <c r="AA271" i="31"/>
  <c r="AB259" i="31"/>
  <c r="AA259" i="31"/>
  <c r="AB251" i="31"/>
  <c r="AA251" i="31"/>
  <c r="AB243" i="31"/>
  <c r="AA243" i="31"/>
  <c r="AB235" i="31"/>
  <c r="AA235" i="31"/>
  <c r="AB227" i="31"/>
  <c r="AA227" i="31"/>
  <c r="AB219" i="31"/>
  <c r="AA219" i="31"/>
  <c r="AB211" i="31"/>
  <c r="AA211" i="31"/>
  <c r="AB762" i="31"/>
  <c r="AA762" i="31"/>
  <c r="AB754" i="31"/>
  <c r="AA754" i="31"/>
  <c r="AB742" i="31"/>
  <c r="AA742" i="31"/>
  <c r="AB734" i="31"/>
  <c r="AA734" i="31"/>
  <c r="AB726" i="31"/>
  <c r="AA726" i="31"/>
  <c r="AB718" i="31"/>
  <c r="AA718" i="31"/>
  <c r="AB710" i="31"/>
  <c r="AA710" i="31"/>
  <c r="AB706" i="31"/>
  <c r="AA706" i="31"/>
  <c r="AB698" i="31"/>
  <c r="AA698" i="31"/>
  <c r="AB690" i="31"/>
  <c r="AA690" i="31"/>
  <c r="AB682" i="31"/>
  <c r="AA682" i="31"/>
  <c r="AB674" i="31"/>
  <c r="AA674" i="31"/>
  <c r="AB666" i="31"/>
  <c r="AA666" i="31"/>
  <c r="AB658" i="31"/>
  <c r="AA658" i="31"/>
  <c r="AB650" i="31"/>
  <c r="AA650" i="31"/>
  <c r="AB642" i="31"/>
  <c r="AA642" i="31"/>
  <c r="AB634" i="31"/>
  <c r="AA634" i="31"/>
  <c r="AB626" i="31"/>
  <c r="AA626" i="31"/>
  <c r="AB618" i="31"/>
  <c r="AA618" i="31"/>
  <c r="AB610" i="31"/>
  <c r="AA610" i="31"/>
  <c r="AB602" i="31"/>
  <c r="AA602" i="31"/>
  <c r="AB594" i="31"/>
  <c r="AA594" i="31"/>
  <c r="AB586" i="31"/>
  <c r="AA586" i="31"/>
  <c r="AB578" i="31"/>
  <c r="AA578" i="31"/>
  <c r="AB570" i="31"/>
  <c r="AA570" i="31"/>
  <c r="AB562" i="31"/>
  <c r="AA562" i="31"/>
  <c r="AB550" i="31"/>
  <c r="AA550" i="31"/>
  <c r="AB542" i="31"/>
  <c r="AA542" i="31"/>
  <c r="AB534" i="31"/>
  <c r="AA534" i="31"/>
  <c r="AB526" i="31"/>
  <c r="AA526" i="31"/>
  <c r="AB514" i="31"/>
  <c r="AA514" i="31"/>
  <c r="AB506" i="31"/>
  <c r="AA506" i="31"/>
  <c r="AB502" i="31"/>
  <c r="AA502" i="31"/>
  <c r="AB494" i="31"/>
  <c r="AA494" i="31"/>
  <c r="AB486" i="31"/>
  <c r="AA486" i="31"/>
  <c r="AB478" i="31"/>
  <c r="AA478" i="31"/>
  <c r="AB470" i="31"/>
  <c r="AA470" i="31"/>
  <c r="AB462" i="31"/>
  <c r="AA462" i="31"/>
  <c r="AB454" i="31"/>
  <c r="AA454" i="31"/>
  <c r="AB446" i="31"/>
  <c r="AA446" i="31"/>
  <c r="AB438" i="31"/>
  <c r="AA438" i="31"/>
  <c r="AB430" i="31"/>
  <c r="AA430" i="31"/>
  <c r="AB422" i="31"/>
  <c r="AA422" i="31"/>
  <c r="AB418" i="31"/>
  <c r="AA418" i="31"/>
  <c r="AB410" i="31"/>
  <c r="AA410" i="31"/>
  <c r="AB402" i="31"/>
  <c r="AA402" i="31"/>
  <c r="AB390" i="31"/>
  <c r="AA390" i="31"/>
  <c r="AB382" i="31"/>
  <c r="AA382" i="31"/>
  <c r="AB374" i="31"/>
  <c r="AA374" i="31"/>
  <c r="AB366" i="31"/>
  <c r="AA366" i="31"/>
  <c r="AB358" i="31"/>
  <c r="AA358" i="31"/>
  <c r="AB350" i="31"/>
  <c r="AA350" i="31"/>
  <c r="AB342" i="31"/>
  <c r="AA342" i="31"/>
  <c r="AB334" i="31"/>
  <c r="AA334" i="31"/>
  <c r="AB326" i="31"/>
  <c r="AA326" i="31"/>
  <c r="AB314" i="31"/>
  <c r="AA314" i="31"/>
  <c r="AB306" i="31"/>
  <c r="AA306" i="31"/>
  <c r="AB298" i="31"/>
  <c r="AA298" i="31"/>
  <c r="AB290" i="31"/>
  <c r="AA290" i="31"/>
  <c r="AB282" i="31"/>
  <c r="AA282" i="31"/>
  <c r="AB274" i="31"/>
  <c r="AA274" i="31"/>
  <c r="AB266" i="31"/>
  <c r="AA266" i="31"/>
  <c r="AB258" i="31"/>
  <c r="AA258" i="31"/>
  <c r="AB254" i="31"/>
  <c r="AA254" i="31"/>
  <c r="AB246" i="31"/>
  <c r="AA246" i="31"/>
  <c r="AB238" i="31"/>
  <c r="AA238" i="31"/>
  <c r="AB234" i="31"/>
  <c r="AA234" i="31"/>
  <c r="AB222" i="31"/>
  <c r="AA222" i="31"/>
  <c r="AB218" i="31"/>
  <c r="AA218" i="31"/>
  <c r="AB210" i="31"/>
  <c r="AA210" i="31"/>
  <c r="AB765" i="31"/>
  <c r="AA765" i="31"/>
  <c r="AB761" i="31"/>
  <c r="AA761" i="31"/>
  <c r="AB757" i="31"/>
  <c r="AA757" i="31"/>
  <c r="AB753" i="31"/>
  <c r="AA753" i="31"/>
  <c r="AB749" i="31"/>
  <c r="AA749" i="31"/>
  <c r="AB745" i="31"/>
  <c r="AA745" i="31"/>
  <c r="AB741" i="31"/>
  <c r="AA741" i="31"/>
  <c r="AB737" i="31"/>
  <c r="AA737" i="31"/>
  <c r="AB733" i="31"/>
  <c r="AA733" i="31"/>
  <c r="AB729" i="31"/>
  <c r="AA729" i="31"/>
  <c r="AB725" i="31"/>
  <c r="AA725" i="31"/>
  <c r="AB721" i="31"/>
  <c r="AA721" i="31"/>
  <c r="AB717" i="31"/>
  <c r="AA717" i="31"/>
  <c r="AB713" i="31"/>
  <c r="AA713" i="31"/>
  <c r="AB709" i="31"/>
  <c r="AA709" i="31"/>
  <c r="AB705" i="31"/>
  <c r="AA705" i="31"/>
  <c r="AB701" i="31"/>
  <c r="AA701" i="31"/>
  <c r="AB697" i="31"/>
  <c r="AA697" i="31"/>
  <c r="AB693" i="31"/>
  <c r="AA693" i="31"/>
  <c r="AB689" i="31"/>
  <c r="AA689" i="31"/>
  <c r="AB685" i="31"/>
  <c r="AA685" i="31"/>
  <c r="AB681" i="31"/>
  <c r="AA681" i="31"/>
  <c r="AB677" i="31"/>
  <c r="AA677" i="31"/>
  <c r="AB673" i="31"/>
  <c r="AA673" i="31"/>
  <c r="AB669" i="31"/>
  <c r="AA669" i="31"/>
  <c r="AB665" i="31"/>
  <c r="AA665" i="31"/>
  <c r="AB661" i="31"/>
  <c r="AA661" i="31"/>
  <c r="AB657" i="31"/>
  <c r="AA657" i="31"/>
  <c r="AB653" i="31"/>
  <c r="AA653" i="31"/>
  <c r="AB649" i="31"/>
  <c r="AA649" i="31"/>
  <c r="AB645" i="31"/>
  <c r="AA645" i="31"/>
  <c r="AB641" i="31"/>
  <c r="AA641" i="31"/>
  <c r="AB637" i="31"/>
  <c r="AA637" i="31"/>
  <c r="AB633" i="31"/>
  <c r="AA633" i="31"/>
  <c r="AB629" i="31"/>
  <c r="AA629" i="31"/>
  <c r="AB625" i="31"/>
  <c r="AA625" i="31"/>
  <c r="AB621" i="31"/>
  <c r="AA621" i="31"/>
  <c r="AB617" i="31"/>
  <c r="AA617" i="31"/>
  <c r="AB613" i="31"/>
  <c r="AA613" i="31"/>
  <c r="AB609" i="31"/>
  <c r="AA609" i="31"/>
  <c r="AB605" i="31"/>
  <c r="AA605" i="31"/>
  <c r="AB601" i="31"/>
  <c r="AA601" i="31"/>
  <c r="AB597" i="31"/>
  <c r="AA597" i="31"/>
  <c r="AB593" i="31"/>
  <c r="AA593" i="31"/>
  <c r="AB589" i="31"/>
  <c r="AA589" i="31"/>
  <c r="AB585" i="31"/>
  <c r="AA585" i="31"/>
  <c r="AB581" i="31"/>
  <c r="AA581" i="31"/>
  <c r="AB577" i="31"/>
  <c r="AA577" i="31"/>
  <c r="AB573" i="31"/>
  <c r="AA573" i="31"/>
  <c r="AB569" i="31"/>
  <c r="AA569" i="31"/>
  <c r="AB565" i="31"/>
  <c r="AA565" i="31"/>
  <c r="AB561" i="31"/>
  <c r="AA561" i="31"/>
  <c r="AB557" i="31"/>
  <c r="AA557" i="31"/>
  <c r="AB553" i="31"/>
  <c r="AA553" i="31"/>
  <c r="AB549" i="31"/>
  <c r="AA549" i="31"/>
  <c r="AB545" i="31"/>
  <c r="AA545" i="31"/>
  <c r="AB541" i="31"/>
  <c r="AA541" i="31"/>
  <c r="AB537" i="31"/>
  <c r="AA537" i="31"/>
  <c r="AB533" i="31"/>
  <c r="AA533" i="31"/>
  <c r="AB529" i="31"/>
  <c r="AA529" i="31"/>
  <c r="AB525" i="31"/>
  <c r="AA525" i="31"/>
  <c r="AB521" i="31"/>
  <c r="AA521" i="31"/>
  <c r="AB517" i="31"/>
  <c r="AA517" i="31"/>
  <c r="AB513" i="31"/>
  <c r="AA513" i="31"/>
  <c r="AB509" i="31"/>
  <c r="AA509" i="31"/>
  <c r="AB505" i="31"/>
  <c r="AA505" i="31"/>
  <c r="AB501" i="31"/>
  <c r="AA501" i="31"/>
  <c r="AB497" i="31"/>
  <c r="AA497" i="31"/>
  <c r="AB493" i="31"/>
  <c r="AA493" i="31"/>
  <c r="AB489" i="31"/>
  <c r="AA489" i="31"/>
  <c r="AB485" i="31"/>
  <c r="AA485" i="31"/>
  <c r="AB481" i="31"/>
  <c r="AA481" i="31"/>
  <c r="AB477" i="31"/>
  <c r="AA477" i="31"/>
  <c r="AB473" i="31"/>
  <c r="AA473" i="31"/>
  <c r="AB469" i="31"/>
  <c r="AA469" i="31"/>
  <c r="AB465" i="31"/>
  <c r="AA465" i="31"/>
  <c r="AB461" i="31"/>
  <c r="AA461" i="31"/>
  <c r="AB457" i="31"/>
  <c r="AA457" i="31"/>
  <c r="AB453" i="31"/>
  <c r="AA453" i="31"/>
  <c r="AB449" i="31"/>
  <c r="AA449" i="31"/>
  <c r="AB445" i="31"/>
  <c r="AA445" i="31"/>
  <c r="AB441" i="31"/>
  <c r="AA441" i="31"/>
  <c r="AB437" i="31"/>
  <c r="AA437" i="31"/>
  <c r="AB433" i="31"/>
  <c r="AA433" i="31"/>
  <c r="AB429" i="31"/>
  <c r="AA429" i="31"/>
  <c r="AB425" i="31"/>
  <c r="AA425" i="31"/>
  <c r="AB421" i="31"/>
  <c r="AA421" i="31"/>
  <c r="AB417" i="31"/>
  <c r="AA417" i="31"/>
  <c r="AB413" i="31"/>
  <c r="AA413" i="31"/>
  <c r="AB409" i="31"/>
  <c r="AA409" i="31"/>
  <c r="AB405" i="31"/>
  <c r="AA405" i="31"/>
  <c r="AB401" i="31"/>
  <c r="AA401" i="31"/>
  <c r="AB397" i="31"/>
  <c r="AA397" i="31"/>
  <c r="AB393" i="31"/>
  <c r="AA393" i="31"/>
  <c r="AB389" i="31"/>
  <c r="AA389" i="31"/>
  <c r="AB385" i="31"/>
  <c r="AA385" i="31"/>
  <c r="AB381" i="31"/>
  <c r="AA381" i="31"/>
  <c r="AB377" i="31"/>
  <c r="AA377" i="31"/>
  <c r="AB373" i="31"/>
  <c r="AA373" i="31"/>
  <c r="AB369" i="31"/>
  <c r="AA369" i="31"/>
  <c r="AB365" i="31"/>
  <c r="AA365" i="31"/>
  <c r="AB361" i="31"/>
  <c r="AA361" i="31"/>
  <c r="AB357" i="31"/>
  <c r="AA357" i="31"/>
  <c r="AB353" i="31"/>
  <c r="AA353" i="31"/>
  <c r="AB349" i="31"/>
  <c r="AA349" i="31"/>
  <c r="AB345" i="31"/>
  <c r="AA345" i="31"/>
  <c r="AB341" i="31"/>
  <c r="AA341" i="31"/>
  <c r="AB337" i="31"/>
  <c r="AA337" i="31"/>
  <c r="AB333" i="31"/>
  <c r="AA333" i="31"/>
  <c r="AB329" i="31"/>
  <c r="AA329" i="31"/>
  <c r="AB325" i="31"/>
  <c r="AA325" i="31"/>
  <c r="AB321" i="31"/>
  <c r="AA321" i="31"/>
  <c r="AB317" i="31"/>
  <c r="AA317" i="31"/>
  <c r="AB313" i="31"/>
  <c r="AA313" i="31"/>
  <c r="AB309" i="31"/>
  <c r="AA309" i="31"/>
  <c r="AB305" i="31"/>
  <c r="AA305" i="31"/>
  <c r="AB301" i="31"/>
  <c r="AA301" i="31"/>
  <c r="AB297" i="31"/>
  <c r="AA297" i="31"/>
  <c r="AB293" i="31"/>
  <c r="AA293" i="31"/>
  <c r="AB289" i="31"/>
  <c r="AA289" i="31"/>
  <c r="AB285" i="31"/>
  <c r="AA285" i="31"/>
  <c r="AB281" i="31"/>
  <c r="AA281" i="31"/>
  <c r="AB277" i="31"/>
  <c r="AA277" i="31"/>
  <c r="AB273" i="31"/>
  <c r="AA273" i="31"/>
  <c r="AB269" i="31"/>
  <c r="AA269" i="31"/>
  <c r="AB265" i="31"/>
  <c r="AA265" i="31"/>
  <c r="AB261" i="31"/>
  <c r="AA261" i="31"/>
  <c r="AB257" i="31"/>
  <c r="AA257" i="31"/>
  <c r="AB253" i="31"/>
  <c r="AA253" i="31"/>
  <c r="AB249" i="31"/>
  <c r="AA249" i="31"/>
  <c r="AB245" i="31"/>
  <c r="AA245" i="31"/>
  <c r="AB241" i="31"/>
  <c r="AA241" i="31"/>
  <c r="AB237" i="31"/>
  <c r="AA237" i="31"/>
  <c r="AB233" i="31"/>
  <c r="AA233" i="31"/>
  <c r="AB229" i="31"/>
  <c r="AA229" i="31"/>
  <c r="AB225" i="31"/>
  <c r="AA225" i="31"/>
  <c r="AB221" i="31"/>
  <c r="AA221" i="31"/>
  <c r="AB217" i="31"/>
  <c r="AA217" i="31"/>
  <c r="AB213" i="31"/>
  <c r="AA213" i="31"/>
  <c r="AB209" i="31"/>
  <c r="AA209" i="31"/>
  <c r="AB205" i="31"/>
  <c r="AA205" i="31"/>
  <c r="AB759" i="31"/>
  <c r="AA759" i="31"/>
  <c r="AB751" i="31"/>
  <c r="AA751" i="31"/>
  <c r="AB747" i="31"/>
  <c r="AA747" i="31"/>
  <c r="AB739" i="31"/>
  <c r="AA739" i="31"/>
  <c r="AB731" i="31"/>
  <c r="AA731" i="31"/>
  <c r="AB719" i="31"/>
  <c r="AA719" i="31"/>
  <c r="AB711" i="31"/>
  <c r="AA711" i="31"/>
  <c r="AB703" i="31"/>
  <c r="AA703" i="31"/>
  <c r="AB695" i="31"/>
  <c r="AA695" i="31"/>
  <c r="AB687" i="31"/>
  <c r="AA687" i="31"/>
  <c r="AB683" i="31"/>
  <c r="AA683" i="31"/>
  <c r="AB675" i="31"/>
  <c r="AA675" i="31"/>
  <c r="AB667" i="31"/>
  <c r="AA667" i="31"/>
  <c r="AB655" i="31"/>
  <c r="AA655" i="31"/>
  <c r="AB647" i="31"/>
  <c r="AA647" i="31"/>
  <c r="AB639" i="31"/>
  <c r="AA639" i="31"/>
  <c r="AB631" i="31"/>
  <c r="AA631" i="31"/>
  <c r="AB619" i="31"/>
  <c r="AA619" i="31"/>
  <c r="AB611" i="31"/>
  <c r="AA611" i="31"/>
  <c r="AB603" i="31"/>
  <c r="AA603" i="31"/>
  <c r="AB595" i="31"/>
  <c r="AA595" i="31"/>
  <c r="AB587" i="31"/>
  <c r="AA587" i="31"/>
  <c r="AB579" i="31"/>
  <c r="AA579" i="31"/>
  <c r="AB571" i="31"/>
  <c r="AA571" i="31"/>
  <c r="AB563" i="31"/>
  <c r="AA563" i="31"/>
  <c r="AB555" i="31"/>
  <c r="AA555" i="31"/>
  <c r="AB547" i="31"/>
  <c r="AA547" i="31"/>
  <c r="AB539" i="31"/>
  <c r="AA539" i="31"/>
  <c r="AB531" i="31"/>
  <c r="AA531" i="31"/>
  <c r="AB523" i="31"/>
  <c r="AA523" i="31"/>
  <c r="AB515" i="31"/>
  <c r="AA515" i="31"/>
  <c r="AB511" i="31"/>
  <c r="AA511" i="31"/>
  <c r="AB503" i="31"/>
  <c r="AA503" i="31"/>
  <c r="AB495" i="31"/>
  <c r="AA495" i="31"/>
  <c r="AB487" i="31"/>
  <c r="AA487" i="31"/>
  <c r="AB479" i="31"/>
  <c r="AA479" i="31"/>
  <c r="AB471" i="31"/>
  <c r="AA471" i="31"/>
  <c r="AB463" i="31"/>
  <c r="AA463" i="31"/>
  <c r="AB455" i="31"/>
  <c r="AA455" i="31"/>
  <c r="AB447" i="31"/>
  <c r="AA447" i="31"/>
  <c r="AB439" i="31"/>
  <c r="AA439" i="31"/>
  <c r="AB431" i="31"/>
  <c r="AA431" i="31"/>
  <c r="AB419" i="31"/>
  <c r="AA419" i="31"/>
  <c r="AB411" i="31"/>
  <c r="AA411" i="31"/>
  <c r="AB403" i="31"/>
  <c r="AA403" i="31"/>
  <c r="AB395" i="31"/>
  <c r="AA395" i="31"/>
  <c r="AB383" i="31"/>
  <c r="AA383" i="31"/>
  <c r="AB375" i="31"/>
  <c r="AA375" i="31"/>
  <c r="AB367" i="31"/>
  <c r="AA367" i="31"/>
  <c r="AB363" i="31"/>
  <c r="AA363" i="31"/>
  <c r="AB355" i="31"/>
  <c r="AA355" i="31"/>
  <c r="AB347" i="31"/>
  <c r="AA347" i="31"/>
  <c r="AB343" i="31"/>
  <c r="AA343" i="31"/>
  <c r="AB335" i="31"/>
  <c r="AA335" i="31"/>
  <c r="AB327" i="31"/>
  <c r="AA327" i="31"/>
  <c r="AB319" i="31"/>
  <c r="AA319" i="31"/>
  <c r="AB311" i="31"/>
  <c r="AA311" i="31"/>
  <c r="AB303" i="31"/>
  <c r="AA303" i="31"/>
  <c r="AB295" i="31"/>
  <c r="AA295" i="31"/>
  <c r="AB287" i="31"/>
  <c r="AA287" i="31"/>
  <c r="AB283" i="31"/>
  <c r="AA283" i="31"/>
  <c r="AB275" i="31"/>
  <c r="AA275" i="31"/>
  <c r="AB267" i="31"/>
  <c r="AA267" i="31"/>
  <c r="AB263" i="31"/>
  <c r="AA263" i="31"/>
  <c r="AB255" i="31"/>
  <c r="AA255" i="31"/>
  <c r="AB247" i="31"/>
  <c r="AA247" i="31"/>
  <c r="AB239" i="31"/>
  <c r="AA239" i="31"/>
  <c r="AB231" i="31"/>
  <c r="AA231" i="31"/>
  <c r="AB223" i="31"/>
  <c r="AA223" i="31"/>
  <c r="AB215" i="31"/>
  <c r="AA215" i="31"/>
  <c r="AB207" i="31"/>
  <c r="AA207" i="31"/>
  <c r="AB766" i="31"/>
  <c r="AA766" i="31"/>
  <c r="AB758" i="31"/>
  <c r="AA758" i="31"/>
  <c r="AB750" i="31"/>
  <c r="AA750" i="31"/>
  <c r="AB746" i="31"/>
  <c r="AA746" i="31"/>
  <c r="AB738" i="31"/>
  <c r="AA738" i="31"/>
  <c r="AB730" i="31"/>
  <c r="AA730" i="31"/>
  <c r="AB722" i="31"/>
  <c r="AA722" i="31"/>
  <c r="AB714" i="31"/>
  <c r="AA714" i="31"/>
  <c r="AB702" i="31"/>
  <c r="AA702" i="31"/>
  <c r="AB694" i="31"/>
  <c r="AA694" i="31"/>
  <c r="AB686" i="31"/>
  <c r="AA686" i="31"/>
  <c r="AB678" i="31"/>
  <c r="AA678" i="31"/>
  <c r="AB670" i="31"/>
  <c r="AA670" i="31"/>
  <c r="AB662" i="31"/>
  <c r="AA662" i="31"/>
  <c r="AB654" i="31"/>
  <c r="AA654" i="31"/>
  <c r="AB646" i="31"/>
  <c r="AA646" i="31"/>
  <c r="AB638" i="31"/>
  <c r="AA638" i="31"/>
  <c r="AB630" i="31"/>
  <c r="AA630" i="31"/>
  <c r="AB622" i="31"/>
  <c r="AA622" i="31"/>
  <c r="AB614" i="31"/>
  <c r="AA614" i="31"/>
  <c r="AB606" i="31"/>
  <c r="AA606" i="31"/>
  <c r="AB598" i="31"/>
  <c r="AA598" i="31"/>
  <c r="AB590" i="31"/>
  <c r="AA590" i="31"/>
  <c r="AB582" i="31"/>
  <c r="AA582" i="31"/>
  <c r="AB574" i="31"/>
  <c r="AA574" i="31"/>
  <c r="AB566" i="31"/>
  <c r="AA566" i="31"/>
  <c r="AB558" i="31"/>
  <c r="AA558" i="31"/>
  <c r="AB554" i="31"/>
  <c r="AA554" i="31"/>
  <c r="AB546" i="31"/>
  <c r="AA546" i="31"/>
  <c r="AB538" i="31"/>
  <c r="AA538" i="31"/>
  <c r="AB530" i="31"/>
  <c r="AA530" i="31"/>
  <c r="AB522" i="31"/>
  <c r="AA522" i="31"/>
  <c r="AB518" i="31"/>
  <c r="AA518" i="31"/>
  <c r="AB510" i="31"/>
  <c r="AA510" i="31"/>
  <c r="AB498" i="31"/>
  <c r="AA498" i="31"/>
  <c r="AB490" i="31"/>
  <c r="AA490" i="31"/>
  <c r="AB482" i="31"/>
  <c r="AA482" i="31"/>
  <c r="AB474" i="31"/>
  <c r="AA474" i="31"/>
  <c r="AB466" i="31"/>
  <c r="AA466" i="31"/>
  <c r="AB458" i="31"/>
  <c r="AA458" i="31"/>
  <c r="AB450" i="31"/>
  <c r="AA450" i="31"/>
  <c r="AB442" i="31"/>
  <c r="AA442" i="31"/>
  <c r="AB434" i="31"/>
  <c r="AA434" i="31"/>
  <c r="AB426" i="31"/>
  <c r="AA426" i="31"/>
  <c r="AB414" i="31"/>
  <c r="AA414" i="31"/>
  <c r="AB406" i="31"/>
  <c r="AA406" i="31"/>
  <c r="AB398" i="31"/>
  <c r="AA398" i="31"/>
  <c r="AB394" i="31"/>
  <c r="AA394" i="31"/>
  <c r="AB386" i="31"/>
  <c r="AA386" i="31"/>
  <c r="AB378" i="31"/>
  <c r="AA378" i="31"/>
  <c r="AB370" i="31"/>
  <c r="AA370" i="31"/>
  <c r="AB362" i="31"/>
  <c r="AA362" i="31"/>
  <c r="AB354" i="31"/>
  <c r="AA354" i="31"/>
  <c r="AB346" i="31"/>
  <c r="AA346" i="31"/>
  <c r="AB338" i="31"/>
  <c r="AA338" i="31"/>
  <c r="AB330" i="31"/>
  <c r="AA330" i="31"/>
  <c r="AB322" i="31"/>
  <c r="AA322" i="31"/>
  <c r="AB318" i="31"/>
  <c r="AA318" i="31"/>
  <c r="AB310" i="31"/>
  <c r="AA310" i="31"/>
  <c r="AB302" i="31"/>
  <c r="AA302" i="31"/>
  <c r="AB294" i="31"/>
  <c r="AA294" i="31"/>
  <c r="AB286" i="31"/>
  <c r="AA286" i="31"/>
  <c r="AB278" i="31"/>
  <c r="AA278" i="31"/>
  <c r="AB270" i="31"/>
  <c r="AA270" i="31"/>
  <c r="AB262" i="31"/>
  <c r="AA262" i="31"/>
  <c r="AB250" i="31"/>
  <c r="AA250" i="31"/>
  <c r="AB242" i="31"/>
  <c r="AA242" i="31"/>
  <c r="AB230" i="31"/>
  <c r="AA230" i="31"/>
  <c r="AB226" i="31"/>
  <c r="AA226" i="31"/>
  <c r="AB214" i="31"/>
  <c r="AA214" i="31"/>
  <c r="AB206" i="31"/>
  <c r="AA206" i="31"/>
  <c r="AB764" i="31"/>
  <c r="AA764" i="31"/>
  <c r="AB760" i="31"/>
  <c r="AA760" i="31"/>
  <c r="AB756" i="31"/>
  <c r="AA756" i="31"/>
  <c r="AB752" i="31"/>
  <c r="AA752" i="31"/>
  <c r="AB748" i="31"/>
  <c r="AA748" i="31"/>
  <c r="AB744" i="31"/>
  <c r="AA744" i="31"/>
  <c r="AB740" i="31"/>
  <c r="AA740" i="31"/>
  <c r="AB736" i="31"/>
  <c r="AA736" i="31"/>
  <c r="AB732" i="31"/>
  <c r="AA732" i="31"/>
  <c r="AB728" i="31"/>
  <c r="AA728" i="31"/>
  <c r="AB724" i="31"/>
  <c r="AA724" i="31"/>
  <c r="AB720" i="31"/>
  <c r="AA720" i="31"/>
  <c r="AB716" i="31"/>
  <c r="AA716" i="31"/>
  <c r="AB712" i="31"/>
  <c r="AA712" i="31"/>
  <c r="AB708" i="31"/>
  <c r="AA708" i="31"/>
  <c r="AB704" i="31"/>
  <c r="AA704" i="31"/>
  <c r="AB700" i="31"/>
  <c r="AA700" i="31"/>
  <c r="AB696" i="31"/>
  <c r="AA696" i="31"/>
  <c r="AB692" i="31"/>
  <c r="AA692" i="31"/>
  <c r="AB688" i="31"/>
  <c r="AA688" i="31"/>
  <c r="AB684" i="31"/>
  <c r="AA684" i="31"/>
  <c r="AB680" i="31"/>
  <c r="AA680" i="31"/>
  <c r="AB676" i="31"/>
  <c r="AA676" i="31"/>
  <c r="AB672" i="31"/>
  <c r="AA672" i="31"/>
  <c r="AB668" i="31"/>
  <c r="AA668" i="31"/>
  <c r="AB664" i="31"/>
  <c r="AA664" i="31"/>
  <c r="AB660" i="31"/>
  <c r="AA660" i="31"/>
  <c r="AB656" i="31"/>
  <c r="AA656" i="31"/>
  <c r="AB652" i="31"/>
  <c r="AA652" i="31"/>
  <c r="AB648" i="31"/>
  <c r="AA648" i="31"/>
  <c r="AB644" i="31"/>
  <c r="AA644" i="31"/>
  <c r="AB640" i="31"/>
  <c r="AA640" i="31"/>
  <c r="AB636" i="31"/>
  <c r="AA636" i="31"/>
  <c r="AB632" i="31"/>
  <c r="AA632" i="31"/>
  <c r="AB628" i="31"/>
  <c r="AA628" i="31"/>
  <c r="AB624" i="31"/>
  <c r="AA624" i="31"/>
  <c r="AB620" i="31"/>
  <c r="AA620" i="31"/>
  <c r="AB616" i="31"/>
  <c r="AA616" i="31"/>
  <c r="AB612" i="31"/>
  <c r="AA612" i="31"/>
  <c r="AB608" i="31"/>
  <c r="AA608" i="31"/>
  <c r="AB604" i="31"/>
  <c r="AA604" i="31"/>
  <c r="AB600" i="31"/>
  <c r="AA600" i="31"/>
  <c r="AB596" i="31"/>
  <c r="AA596" i="31"/>
  <c r="AB592" i="31"/>
  <c r="AA592" i="31"/>
  <c r="AB588" i="31"/>
  <c r="AA588" i="31"/>
  <c r="AB584" i="31"/>
  <c r="AA584" i="31"/>
  <c r="AB580" i="31"/>
  <c r="AA580" i="31"/>
  <c r="AB576" i="31"/>
  <c r="AA576" i="31"/>
  <c r="AB572" i="31"/>
  <c r="AA572" i="31"/>
  <c r="AB568" i="31"/>
  <c r="AA568" i="31"/>
  <c r="AB564" i="31"/>
  <c r="AA564" i="31"/>
  <c r="AB560" i="31"/>
  <c r="AA560" i="31"/>
  <c r="AB556" i="31"/>
  <c r="AA556" i="31"/>
  <c r="AB552" i="31"/>
  <c r="AA552" i="31"/>
  <c r="AB548" i="31"/>
  <c r="AA548" i="31"/>
  <c r="AB544" i="31"/>
  <c r="AA544" i="31"/>
  <c r="AB540" i="31"/>
  <c r="AA540" i="31"/>
  <c r="AB536" i="31"/>
  <c r="AA536" i="31"/>
  <c r="AB532" i="31"/>
  <c r="AA532" i="31"/>
  <c r="AB528" i="31"/>
  <c r="AA528" i="31"/>
  <c r="AB524" i="31"/>
  <c r="AA524" i="31"/>
  <c r="AB520" i="31"/>
  <c r="AA520" i="31"/>
  <c r="AB516" i="31"/>
  <c r="AA516" i="31"/>
  <c r="AB512" i="31"/>
  <c r="AA512" i="31"/>
  <c r="AB508" i="31"/>
  <c r="AA508" i="31"/>
  <c r="AB504" i="31"/>
  <c r="AA504" i="31"/>
  <c r="AB500" i="31"/>
  <c r="AA500" i="31"/>
  <c r="AB496" i="31"/>
  <c r="AA496" i="31"/>
  <c r="AB492" i="31"/>
  <c r="AA492" i="31"/>
  <c r="AB488" i="31"/>
  <c r="AA488" i="31"/>
  <c r="AB484" i="31"/>
  <c r="AA484" i="31"/>
  <c r="AB480" i="31"/>
  <c r="AA480" i="31"/>
  <c r="AB476" i="31"/>
  <c r="AA476" i="31"/>
  <c r="AB472" i="31"/>
  <c r="AA472" i="31"/>
  <c r="AB468" i="31"/>
  <c r="AA468" i="31"/>
  <c r="AB464" i="31"/>
  <c r="AA464" i="31"/>
  <c r="AB460" i="31"/>
  <c r="AA460" i="31"/>
  <c r="AB456" i="31"/>
  <c r="AA456" i="31"/>
  <c r="AB452" i="31"/>
  <c r="AA452" i="31"/>
  <c r="AB448" i="31"/>
  <c r="AA448" i="31"/>
  <c r="AB444" i="31"/>
  <c r="AA444" i="31"/>
  <c r="AB440" i="31"/>
  <c r="AA440" i="31"/>
  <c r="AB436" i="31"/>
  <c r="AA436" i="31"/>
  <c r="AB432" i="31"/>
  <c r="AA432" i="31"/>
  <c r="AB428" i="31"/>
  <c r="AA428" i="31"/>
  <c r="AB424" i="31"/>
  <c r="AA424" i="31"/>
  <c r="AB420" i="31"/>
  <c r="AA420" i="31"/>
  <c r="AB416" i="31"/>
  <c r="AA416" i="31"/>
  <c r="AB412" i="31"/>
  <c r="AA412" i="31"/>
  <c r="AB408" i="31"/>
  <c r="AA408" i="31"/>
  <c r="AB404" i="31"/>
  <c r="AA404" i="31"/>
  <c r="AB400" i="31"/>
  <c r="AA400" i="31"/>
  <c r="AB396" i="31"/>
  <c r="AA396" i="31"/>
  <c r="AB392" i="31"/>
  <c r="AA392" i="31"/>
  <c r="AB388" i="31"/>
  <c r="AA388" i="31"/>
  <c r="AB384" i="31"/>
  <c r="AA384" i="31"/>
  <c r="AB380" i="31"/>
  <c r="AA380" i="31"/>
  <c r="AB376" i="31"/>
  <c r="AA376" i="31"/>
  <c r="AB372" i="31"/>
  <c r="AA372" i="31"/>
  <c r="AB368" i="31"/>
  <c r="AA368" i="31"/>
  <c r="AB364" i="31"/>
  <c r="AA364" i="31"/>
  <c r="AB360" i="31"/>
  <c r="AA360" i="31"/>
  <c r="AB356" i="31"/>
  <c r="AA356" i="31"/>
  <c r="AB352" i="31"/>
  <c r="AA352" i="31"/>
  <c r="AB348" i="31"/>
  <c r="AA348" i="31"/>
  <c r="AB344" i="31"/>
  <c r="AA344" i="31"/>
  <c r="AB340" i="31"/>
  <c r="AA340" i="31"/>
  <c r="AB336" i="31"/>
  <c r="AA336" i="31"/>
  <c r="AB332" i="31"/>
  <c r="AA332" i="31"/>
  <c r="AB328" i="31"/>
  <c r="AA328" i="31"/>
  <c r="AB324" i="31"/>
  <c r="AA324" i="31"/>
  <c r="AB320" i="31"/>
  <c r="AA320" i="31"/>
  <c r="AB316" i="31"/>
  <c r="AA316" i="31"/>
  <c r="AB312" i="31"/>
  <c r="AA312" i="31"/>
  <c r="AB308" i="31"/>
  <c r="AA308" i="31"/>
  <c r="AB304" i="31"/>
  <c r="AA304" i="31"/>
  <c r="AB300" i="31"/>
  <c r="AA300" i="31"/>
  <c r="AB296" i="31"/>
  <c r="AA296" i="31"/>
  <c r="AB292" i="31"/>
  <c r="AA292" i="31"/>
  <c r="AB288" i="31"/>
  <c r="AA288" i="31"/>
  <c r="AB284" i="31"/>
  <c r="AA284" i="31"/>
  <c r="AB280" i="31"/>
  <c r="AA280" i="31"/>
  <c r="AB276" i="31"/>
  <c r="AA276" i="31"/>
  <c r="AB272" i="31"/>
  <c r="AA272" i="31"/>
  <c r="AB268" i="31"/>
  <c r="AA268" i="31"/>
  <c r="AB264" i="31"/>
  <c r="AA264" i="31"/>
  <c r="AB260" i="31"/>
  <c r="AA260" i="31"/>
  <c r="AB256" i="31"/>
  <c r="AA256" i="31"/>
  <c r="AB252" i="31"/>
  <c r="AA252" i="31"/>
  <c r="AB248" i="31"/>
  <c r="AA248" i="31"/>
  <c r="AB244" i="31"/>
  <c r="AA244" i="31"/>
  <c r="AB240" i="31"/>
  <c r="AA240" i="31"/>
  <c r="AB236" i="31"/>
  <c r="AA236" i="31"/>
  <c r="AB232" i="31"/>
  <c r="AA232" i="31"/>
  <c r="AB228" i="31"/>
  <c r="AA228" i="31"/>
  <c r="AB224" i="31"/>
  <c r="AA224" i="31"/>
  <c r="AB220" i="31"/>
  <c r="AA220" i="31"/>
  <c r="AB216" i="31"/>
  <c r="AA216" i="31"/>
  <c r="AB212" i="31"/>
  <c r="AA212" i="31"/>
  <c r="AB208" i="31"/>
  <c r="AA208" i="31"/>
  <c r="AB204" i="31"/>
  <c r="AA204" i="31"/>
  <c r="N766" i="31"/>
  <c r="P766" i="31" s="1"/>
  <c r="Q766" i="31" s="1"/>
  <c r="N762" i="31"/>
  <c r="O762" i="31" s="1"/>
  <c r="R762" i="31" s="1"/>
  <c r="N758" i="31"/>
  <c r="O758" i="31" s="1"/>
  <c r="R758" i="31" s="1"/>
  <c r="N754" i="31"/>
  <c r="P754" i="31" s="1"/>
  <c r="Q754" i="31" s="1"/>
  <c r="N750" i="31"/>
  <c r="P750" i="31" s="1"/>
  <c r="Q750" i="31" s="1"/>
  <c r="N746" i="31"/>
  <c r="O746" i="31" s="1"/>
  <c r="R746" i="31" s="1"/>
  <c r="N742" i="31"/>
  <c r="O742" i="31" s="1"/>
  <c r="R742" i="31" s="1"/>
  <c r="N738" i="31"/>
  <c r="P738" i="31" s="1"/>
  <c r="Q738" i="31" s="1"/>
  <c r="N734" i="31"/>
  <c r="N730" i="31"/>
  <c r="O730" i="31" s="1"/>
  <c r="R730" i="31" s="1"/>
  <c r="N726" i="31"/>
  <c r="P726" i="31" s="1"/>
  <c r="Q726" i="31" s="1"/>
  <c r="N722" i="31"/>
  <c r="P722" i="31" s="1"/>
  <c r="Q722" i="31" s="1"/>
  <c r="N718" i="31"/>
  <c r="P718" i="31" s="1"/>
  <c r="Q718" i="31" s="1"/>
  <c r="N714" i="31"/>
  <c r="P714" i="31" s="1"/>
  <c r="Q714" i="31" s="1"/>
  <c r="N710" i="31"/>
  <c r="P710" i="31" s="1"/>
  <c r="Q710" i="31" s="1"/>
  <c r="N706" i="31"/>
  <c r="O706" i="31" s="1"/>
  <c r="R706" i="31" s="1"/>
  <c r="N702" i="31"/>
  <c r="P702" i="31" s="1"/>
  <c r="Q702" i="31" s="1"/>
  <c r="N765" i="31"/>
  <c r="P765" i="31" s="1"/>
  <c r="Q765" i="31" s="1"/>
  <c r="N761" i="31"/>
  <c r="P761" i="31" s="1"/>
  <c r="Q761" i="31" s="1"/>
  <c r="N757" i="31"/>
  <c r="N753" i="31"/>
  <c r="P753" i="31" s="1"/>
  <c r="Q753" i="31" s="1"/>
  <c r="N749" i="31"/>
  <c r="P749" i="31" s="1"/>
  <c r="Q749" i="31" s="1"/>
  <c r="N745" i="31"/>
  <c r="O745" i="31" s="1"/>
  <c r="R745" i="31" s="1"/>
  <c r="N741" i="31"/>
  <c r="N737" i="31"/>
  <c r="O737" i="31" s="1"/>
  <c r="R737" i="31" s="1"/>
  <c r="N733" i="31"/>
  <c r="P733" i="31" s="1"/>
  <c r="Q733" i="31" s="1"/>
  <c r="N729" i="31"/>
  <c r="O729" i="31" s="1"/>
  <c r="R729" i="31" s="1"/>
  <c r="N725" i="31"/>
  <c r="N721" i="31"/>
  <c r="O721" i="31" s="1"/>
  <c r="R721" i="31" s="1"/>
  <c r="N717" i="31"/>
  <c r="P717" i="31" s="1"/>
  <c r="Q717" i="31" s="1"/>
  <c r="N713" i="31"/>
  <c r="O713" i="31" s="1"/>
  <c r="R713" i="31" s="1"/>
  <c r="N709" i="31"/>
  <c r="N705" i="31"/>
  <c r="O705" i="31" s="1"/>
  <c r="R705" i="31" s="1"/>
  <c r="N701" i="31"/>
  <c r="P701" i="31" s="1"/>
  <c r="Q701" i="31" s="1"/>
  <c r="N764" i="31"/>
  <c r="O764" i="31" s="1"/>
  <c r="R764" i="31" s="1"/>
  <c r="N760" i="31"/>
  <c r="P760" i="31" s="1"/>
  <c r="Q760" i="31" s="1"/>
  <c r="N756" i="31"/>
  <c r="N752" i="31"/>
  <c r="N748" i="31"/>
  <c r="P748" i="31" s="1"/>
  <c r="Q748" i="31" s="1"/>
  <c r="N744" i="31"/>
  <c r="O744" i="31" s="1"/>
  <c r="R744" i="31" s="1"/>
  <c r="N740" i="31"/>
  <c r="N736" i="31"/>
  <c r="N732" i="31"/>
  <c r="P732" i="31" s="1"/>
  <c r="Q732" i="31" s="1"/>
  <c r="N728" i="31"/>
  <c r="P728" i="31" s="1"/>
  <c r="Q728" i="31" s="1"/>
  <c r="N724" i="31"/>
  <c r="P724" i="31" s="1"/>
  <c r="Q724" i="31" s="1"/>
  <c r="N720" i="31"/>
  <c r="N716" i="31"/>
  <c r="O716" i="31" s="1"/>
  <c r="R716" i="31" s="1"/>
  <c r="N712" i="31"/>
  <c r="P712" i="31" s="1"/>
  <c r="Q712" i="31" s="1"/>
  <c r="N708" i="31"/>
  <c r="O708" i="31" s="1"/>
  <c r="R708" i="31" s="1"/>
  <c r="N704" i="31"/>
  <c r="N700" i="31"/>
  <c r="P700" i="31" s="1"/>
  <c r="Q700" i="31" s="1"/>
  <c r="N698" i="31"/>
  <c r="N694" i="31"/>
  <c r="N690" i="31"/>
  <c r="N686" i="31"/>
  <c r="O686" i="31" s="1"/>
  <c r="R686" i="31" s="1"/>
  <c r="N682" i="31"/>
  <c r="O682" i="31" s="1"/>
  <c r="R682" i="31" s="1"/>
  <c r="N678" i="31"/>
  <c r="O678" i="31" s="1"/>
  <c r="R678" i="31" s="1"/>
  <c r="N674" i="31"/>
  <c r="N670" i="31"/>
  <c r="P670" i="31" s="1"/>
  <c r="Q670" i="31" s="1"/>
  <c r="N666" i="31"/>
  <c r="O666" i="31" s="1"/>
  <c r="R666" i="31" s="1"/>
  <c r="N662" i="31"/>
  <c r="N658" i="31"/>
  <c r="P658" i="31" s="1"/>
  <c r="Q658" i="31" s="1"/>
  <c r="N654" i="31"/>
  <c r="P654" i="31" s="1"/>
  <c r="Q654" i="31" s="1"/>
  <c r="N650" i="31"/>
  <c r="O650" i="31" s="1"/>
  <c r="R650" i="31" s="1"/>
  <c r="N646" i="31"/>
  <c r="P646" i="31" s="1"/>
  <c r="Q646" i="31" s="1"/>
  <c r="N642" i="31"/>
  <c r="O642" i="31" s="1"/>
  <c r="R642" i="31" s="1"/>
  <c r="N638" i="31"/>
  <c r="O638" i="31" s="1"/>
  <c r="R638" i="31" s="1"/>
  <c r="N634" i="31"/>
  <c r="O634" i="31" s="1"/>
  <c r="R634" i="31" s="1"/>
  <c r="N630" i="31"/>
  <c r="P630" i="31" s="1"/>
  <c r="Q630" i="31" s="1"/>
  <c r="N626" i="31"/>
  <c r="P626" i="31" s="1"/>
  <c r="Q626" i="31" s="1"/>
  <c r="N622" i="31"/>
  <c r="P622" i="31" s="1"/>
  <c r="Q622" i="31" s="1"/>
  <c r="N618" i="31"/>
  <c r="P618" i="31" s="1"/>
  <c r="Q618" i="31" s="1"/>
  <c r="N614" i="31"/>
  <c r="P614" i="31" s="1"/>
  <c r="Q614" i="31" s="1"/>
  <c r="N610" i="31"/>
  <c r="P610" i="31" s="1"/>
  <c r="Q610" i="31" s="1"/>
  <c r="N606" i="31"/>
  <c r="O606" i="31" s="1"/>
  <c r="R606" i="31" s="1"/>
  <c r="N602" i="31"/>
  <c r="O602" i="31" s="1"/>
  <c r="R602" i="31" s="1"/>
  <c r="N598" i="31"/>
  <c r="P598" i="31" s="1"/>
  <c r="Q598" i="31" s="1"/>
  <c r="N594" i="31"/>
  <c r="O594" i="31" s="1"/>
  <c r="R594" i="31" s="1"/>
  <c r="N590" i="31"/>
  <c r="O590" i="31" s="1"/>
  <c r="R590" i="31" s="1"/>
  <c r="N586" i="31"/>
  <c r="P586" i="31" s="1"/>
  <c r="Q586" i="31" s="1"/>
  <c r="N582" i="31"/>
  <c r="P582" i="31" s="1"/>
  <c r="Q582" i="31" s="1"/>
  <c r="N578" i="31"/>
  <c r="O578" i="31" s="1"/>
  <c r="R578" i="31" s="1"/>
  <c r="N574" i="31"/>
  <c r="O574" i="31" s="1"/>
  <c r="R574" i="31" s="1"/>
  <c r="N570" i="31"/>
  <c r="O570" i="31" s="1"/>
  <c r="R570" i="31" s="1"/>
  <c r="N566" i="31"/>
  <c r="P566" i="31" s="1"/>
  <c r="Q566" i="31" s="1"/>
  <c r="N562" i="31"/>
  <c r="P562" i="31" s="1"/>
  <c r="Q562" i="31" s="1"/>
  <c r="N558" i="31"/>
  <c r="O558" i="31" s="1"/>
  <c r="R558" i="31" s="1"/>
  <c r="N554" i="31"/>
  <c r="P554" i="31" s="1"/>
  <c r="Q554" i="31" s="1"/>
  <c r="N550" i="31"/>
  <c r="P550" i="31" s="1"/>
  <c r="Q550" i="31" s="1"/>
  <c r="N546" i="31"/>
  <c r="P546" i="31" s="1"/>
  <c r="Q546" i="31" s="1"/>
  <c r="N542" i="31"/>
  <c r="P542" i="31" s="1"/>
  <c r="Q542" i="31" s="1"/>
  <c r="N538" i="31"/>
  <c r="O538" i="31" s="1"/>
  <c r="R538" i="31" s="1"/>
  <c r="N534" i="31"/>
  <c r="P534" i="31" s="1"/>
  <c r="Q534" i="31" s="1"/>
  <c r="N530" i="31"/>
  <c r="O530" i="31" s="1"/>
  <c r="R530" i="31" s="1"/>
  <c r="N526" i="31"/>
  <c r="O526" i="31" s="1"/>
  <c r="R526" i="31" s="1"/>
  <c r="N522" i="31"/>
  <c r="P522" i="31" s="1"/>
  <c r="Q522" i="31" s="1"/>
  <c r="N518" i="31"/>
  <c r="P518" i="31" s="1"/>
  <c r="Q518" i="31" s="1"/>
  <c r="N514" i="31"/>
  <c r="O514" i="31" s="1"/>
  <c r="R514" i="31" s="1"/>
  <c r="N510" i="31"/>
  <c r="O510" i="31" s="1"/>
  <c r="R510" i="31" s="1"/>
  <c r="N506" i="31"/>
  <c r="O506" i="31" s="1"/>
  <c r="R506" i="31" s="1"/>
  <c r="N502" i="31"/>
  <c r="P502" i="31" s="1"/>
  <c r="Q502" i="31" s="1"/>
  <c r="N498" i="31"/>
  <c r="P498" i="31" s="1"/>
  <c r="Q498" i="31" s="1"/>
  <c r="N494" i="31"/>
  <c r="P494" i="31" s="1"/>
  <c r="Q494" i="31" s="1"/>
  <c r="N490" i="31"/>
  <c r="P490" i="31" s="1"/>
  <c r="Q490" i="31" s="1"/>
  <c r="N486" i="31"/>
  <c r="P486" i="31" s="1"/>
  <c r="Q486" i="31" s="1"/>
  <c r="N482" i="31"/>
  <c r="P482" i="31" s="1"/>
  <c r="Q482" i="31" s="1"/>
  <c r="N478" i="31"/>
  <c r="O478" i="31" s="1"/>
  <c r="R478" i="31" s="1"/>
  <c r="N474" i="31"/>
  <c r="O474" i="31" s="1"/>
  <c r="R474" i="31" s="1"/>
  <c r="N470" i="31"/>
  <c r="P470" i="31" s="1"/>
  <c r="Q470" i="31" s="1"/>
  <c r="N466" i="31"/>
  <c r="O466" i="31" s="1"/>
  <c r="R466" i="31" s="1"/>
  <c r="N462" i="31"/>
  <c r="O462" i="31" s="1"/>
  <c r="R462" i="31" s="1"/>
  <c r="N458" i="31"/>
  <c r="P458" i="31" s="1"/>
  <c r="Q458" i="31" s="1"/>
  <c r="N454" i="31"/>
  <c r="P454" i="31" s="1"/>
  <c r="Q454" i="31" s="1"/>
  <c r="N450" i="31"/>
  <c r="O450" i="31" s="1"/>
  <c r="R450" i="31" s="1"/>
  <c r="N446" i="31"/>
  <c r="O446" i="31" s="1"/>
  <c r="R446" i="31" s="1"/>
  <c r="N442" i="31"/>
  <c r="O442" i="31" s="1"/>
  <c r="R442" i="31" s="1"/>
  <c r="N438" i="31"/>
  <c r="P438" i="31" s="1"/>
  <c r="Q438" i="31" s="1"/>
  <c r="N434" i="31"/>
  <c r="P434" i="31" s="1"/>
  <c r="Q434" i="31" s="1"/>
  <c r="N430" i="31"/>
  <c r="O430" i="31" s="1"/>
  <c r="R430" i="31" s="1"/>
  <c r="N426" i="31"/>
  <c r="P426" i="31" s="1"/>
  <c r="Q426" i="31" s="1"/>
  <c r="N422" i="31"/>
  <c r="P422" i="31" s="1"/>
  <c r="Q422" i="31" s="1"/>
  <c r="N418" i="31"/>
  <c r="P418" i="31" s="1"/>
  <c r="Q418" i="31" s="1"/>
  <c r="N414" i="31"/>
  <c r="P414" i="31" s="1"/>
  <c r="Q414" i="31" s="1"/>
  <c r="N410" i="31"/>
  <c r="O410" i="31" s="1"/>
  <c r="R410" i="31" s="1"/>
  <c r="N406" i="31"/>
  <c r="P406" i="31" s="1"/>
  <c r="Q406" i="31" s="1"/>
  <c r="N402" i="31"/>
  <c r="O402" i="31" s="1"/>
  <c r="R402" i="31" s="1"/>
  <c r="N398" i="31"/>
  <c r="O398" i="31" s="1"/>
  <c r="R398" i="31" s="1"/>
  <c r="N394" i="31"/>
  <c r="P394" i="31" s="1"/>
  <c r="Q394" i="31" s="1"/>
  <c r="N390" i="31"/>
  <c r="P390" i="31" s="1"/>
  <c r="Q390" i="31" s="1"/>
  <c r="N386" i="31"/>
  <c r="O386" i="31" s="1"/>
  <c r="R386" i="31" s="1"/>
  <c r="N382" i="31"/>
  <c r="O382" i="31" s="1"/>
  <c r="R382" i="31" s="1"/>
  <c r="N378" i="31"/>
  <c r="O378" i="31" s="1"/>
  <c r="R378" i="31" s="1"/>
  <c r="N374" i="31"/>
  <c r="P374" i="31" s="1"/>
  <c r="Q374" i="31" s="1"/>
  <c r="N370" i="31"/>
  <c r="O370" i="31" s="1"/>
  <c r="R370" i="31" s="1"/>
  <c r="N366" i="31"/>
  <c r="P366" i="31" s="1"/>
  <c r="Q366" i="31" s="1"/>
  <c r="N362" i="31"/>
  <c r="P362" i="31" s="1"/>
  <c r="Q362" i="31" s="1"/>
  <c r="N697" i="31"/>
  <c r="O697" i="31" s="1"/>
  <c r="R697" i="31" s="1"/>
  <c r="N693" i="31"/>
  <c r="N689" i="31"/>
  <c r="N685" i="31"/>
  <c r="P685" i="31" s="1"/>
  <c r="Q685" i="31" s="1"/>
  <c r="N681" i="31"/>
  <c r="N677" i="31"/>
  <c r="N673" i="31"/>
  <c r="O673" i="31" s="1"/>
  <c r="R673" i="31" s="1"/>
  <c r="N669" i="31"/>
  <c r="P669" i="31" s="1"/>
  <c r="Q669" i="31" s="1"/>
  <c r="N665" i="31"/>
  <c r="O665" i="31" s="1"/>
  <c r="R665" i="31" s="1"/>
  <c r="N661" i="31"/>
  <c r="N657" i="31"/>
  <c r="N653" i="31"/>
  <c r="P653" i="31" s="1"/>
  <c r="Q653" i="31" s="1"/>
  <c r="N649" i="31"/>
  <c r="N645" i="31"/>
  <c r="N641" i="31"/>
  <c r="O641" i="31" s="1"/>
  <c r="R641" i="31" s="1"/>
  <c r="N637" i="31"/>
  <c r="P637" i="31" s="1"/>
  <c r="Q637" i="31" s="1"/>
  <c r="N633" i="31"/>
  <c r="O633" i="31" s="1"/>
  <c r="R633" i="31" s="1"/>
  <c r="N629" i="31"/>
  <c r="N625" i="31"/>
  <c r="N621" i="31"/>
  <c r="P621" i="31" s="1"/>
  <c r="Q621" i="31" s="1"/>
  <c r="N617" i="31"/>
  <c r="N613" i="31"/>
  <c r="N609" i="31"/>
  <c r="O609" i="31" s="1"/>
  <c r="R609" i="31" s="1"/>
  <c r="N605" i="31"/>
  <c r="P605" i="31" s="1"/>
  <c r="Q605" i="31" s="1"/>
  <c r="N601" i="31"/>
  <c r="O601" i="31" s="1"/>
  <c r="R601" i="31" s="1"/>
  <c r="N597" i="31"/>
  <c r="N593" i="31"/>
  <c r="N589" i="31"/>
  <c r="P589" i="31" s="1"/>
  <c r="Q589" i="31" s="1"/>
  <c r="N585" i="31"/>
  <c r="N581" i="31"/>
  <c r="N577" i="31"/>
  <c r="O577" i="31" s="1"/>
  <c r="R577" i="31" s="1"/>
  <c r="N573" i="31"/>
  <c r="P573" i="31" s="1"/>
  <c r="Q573" i="31" s="1"/>
  <c r="N569" i="31"/>
  <c r="O569" i="31" s="1"/>
  <c r="R569" i="31" s="1"/>
  <c r="N565" i="31"/>
  <c r="N561" i="31"/>
  <c r="N557" i="31"/>
  <c r="P557" i="31" s="1"/>
  <c r="Q557" i="31" s="1"/>
  <c r="N553" i="31"/>
  <c r="N549" i="31"/>
  <c r="N545" i="31"/>
  <c r="O545" i="31" s="1"/>
  <c r="R545" i="31" s="1"/>
  <c r="N541" i="31"/>
  <c r="P541" i="31" s="1"/>
  <c r="Q541" i="31" s="1"/>
  <c r="N537" i="31"/>
  <c r="O537" i="31" s="1"/>
  <c r="R537" i="31" s="1"/>
  <c r="N533" i="31"/>
  <c r="N529" i="31"/>
  <c r="N525" i="31"/>
  <c r="P525" i="31" s="1"/>
  <c r="Q525" i="31" s="1"/>
  <c r="N521" i="31"/>
  <c r="N517" i="31"/>
  <c r="N513" i="31"/>
  <c r="O513" i="31" s="1"/>
  <c r="R513" i="31" s="1"/>
  <c r="N509" i="31"/>
  <c r="P509" i="31" s="1"/>
  <c r="Q509" i="31" s="1"/>
  <c r="N505" i="31"/>
  <c r="O505" i="31" s="1"/>
  <c r="R505" i="31" s="1"/>
  <c r="N501" i="31"/>
  <c r="N497" i="31"/>
  <c r="N493" i="31"/>
  <c r="P493" i="31" s="1"/>
  <c r="Q493" i="31" s="1"/>
  <c r="N489" i="31"/>
  <c r="N485" i="31"/>
  <c r="N481" i="31"/>
  <c r="O481" i="31" s="1"/>
  <c r="R481" i="31" s="1"/>
  <c r="N477" i="31"/>
  <c r="P477" i="31" s="1"/>
  <c r="Q477" i="31" s="1"/>
  <c r="N473" i="31"/>
  <c r="O473" i="31" s="1"/>
  <c r="R473" i="31" s="1"/>
  <c r="N469" i="31"/>
  <c r="N465" i="31"/>
  <c r="N461" i="31"/>
  <c r="P461" i="31" s="1"/>
  <c r="Q461" i="31" s="1"/>
  <c r="N457" i="31"/>
  <c r="N453" i="31"/>
  <c r="N449" i="31"/>
  <c r="O449" i="31" s="1"/>
  <c r="R449" i="31" s="1"/>
  <c r="N445" i="31"/>
  <c r="P445" i="31" s="1"/>
  <c r="Q445" i="31" s="1"/>
  <c r="N441" i="31"/>
  <c r="O441" i="31" s="1"/>
  <c r="R441" i="31" s="1"/>
  <c r="N437" i="31"/>
  <c r="N433" i="31"/>
  <c r="N429" i="31"/>
  <c r="P429" i="31" s="1"/>
  <c r="Q429" i="31" s="1"/>
  <c r="N425" i="31"/>
  <c r="N421" i="31"/>
  <c r="N417" i="31"/>
  <c r="O417" i="31" s="1"/>
  <c r="R417" i="31" s="1"/>
  <c r="N413" i="31"/>
  <c r="P413" i="31" s="1"/>
  <c r="Q413" i="31" s="1"/>
  <c r="N409" i="31"/>
  <c r="O409" i="31" s="1"/>
  <c r="R409" i="31" s="1"/>
  <c r="N405" i="31"/>
  <c r="N401" i="31"/>
  <c r="N397" i="31"/>
  <c r="P397" i="31" s="1"/>
  <c r="Q397" i="31" s="1"/>
  <c r="N393" i="31"/>
  <c r="N389" i="31"/>
  <c r="N385" i="31"/>
  <c r="O385" i="31" s="1"/>
  <c r="R385" i="31" s="1"/>
  <c r="N381" i="31"/>
  <c r="P381" i="31" s="1"/>
  <c r="Q381" i="31" s="1"/>
  <c r="N377" i="31"/>
  <c r="O377" i="31" s="1"/>
  <c r="R377" i="31" s="1"/>
  <c r="N373" i="31"/>
  <c r="N369" i="31"/>
  <c r="N365" i="31"/>
  <c r="P365" i="31" s="1"/>
  <c r="Q365" i="31" s="1"/>
  <c r="N361" i="31"/>
  <c r="N696" i="31"/>
  <c r="P696" i="31" s="1"/>
  <c r="Q696" i="31" s="1"/>
  <c r="N692" i="31"/>
  <c r="N688" i="31"/>
  <c r="O688" i="31" s="1"/>
  <c r="R688" i="31" s="1"/>
  <c r="N684" i="31"/>
  <c r="P684" i="31" s="1"/>
  <c r="Q684" i="31" s="1"/>
  <c r="N680" i="31"/>
  <c r="N676" i="31"/>
  <c r="O676" i="31" s="1"/>
  <c r="R676" i="31" s="1"/>
  <c r="N672" i="31"/>
  <c r="O672" i="31" s="1"/>
  <c r="R672" i="31" s="1"/>
  <c r="N668" i="31"/>
  <c r="O668" i="31" s="1"/>
  <c r="R668" i="31" s="1"/>
  <c r="N664" i="31"/>
  <c r="N660" i="31"/>
  <c r="P660" i="31" s="1"/>
  <c r="Q660" i="31" s="1"/>
  <c r="N656" i="31"/>
  <c r="P656" i="31" s="1"/>
  <c r="Q656" i="31" s="1"/>
  <c r="N652" i="31"/>
  <c r="N648" i="31"/>
  <c r="P648" i="31" s="1"/>
  <c r="Q648" i="31" s="1"/>
  <c r="N644" i="31"/>
  <c r="P644" i="31" s="1"/>
  <c r="Q644" i="31" s="1"/>
  <c r="N640" i="31"/>
  <c r="O640" i="31" s="1"/>
  <c r="R640" i="31" s="1"/>
  <c r="N636" i="31"/>
  <c r="O636" i="31" s="1"/>
  <c r="R636" i="31" s="1"/>
  <c r="N632" i="31"/>
  <c r="N628" i="31"/>
  <c r="P628" i="31" s="1"/>
  <c r="Q628" i="31" s="1"/>
  <c r="N624" i="31"/>
  <c r="P624" i="31" s="1"/>
  <c r="Q624" i="31" s="1"/>
  <c r="N620" i="31"/>
  <c r="P620" i="31" s="1"/>
  <c r="Q620" i="31" s="1"/>
  <c r="N616" i="31"/>
  <c r="P616" i="31" s="1"/>
  <c r="Q616" i="31" s="1"/>
  <c r="N612" i="31"/>
  <c r="P612" i="31" s="1"/>
  <c r="Q612" i="31" s="1"/>
  <c r="N608" i="31"/>
  <c r="P608" i="31" s="1"/>
  <c r="Q608" i="31" s="1"/>
  <c r="N604" i="31"/>
  <c r="N600" i="31"/>
  <c r="P600" i="31" s="1"/>
  <c r="Q600" i="31" s="1"/>
  <c r="N596" i="31"/>
  <c r="P596" i="31" s="1"/>
  <c r="Q596" i="31" s="1"/>
  <c r="N592" i="31"/>
  <c r="O592" i="31" s="1"/>
  <c r="R592" i="31" s="1"/>
  <c r="N588" i="31"/>
  <c r="O588" i="31" s="1"/>
  <c r="R588" i="31" s="1"/>
  <c r="N584" i="31"/>
  <c r="P584" i="31" s="1"/>
  <c r="Q584" i="31" s="1"/>
  <c r="N580" i="31"/>
  <c r="P580" i="31" s="1"/>
  <c r="Q580" i="31" s="1"/>
  <c r="N576" i="31"/>
  <c r="O576" i="31" s="1"/>
  <c r="R576" i="31" s="1"/>
  <c r="N572" i="31"/>
  <c r="N568" i="31"/>
  <c r="N564" i="31"/>
  <c r="O564" i="31" s="1"/>
  <c r="R564" i="31" s="1"/>
  <c r="N560" i="31"/>
  <c r="O560" i="31" s="1"/>
  <c r="R560" i="31" s="1"/>
  <c r="N556" i="31"/>
  <c r="N552" i="31"/>
  <c r="P552" i="31" s="1"/>
  <c r="Q552" i="31" s="1"/>
  <c r="N548" i="31"/>
  <c r="O548" i="31" s="1"/>
  <c r="R548" i="31" s="1"/>
  <c r="N544" i="31"/>
  <c r="N540" i="31"/>
  <c r="P540" i="31" s="1"/>
  <c r="Q540" i="31" s="1"/>
  <c r="N536" i="31"/>
  <c r="P536" i="31" s="1"/>
  <c r="Q536" i="31" s="1"/>
  <c r="N532" i="31"/>
  <c r="P532" i="31" s="1"/>
  <c r="Q532" i="31" s="1"/>
  <c r="N528" i="31"/>
  <c r="P528" i="31" s="1"/>
  <c r="Q528" i="31" s="1"/>
  <c r="N524" i="31"/>
  <c r="N520" i="31"/>
  <c r="P520" i="31" s="1"/>
  <c r="Q520" i="31" s="1"/>
  <c r="N516" i="31"/>
  <c r="P516" i="31" s="1"/>
  <c r="Q516" i="31" s="1"/>
  <c r="N512" i="31"/>
  <c r="O512" i="31" s="1"/>
  <c r="R512" i="31" s="1"/>
  <c r="N508" i="31"/>
  <c r="O508" i="31" s="1"/>
  <c r="R508" i="31" s="1"/>
  <c r="N504" i="31"/>
  <c r="N500" i="31"/>
  <c r="P500" i="31" s="1"/>
  <c r="Q500" i="31" s="1"/>
  <c r="N496" i="31"/>
  <c r="P496" i="31" s="1"/>
  <c r="Q496" i="31" s="1"/>
  <c r="N492" i="31"/>
  <c r="P492" i="31" s="1"/>
  <c r="Q492" i="31" s="1"/>
  <c r="N488" i="31"/>
  <c r="P488" i="31" s="1"/>
  <c r="Q488" i="31" s="1"/>
  <c r="N484" i="31"/>
  <c r="P484" i="31" s="1"/>
  <c r="Q484" i="31" s="1"/>
  <c r="N480" i="31"/>
  <c r="O480" i="31" s="1"/>
  <c r="R480" i="31" s="1"/>
  <c r="N476" i="31"/>
  <c r="N472" i="31"/>
  <c r="P472" i="31" s="1"/>
  <c r="Q472" i="31" s="1"/>
  <c r="N468" i="31"/>
  <c r="P468" i="31" s="1"/>
  <c r="Q468" i="31" s="1"/>
  <c r="N464" i="31"/>
  <c r="P464" i="31" s="1"/>
  <c r="Q464" i="31" s="1"/>
  <c r="N460" i="31"/>
  <c r="O460" i="31" s="1"/>
  <c r="R460" i="31" s="1"/>
  <c r="N456" i="31"/>
  <c r="P456" i="31" s="1"/>
  <c r="Q456" i="31" s="1"/>
  <c r="N452" i="31"/>
  <c r="O452" i="31" s="1"/>
  <c r="R452" i="31" s="1"/>
  <c r="N448" i="31"/>
  <c r="P448" i="31" s="1"/>
  <c r="Q448" i="31" s="1"/>
  <c r="N444" i="31"/>
  <c r="N440" i="31"/>
  <c r="N436" i="31"/>
  <c r="P436" i="31" s="1"/>
  <c r="Q436" i="31" s="1"/>
  <c r="N432" i="31"/>
  <c r="P432" i="31" s="1"/>
  <c r="Q432" i="31" s="1"/>
  <c r="N428" i="31"/>
  <c r="N424" i="31"/>
  <c r="P424" i="31" s="1"/>
  <c r="Q424" i="31" s="1"/>
  <c r="N420" i="31"/>
  <c r="N416" i="31"/>
  <c r="P416" i="31" s="1"/>
  <c r="Q416" i="31" s="1"/>
  <c r="N412" i="31"/>
  <c r="P412" i="31" s="1"/>
  <c r="Q412" i="31" s="1"/>
  <c r="N408" i="31"/>
  <c r="P408" i="31" s="1"/>
  <c r="Q408" i="31" s="1"/>
  <c r="N404" i="31"/>
  <c r="P404" i="31" s="1"/>
  <c r="Q404" i="31" s="1"/>
  <c r="N400" i="31"/>
  <c r="O400" i="31" s="1"/>
  <c r="R400" i="31" s="1"/>
  <c r="N396" i="31"/>
  <c r="N392" i="31"/>
  <c r="P392" i="31" s="1"/>
  <c r="Q392" i="31" s="1"/>
  <c r="N388" i="31"/>
  <c r="O388" i="31" s="1"/>
  <c r="R388" i="31" s="1"/>
  <c r="N384" i="31"/>
  <c r="O384" i="31" s="1"/>
  <c r="R384" i="31" s="1"/>
  <c r="N380" i="31"/>
  <c r="O380" i="31" s="1"/>
  <c r="R380" i="31" s="1"/>
  <c r="N376" i="31"/>
  <c r="P376" i="31" s="1"/>
  <c r="Q376" i="31" s="1"/>
  <c r="N372" i="31"/>
  <c r="O372" i="31" s="1"/>
  <c r="R372" i="31" s="1"/>
  <c r="N368" i="31"/>
  <c r="P368" i="31" s="1"/>
  <c r="Q368" i="31" s="1"/>
  <c r="N364" i="31"/>
  <c r="P364" i="31" s="1"/>
  <c r="Q364" i="31" s="1"/>
  <c r="N360" i="31"/>
  <c r="P360" i="31" s="1"/>
  <c r="Q360" i="31" s="1"/>
  <c r="N358" i="31"/>
  <c r="O358" i="31" s="1"/>
  <c r="R358" i="31" s="1"/>
  <c r="N354" i="31"/>
  <c r="P354" i="31" s="1"/>
  <c r="Q354" i="31" s="1"/>
  <c r="N350" i="31"/>
  <c r="P350" i="31" s="1"/>
  <c r="Q350" i="31" s="1"/>
  <c r="N346" i="31"/>
  <c r="O346" i="31" s="1"/>
  <c r="R346" i="31" s="1"/>
  <c r="N342" i="31"/>
  <c r="N338" i="31"/>
  <c r="O338" i="31" s="1"/>
  <c r="R338" i="31" s="1"/>
  <c r="N334" i="31"/>
  <c r="N330" i="31"/>
  <c r="N326" i="31"/>
  <c r="N322" i="31"/>
  <c r="N318" i="31"/>
  <c r="N314" i="31"/>
  <c r="O314" i="31" s="1"/>
  <c r="R314" i="31" s="1"/>
  <c r="N310" i="31"/>
  <c r="O310" i="31" s="1"/>
  <c r="R310" i="31" s="1"/>
  <c r="N306" i="31"/>
  <c r="N302" i="31"/>
  <c r="N298" i="31"/>
  <c r="O298" i="31" s="1"/>
  <c r="R298" i="31" s="1"/>
  <c r="N294" i="31"/>
  <c r="O294" i="31" s="1"/>
  <c r="R294" i="31" s="1"/>
  <c r="N290" i="31"/>
  <c r="O290" i="31" s="1"/>
  <c r="R290" i="31" s="1"/>
  <c r="N286" i="31"/>
  <c r="N282" i="31"/>
  <c r="N278" i="31"/>
  <c r="N274" i="31"/>
  <c r="N270" i="31"/>
  <c r="N266" i="31"/>
  <c r="N262" i="31"/>
  <c r="N258" i="31"/>
  <c r="O258" i="31" s="1"/>
  <c r="R258" i="31" s="1"/>
  <c r="N254" i="31"/>
  <c r="N250" i="31"/>
  <c r="O250" i="31" s="1"/>
  <c r="R250" i="31" s="1"/>
  <c r="N246" i="31"/>
  <c r="O246" i="31" s="1"/>
  <c r="R246" i="31" s="1"/>
  <c r="N242" i="31"/>
  <c r="N238" i="31"/>
  <c r="N234" i="31"/>
  <c r="O234" i="31" s="1"/>
  <c r="R234" i="31" s="1"/>
  <c r="N230" i="31"/>
  <c r="N226" i="31"/>
  <c r="O226" i="31" s="1"/>
  <c r="R226" i="31" s="1"/>
  <c r="N222" i="31"/>
  <c r="N218" i="31"/>
  <c r="N214" i="31"/>
  <c r="O214" i="31" s="1"/>
  <c r="R214" i="31" s="1"/>
  <c r="N210" i="31"/>
  <c r="N206" i="31"/>
  <c r="N357" i="31"/>
  <c r="O357" i="31" s="1"/>
  <c r="R357" i="31" s="1"/>
  <c r="N353" i="31"/>
  <c r="N349" i="31"/>
  <c r="N345" i="31"/>
  <c r="O345" i="31" s="1"/>
  <c r="R345" i="31" s="1"/>
  <c r="N341" i="31"/>
  <c r="O341" i="31" s="1"/>
  <c r="R341" i="31" s="1"/>
  <c r="N337" i="31"/>
  <c r="O337" i="31" s="1"/>
  <c r="R337" i="31" s="1"/>
  <c r="N333" i="31"/>
  <c r="N329" i="31"/>
  <c r="O329" i="31" s="1"/>
  <c r="R329" i="31" s="1"/>
  <c r="N325" i="31"/>
  <c r="N321" i="31"/>
  <c r="N317" i="31"/>
  <c r="N313" i="31"/>
  <c r="O313" i="31" s="1"/>
  <c r="R313" i="31" s="1"/>
  <c r="N309" i="31"/>
  <c r="O309" i="31" s="1"/>
  <c r="R309" i="31" s="1"/>
  <c r="N305" i="31"/>
  <c r="O305" i="31" s="1"/>
  <c r="R305" i="31" s="1"/>
  <c r="N301" i="31"/>
  <c r="N297" i="31"/>
  <c r="N293" i="31"/>
  <c r="O293" i="31" s="1"/>
  <c r="R293" i="31" s="1"/>
  <c r="N289" i="31"/>
  <c r="N285" i="31"/>
  <c r="N281" i="31"/>
  <c r="O281" i="31" s="1"/>
  <c r="R281" i="31" s="1"/>
  <c r="N277" i="31"/>
  <c r="O277" i="31" s="1"/>
  <c r="R277" i="31" s="1"/>
  <c r="N273" i="31"/>
  <c r="O273" i="31" s="1"/>
  <c r="R273" i="31" s="1"/>
  <c r="N269" i="31"/>
  <c r="N265" i="31"/>
  <c r="N261" i="31"/>
  <c r="N257" i="31"/>
  <c r="N253" i="31"/>
  <c r="N249" i="31"/>
  <c r="N245" i="31"/>
  <c r="O245" i="31" s="1"/>
  <c r="R245" i="31" s="1"/>
  <c r="N241" i="31"/>
  <c r="O241" i="31" s="1"/>
  <c r="R241" i="31" s="1"/>
  <c r="N237" i="31"/>
  <c r="N233" i="31"/>
  <c r="N229" i="31"/>
  <c r="O229" i="31" s="1"/>
  <c r="R229" i="31" s="1"/>
  <c r="N225" i="31"/>
  <c r="N221" i="31"/>
  <c r="N217" i="31"/>
  <c r="O217" i="31" s="1"/>
  <c r="R217" i="31" s="1"/>
  <c r="N213" i="31"/>
  <c r="O213" i="31" s="1"/>
  <c r="R213" i="31" s="1"/>
  <c r="N209" i="31"/>
  <c r="O209" i="31" s="1"/>
  <c r="R209" i="31" s="1"/>
  <c r="N205" i="31"/>
  <c r="N356" i="31"/>
  <c r="O356" i="31" s="1"/>
  <c r="R356" i="31" s="1"/>
  <c r="N352" i="31"/>
  <c r="P352" i="31" s="1"/>
  <c r="Q352" i="31" s="1"/>
  <c r="N348" i="31"/>
  <c r="N344" i="31"/>
  <c r="N340" i="31"/>
  <c r="N336" i="31"/>
  <c r="N332" i="31"/>
  <c r="N328" i="31"/>
  <c r="N324" i="31"/>
  <c r="O324" i="31" s="1"/>
  <c r="R324" i="31" s="1"/>
  <c r="N320" i="31"/>
  <c r="N316" i="31"/>
  <c r="N312" i="31"/>
  <c r="N308" i="31"/>
  <c r="N304" i="31"/>
  <c r="N300" i="31"/>
  <c r="N296" i="31"/>
  <c r="N292" i="31"/>
  <c r="N288" i="31"/>
  <c r="N284" i="31"/>
  <c r="N280" i="31"/>
  <c r="N276" i="31"/>
  <c r="N272" i="31"/>
  <c r="N268" i="31"/>
  <c r="N264" i="31"/>
  <c r="N260" i="31"/>
  <c r="O260" i="31" s="1"/>
  <c r="R260" i="31" s="1"/>
  <c r="N256" i="31"/>
  <c r="N252" i="31"/>
  <c r="N248" i="31"/>
  <c r="N244" i="31"/>
  <c r="O244" i="31" s="1"/>
  <c r="R244" i="31" s="1"/>
  <c r="N240" i="31"/>
  <c r="N236" i="31"/>
  <c r="N232" i="31"/>
  <c r="N228" i="31"/>
  <c r="O228" i="31" s="1"/>
  <c r="R228" i="31" s="1"/>
  <c r="N224" i="31"/>
  <c r="N220" i="31"/>
  <c r="N216" i="31"/>
  <c r="N212" i="31"/>
  <c r="N208" i="31"/>
  <c r="N204" i="31"/>
  <c r="N763" i="31"/>
  <c r="P763" i="31" s="1"/>
  <c r="Q763" i="31" s="1"/>
  <c r="N759" i="31"/>
  <c r="O759" i="31" s="1"/>
  <c r="R759" i="31" s="1"/>
  <c r="N755" i="31"/>
  <c r="N751" i="31"/>
  <c r="P751" i="31" s="1"/>
  <c r="Q751" i="31" s="1"/>
  <c r="N747" i="31"/>
  <c r="P747" i="31" s="1"/>
  <c r="Q747" i="31" s="1"/>
  <c r="N743" i="31"/>
  <c r="O743" i="31" s="1"/>
  <c r="R743" i="31" s="1"/>
  <c r="N739" i="31"/>
  <c r="P739" i="31" s="1"/>
  <c r="Q739" i="31" s="1"/>
  <c r="N735" i="31"/>
  <c r="P735" i="31" s="1"/>
  <c r="Q735" i="31" s="1"/>
  <c r="N731" i="31"/>
  <c r="P731" i="31" s="1"/>
  <c r="Q731" i="31" s="1"/>
  <c r="N727" i="31"/>
  <c r="O727" i="31" s="1"/>
  <c r="R727" i="31" s="1"/>
  <c r="N723" i="31"/>
  <c r="N719" i="31"/>
  <c r="O719" i="31" s="1"/>
  <c r="R719" i="31" s="1"/>
  <c r="N715" i="31"/>
  <c r="P715" i="31" s="1"/>
  <c r="Q715" i="31" s="1"/>
  <c r="N711" i="31"/>
  <c r="N707" i="31"/>
  <c r="N703" i="31"/>
  <c r="O703" i="31" s="1"/>
  <c r="R703" i="31" s="1"/>
  <c r="N699" i="31"/>
  <c r="P699" i="31" s="1"/>
  <c r="Q699" i="31" s="1"/>
  <c r="N695" i="31"/>
  <c r="N691" i="31"/>
  <c r="O691" i="31" s="1"/>
  <c r="R691" i="31" s="1"/>
  <c r="N687" i="31"/>
  <c r="O687" i="31" s="1"/>
  <c r="R687" i="31" s="1"/>
  <c r="N683" i="31"/>
  <c r="P683" i="31" s="1"/>
  <c r="Q683" i="31" s="1"/>
  <c r="N679" i="31"/>
  <c r="N675" i="31"/>
  <c r="N671" i="31"/>
  <c r="O671" i="31" s="1"/>
  <c r="R671" i="31" s="1"/>
  <c r="N667" i="31"/>
  <c r="P667" i="31" s="1"/>
  <c r="Q667" i="31" s="1"/>
  <c r="N663" i="31"/>
  <c r="N659" i="31"/>
  <c r="O659" i="31" s="1"/>
  <c r="R659" i="31" s="1"/>
  <c r="N655" i="31"/>
  <c r="O655" i="31" s="1"/>
  <c r="R655" i="31" s="1"/>
  <c r="N651" i="31"/>
  <c r="P651" i="31" s="1"/>
  <c r="Q651" i="31" s="1"/>
  <c r="N647" i="31"/>
  <c r="P647" i="31" s="1"/>
  <c r="Q647" i="31" s="1"/>
  <c r="N643" i="31"/>
  <c r="N639" i="31"/>
  <c r="O639" i="31" s="1"/>
  <c r="R639" i="31" s="1"/>
  <c r="N635" i="31"/>
  <c r="N631" i="31"/>
  <c r="P631" i="31" s="1"/>
  <c r="Q631" i="31" s="1"/>
  <c r="N627" i="31"/>
  <c r="O627" i="31" s="1"/>
  <c r="R627" i="31" s="1"/>
  <c r="N623" i="31"/>
  <c r="O623" i="31" s="1"/>
  <c r="R623" i="31" s="1"/>
  <c r="N619" i="31"/>
  <c r="P619" i="31" s="1"/>
  <c r="Q619" i="31" s="1"/>
  <c r="N615" i="31"/>
  <c r="P615" i="31" s="1"/>
  <c r="Q615" i="31" s="1"/>
  <c r="N611" i="31"/>
  <c r="N607" i="31"/>
  <c r="O607" i="31" s="1"/>
  <c r="R607" i="31" s="1"/>
  <c r="N603" i="31"/>
  <c r="O603" i="31" s="1"/>
  <c r="R603" i="31" s="1"/>
  <c r="N599" i="31"/>
  <c r="P599" i="31" s="1"/>
  <c r="Q599" i="31" s="1"/>
  <c r="N595" i="31"/>
  <c r="O595" i="31" s="1"/>
  <c r="R595" i="31" s="1"/>
  <c r="N591" i="31"/>
  <c r="O591" i="31" s="1"/>
  <c r="R591" i="31" s="1"/>
  <c r="N587" i="31"/>
  <c r="P587" i="31" s="1"/>
  <c r="Q587" i="31" s="1"/>
  <c r="N583" i="31"/>
  <c r="O583" i="31" s="1"/>
  <c r="R583" i="31" s="1"/>
  <c r="N579" i="31"/>
  <c r="N575" i="31"/>
  <c r="O575" i="31" s="1"/>
  <c r="R575" i="31" s="1"/>
  <c r="N571" i="31"/>
  <c r="P571" i="31" s="1"/>
  <c r="Q571" i="31" s="1"/>
  <c r="N567" i="31"/>
  <c r="O567" i="31" s="1"/>
  <c r="R567" i="31" s="1"/>
  <c r="N563" i="31"/>
  <c r="O563" i="31" s="1"/>
  <c r="R563" i="31" s="1"/>
  <c r="N559" i="31"/>
  <c r="O559" i="31" s="1"/>
  <c r="R559" i="31" s="1"/>
  <c r="N555" i="31"/>
  <c r="O555" i="31" s="1"/>
  <c r="R555" i="31" s="1"/>
  <c r="N551" i="31"/>
  <c r="O551" i="31" s="1"/>
  <c r="R551" i="31" s="1"/>
  <c r="N547" i="31"/>
  <c r="N543" i="31"/>
  <c r="O543" i="31" s="1"/>
  <c r="R543" i="31" s="1"/>
  <c r="N539" i="31"/>
  <c r="P539" i="31" s="1"/>
  <c r="Q539" i="31" s="1"/>
  <c r="N535" i="31"/>
  <c r="O535" i="31" s="1"/>
  <c r="R535" i="31" s="1"/>
  <c r="N531" i="31"/>
  <c r="N527" i="31"/>
  <c r="O527" i="31" s="1"/>
  <c r="R527" i="31" s="1"/>
  <c r="N523" i="31"/>
  <c r="O523" i="31" s="1"/>
  <c r="R523" i="31" s="1"/>
  <c r="N519" i="31"/>
  <c r="P519" i="31" s="1"/>
  <c r="Q519" i="31" s="1"/>
  <c r="N515" i="31"/>
  <c r="N511" i="31"/>
  <c r="O511" i="31" s="1"/>
  <c r="R511" i="31" s="1"/>
  <c r="N507" i="31"/>
  <c r="P507" i="31" s="1"/>
  <c r="Q507" i="31" s="1"/>
  <c r="N503" i="31"/>
  <c r="P503" i="31" s="1"/>
  <c r="Q503" i="31" s="1"/>
  <c r="N499" i="31"/>
  <c r="O499" i="31" s="1"/>
  <c r="R499" i="31" s="1"/>
  <c r="N495" i="31"/>
  <c r="O495" i="31" s="1"/>
  <c r="R495" i="31" s="1"/>
  <c r="N491" i="31"/>
  <c r="O491" i="31" s="1"/>
  <c r="R491" i="31" s="1"/>
  <c r="N487" i="31"/>
  <c r="P487" i="31" s="1"/>
  <c r="Q487" i="31" s="1"/>
  <c r="N483" i="31"/>
  <c r="N479" i="31"/>
  <c r="O479" i="31" s="1"/>
  <c r="R479" i="31" s="1"/>
  <c r="N475" i="31"/>
  <c r="N471" i="31"/>
  <c r="P471" i="31" s="1"/>
  <c r="Q471" i="31" s="1"/>
  <c r="N467" i="31"/>
  <c r="O467" i="31" s="1"/>
  <c r="R467" i="31" s="1"/>
  <c r="N463" i="31"/>
  <c r="O463" i="31" s="1"/>
  <c r="R463" i="31" s="1"/>
  <c r="N459" i="31"/>
  <c r="P459" i="31" s="1"/>
  <c r="Q459" i="31" s="1"/>
  <c r="N455" i="31"/>
  <c r="O455" i="31" s="1"/>
  <c r="R455" i="31" s="1"/>
  <c r="N451" i="31"/>
  <c r="O451" i="31" s="1"/>
  <c r="R451" i="31" s="1"/>
  <c r="N447" i="31"/>
  <c r="O447" i="31" s="1"/>
  <c r="R447" i="31" s="1"/>
  <c r="N443" i="31"/>
  <c r="O443" i="31" s="1"/>
  <c r="R443" i="31" s="1"/>
  <c r="N439" i="31"/>
  <c r="P439" i="31" s="1"/>
  <c r="Q439" i="31" s="1"/>
  <c r="N435" i="31"/>
  <c r="N431" i="31"/>
  <c r="O431" i="31" s="1"/>
  <c r="R431" i="31" s="1"/>
  <c r="N427" i="31"/>
  <c r="O427" i="31" s="1"/>
  <c r="R427" i="31" s="1"/>
  <c r="N423" i="31"/>
  <c r="O423" i="31" s="1"/>
  <c r="R423" i="31" s="1"/>
  <c r="N419" i="31"/>
  <c r="O419" i="31" s="1"/>
  <c r="R419" i="31" s="1"/>
  <c r="N415" i="31"/>
  <c r="O415" i="31" s="1"/>
  <c r="R415" i="31" s="1"/>
  <c r="N411" i="31"/>
  <c r="N407" i="31"/>
  <c r="P407" i="31" s="1"/>
  <c r="Q407" i="31" s="1"/>
  <c r="N403" i="31"/>
  <c r="O403" i="31" s="1"/>
  <c r="R403" i="31" s="1"/>
  <c r="N399" i="31"/>
  <c r="O399" i="31" s="1"/>
  <c r="R399" i="31" s="1"/>
  <c r="N395" i="31"/>
  <c r="P395" i="31" s="1"/>
  <c r="Q395" i="31" s="1"/>
  <c r="N391" i="31"/>
  <c r="O391" i="31" s="1"/>
  <c r="R391" i="31" s="1"/>
  <c r="N387" i="31"/>
  <c r="O387" i="31" s="1"/>
  <c r="R387" i="31" s="1"/>
  <c r="N383" i="31"/>
  <c r="O383" i="31" s="1"/>
  <c r="R383" i="31" s="1"/>
  <c r="N379" i="31"/>
  <c r="O379" i="31" s="1"/>
  <c r="R379" i="31" s="1"/>
  <c r="N375" i="31"/>
  <c r="P375" i="31" s="1"/>
  <c r="Q375" i="31" s="1"/>
  <c r="N371" i="31"/>
  <c r="N367" i="31"/>
  <c r="O367" i="31" s="1"/>
  <c r="R367" i="31" s="1"/>
  <c r="N363" i="31"/>
  <c r="O363" i="31" s="1"/>
  <c r="R363" i="31" s="1"/>
  <c r="N359" i="31"/>
  <c r="O359" i="31" s="1"/>
  <c r="R359" i="31" s="1"/>
  <c r="N355" i="31"/>
  <c r="O355" i="31" s="1"/>
  <c r="R355" i="31" s="1"/>
  <c r="N351" i="31"/>
  <c r="O351" i="31" s="1"/>
  <c r="R351" i="31" s="1"/>
  <c r="N347" i="31"/>
  <c r="N343" i="31"/>
  <c r="N339" i="31"/>
  <c r="O339" i="31" s="1"/>
  <c r="R339" i="31" s="1"/>
  <c r="N335" i="31"/>
  <c r="O335" i="31" s="1"/>
  <c r="R335" i="31" s="1"/>
  <c r="N331" i="31"/>
  <c r="N327" i="31"/>
  <c r="O327" i="31" s="1"/>
  <c r="R327" i="31" s="1"/>
  <c r="N323" i="31"/>
  <c r="O323" i="31" s="1"/>
  <c r="R323" i="31" s="1"/>
  <c r="N319" i="31"/>
  <c r="O319" i="31" s="1"/>
  <c r="R319" i="31" s="1"/>
  <c r="N315" i="31"/>
  <c r="O315" i="31" s="1"/>
  <c r="R315" i="31" s="1"/>
  <c r="N311" i="31"/>
  <c r="N307" i="31"/>
  <c r="N303" i="31"/>
  <c r="O303" i="31" s="1"/>
  <c r="R303" i="31" s="1"/>
  <c r="N299" i="31"/>
  <c r="O299" i="31" s="1"/>
  <c r="R299" i="31" s="1"/>
  <c r="N295" i="31"/>
  <c r="O295" i="31" s="1"/>
  <c r="R295" i="31" s="1"/>
  <c r="N291" i="31"/>
  <c r="O291" i="31" s="1"/>
  <c r="R291" i="31" s="1"/>
  <c r="N287" i="31"/>
  <c r="O287" i="31" s="1"/>
  <c r="R287" i="31" s="1"/>
  <c r="N283" i="31"/>
  <c r="N279" i="31"/>
  <c r="N275" i="31"/>
  <c r="O275" i="31" s="1"/>
  <c r="R275" i="31" s="1"/>
  <c r="N271" i="31"/>
  <c r="O271" i="31" s="1"/>
  <c r="R271" i="31" s="1"/>
  <c r="N267" i="31"/>
  <c r="N263" i="31"/>
  <c r="O263" i="31" s="1"/>
  <c r="R263" i="31" s="1"/>
  <c r="N259" i="31"/>
  <c r="O259" i="31" s="1"/>
  <c r="R259" i="31" s="1"/>
  <c r="N255" i="31"/>
  <c r="O255" i="31" s="1"/>
  <c r="R255" i="31" s="1"/>
  <c r="N251" i="31"/>
  <c r="O251" i="31" s="1"/>
  <c r="R251" i="31" s="1"/>
  <c r="N247" i="31"/>
  <c r="N243" i="31"/>
  <c r="N239" i="31"/>
  <c r="O239" i="31" s="1"/>
  <c r="R239" i="31" s="1"/>
  <c r="N235" i="31"/>
  <c r="O235" i="31" s="1"/>
  <c r="R235" i="31" s="1"/>
  <c r="N231" i="31"/>
  <c r="O231" i="31" s="1"/>
  <c r="R231" i="31" s="1"/>
  <c r="N227" i="31"/>
  <c r="O227" i="31" s="1"/>
  <c r="R227" i="31" s="1"/>
  <c r="N223" i="31"/>
  <c r="O223" i="31" s="1"/>
  <c r="R223" i="31" s="1"/>
  <c r="N219" i="31"/>
  <c r="N215" i="31"/>
  <c r="N211" i="31"/>
  <c r="O211" i="31" s="1"/>
  <c r="R211" i="31" s="1"/>
  <c r="N207" i="31"/>
  <c r="O207" i="31" s="1"/>
  <c r="R207" i="31" s="1"/>
  <c r="N10" i="19"/>
  <c r="O12" i="19" s="1"/>
  <c r="N16" i="19" s="1"/>
  <c r="N21" i="18" l="1"/>
  <c r="H14" i="18"/>
  <c r="H15" i="18"/>
  <c r="H11" i="18"/>
  <c r="H8" i="18"/>
  <c r="H7" i="18"/>
  <c r="H10" i="18"/>
  <c r="H9" i="18"/>
  <c r="H11" i="19"/>
  <c r="H15" i="19"/>
  <c r="H13" i="19"/>
  <c r="H12" i="19"/>
  <c r="H10" i="19"/>
  <c r="H14" i="19"/>
  <c r="H16" i="19"/>
  <c r="H17" i="19"/>
  <c r="H6" i="19"/>
  <c r="H9" i="19"/>
  <c r="H7" i="19"/>
  <c r="H8" i="19"/>
  <c r="T9" i="31"/>
  <c r="C134" i="4" s="1"/>
  <c r="T12" i="31"/>
  <c r="C182" i="4" s="1"/>
  <c r="T13" i="31"/>
  <c r="C183" i="4" s="1"/>
  <c r="T5" i="31"/>
  <c r="C38" i="4" s="1"/>
  <c r="H6" i="18"/>
  <c r="T4" i="31" s="1"/>
  <c r="C37" i="4" s="1"/>
  <c r="T6" i="31"/>
  <c r="C84" i="4" s="1"/>
  <c r="N17" i="19"/>
  <c r="O669" i="31"/>
  <c r="R669" i="31" s="1"/>
  <c r="O765" i="31"/>
  <c r="R765" i="31" s="1"/>
  <c r="P762" i="31"/>
  <c r="Q762" i="31" s="1"/>
  <c r="P578" i="31"/>
  <c r="Q578" i="31" s="1"/>
  <c r="P386" i="31"/>
  <c r="Q386" i="31" s="1"/>
  <c r="P466" i="31"/>
  <c r="Q466" i="31" s="1"/>
  <c r="P705" i="31"/>
  <c r="Q705" i="31" s="1"/>
  <c r="P451" i="31"/>
  <c r="Q451" i="31" s="1"/>
  <c r="P450" i="31"/>
  <c r="Q450" i="31" s="1"/>
  <c r="P530" i="31"/>
  <c r="Q530" i="31" s="1"/>
  <c r="P640" i="31"/>
  <c r="Q640" i="31" s="1"/>
  <c r="P410" i="31"/>
  <c r="Q410" i="31" s="1"/>
  <c r="P673" i="31"/>
  <c r="Q673" i="31" s="1"/>
  <c r="P744" i="31"/>
  <c r="Q744" i="31" s="1"/>
  <c r="P378" i="31"/>
  <c r="Q378" i="31" s="1"/>
  <c r="P634" i="31"/>
  <c r="Q634" i="31" s="1"/>
  <c r="P452" i="31"/>
  <c r="Q452" i="31" s="1"/>
  <c r="P382" i="31"/>
  <c r="Q382" i="31" s="1"/>
  <c r="P638" i="31"/>
  <c r="Q638" i="31" s="1"/>
  <c r="P745" i="31"/>
  <c r="Q745" i="31" s="1"/>
  <c r="O500" i="31"/>
  <c r="R500" i="31" s="1"/>
  <c r="O278" i="31"/>
  <c r="R278" i="31" s="1"/>
  <c r="P478" i="31"/>
  <c r="Q478" i="31" s="1"/>
  <c r="P590" i="31"/>
  <c r="Q590" i="31" s="1"/>
  <c r="P642" i="31"/>
  <c r="Q642" i="31" s="1"/>
  <c r="P659" i="31"/>
  <c r="Q659" i="31" s="1"/>
  <c r="P430" i="31"/>
  <c r="Q430" i="31" s="1"/>
  <c r="P514" i="31"/>
  <c r="Q514" i="31" s="1"/>
  <c r="P594" i="31"/>
  <c r="Q594" i="31" s="1"/>
  <c r="O644" i="31"/>
  <c r="R644" i="31" s="1"/>
  <c r="P449" i="31"/>
  <c r="Q449" i="31" s="1"/>
  <c r="O733" i="31"/>
  <c r="R733" i="31" s="1"/>
  <c r="P764" i="31"/>
  <c r="Q764" i="31" s="1"/>
  <c r="P555" i="31"/>
  <c r="Q555" i="31" s="1"/>
  <c r="O429" i="31"/>
  <c r="R429" i="31" s="1"/>
  <c r="P427" i="31"/>
  <c r="Q427" i="31" s="1"/>
  <c r="O276" i="31"/>
  <c r="R276" i="31" s="1"/>
  <c r="O712" i="31"/>
  <c r="R712" i="31" s="1"/>
  <c r="O322" i="31"/>
  <c r="R322" i="31" s="1"/>
  <c r="P506" i="31"/>
  <c r="Q506" i="31" s="1"/>
  <c r="P538" i="31"/>
  <c r="Q538" i="31" s="1"/>
  <c r="O699" i="31"/>
  <c r="R699" i="31" s="1"/>
  <c r="O328" i="31"/>
  <c r="R328" i="31" s="1"/>
  <c r="P548" i="31"/>
  <c r="Q548" i="31" s="1"/>
  <c r="O249" i="31"/>
  <c r="R249" i="31" s="1"/>
  <c r="O365" i="31"/>
  <c r="R365" i="31" s="1"/>
  <c r="O541" i="31"/>
  <c r="R541" i="31" s="1"/>
  <c r="P686" i="31"/>
  <c r="Q686" i="31" s="1"/>
  <c r="O354" i="31"/>
  <c r="R354" i="31" s="1"/>
  <c r="P402" i="31"/>
  <c r="Q402" i="31" s="1"/>
  <c r="P462" i="31"/>
  <c r="Q462" i="31" s="1"/>
  <c r="P510" i="31"/>
  <c r="Q510" i="31" s="1"/>
  <c r="P558" i="31"/>
  <c r="Q558" i="31" s="1"/>
  <c r="P606" i="31"/>
  <c r="Q606" i="31" s="1"/>
  <c r="O658" i="31"/>
  <c r="R658" i="31" s="1"/>
  <c r="P523" i="31"/>
  <c r="Q523" i="31" s="1"/>
  <c r="O404" i="31"/>
  <c r="R404" i="31" s="1"/>
  <c r="O612" i="31"/>
  <c r="R612" i="31" s="1"/>
  <c r="P385" i="31"/>
  <c r="Q385" i="31" s="1"/>
  <c r="O605" i="31"/>
  <c r="R605" i="31" s="1"/>
  <c r="P729" i="31"/>
  <c r="Q729" i="31" s="1"/>
  <c r="P688" i="31"/>
  <c r="Q688" i="31" s="1"/>
  <c r="O738" i="31"/>
  <c r="R738" i="31" s="1"/>
  <c r="P419" i="31"/>
  <c r="Q419" i="31" s="1"/>
  <c r="O318" i="31"/>
  <c r="R318" i="31" s="1"/>
  <c r="P595" i="31"/>
  <c r="Q595" i="31" s="1"/>
  <c r="P730" i="31"/>
  <c r="Q730" i="31" s="1"/>
  <c r="P759" i="31"/>
  <c r="Q759" i="31" s="1"/>
  <c r="P737" i="31"/>
  <c r="Q737" i="31" s="1"/>
  <c r="O230" i="31"/>
  <c r="R230" i="31" s="1"/>
  <c r="O326" i="31"/>
  <c r="R326" i="31" s="1"/>
  <c r="P358" i="31"/>
  <c r="Q358" i="31" s="1"/>
  <c r="O414" i="31"/>
  <c r="R414" i="31" s="1"/>
  <c r="P442" i="31"/>
  <c r="Q442" i="31" s="1"/>
  <c r="O494" i="31"/>
  <c r="R494" i="31" s="1"/>
  <c r="O542" i="31"/>
  <c r="R542" i="31" s="1"/>
  <c r="P570" i="31"/>
  <c r="Q570" i="31" s="1"/>
  <c r="O622" i="31"/>
  <c r="R622" i="31" s="1"/>
  <c r="P719" i="31"/>
  <c r="Q719" i="31" s="1"/>
  <c r="O292" i="31"/>
  <c r="R292" i="31" s="1"/>
  <c r="O344" i="31"/>
  <c r="R344" i="31" s="1"/>
  <c r="O416" i="31"/>
  <c r="R416" i="31" s="1"/>
  <c r="O468" i="31"/>
  <c r="R468" i="31" s="1"/>
  <c r="P512" i="31"/>
  <c r="Q512" i="31" s="1"/>
  <c r="P564" i="31"/>
  <c r="Q564" i="31" s="1"/>
  <c r="O628" i="31"/>
  <c r="R628" i="31" s="1"/>
  <c r="O660" i="31"/>
  <c r="R660" i="31" s="1"/>
  <c r="O413" i="31"/>
  <c r="R413" i="31" s="1"/>
  <c r="O477" i="31"/>
  <c r="R477" i="31" s="1"/>
  <c r="P545" i="31"/>
  <c r="Q545" i="31" s="1"/>
  <c r="O621" i="31"/>
  <c r="R621" i="31" s="1"/>
  <c r="O685" i="31"/>
  <c r="R685" i="31" s="1"/>
  <c r="O761" i="31"/>
  <c r="R761" i="31" s="1"/>
  <c r="O700" i="31"/>
  <c r="R700" i="31" s="1"/>
  <c r="P666" i="31"/>
  <c r="Q666" i="31" s="1"/>
  <c r="P706" i="31"/>
  <c r="Q706" i="31" s="1"/>
  <c r="O754" i="31"/>
  <c r="R754" i="31" s="1"/>
  <c r="O728" i="31"/>
  <c r="R728" i="31" s="1"/>
  <c r="O210" i="31"/>
  <c r="R210" i="31" s="1"/>
  <c r="O242" i="31"/>
  <c r="R242" i="31" s="1"/>
  <c r="O262" i="31"/>
  <c r="R262" i="31" s="1"/>
  <c r="O366" i="31"/>
  <c r="R366" i="31" s="1"/>
  <c r="P398" i="31"/>
  <c r="Q398" i="31" s="1"/>
  <c r="P446" i="31"/>
  <c r="Q446" i="31" s="1"/>
  <c r="P474" i="31"/>
  <c r="Q474" i="31" s="1"/>
  <c r="P526" i="31"/>
  <c r="Q526" i="31" s="1"/>
  <c r="P574" i="31"/>
  <c r="Q574" i="31" s="1"/>
  <c r="P602" i="31"/>
  <c r="Q602" i="31" s="1"/>
  <c r="O654" i="31"/>
  <c r="R654" i="31" s="1"/>
  <c r="P363" i="31"/>
  <c r="Q363" i="31" s="1"/>
  <c r="P491" i="31"/>
  <c r="Q491" i="31" s="1"/>
  <c r="O619" i="31"/>
  <c r="R619" i="31" s="1"/>
  <c r="O308" i="31"/>
  <c r="R308" i="31" s="1"/>
  <c r="P356" i="31"/>
  <c r="Q356" i="31" s="1"/>
  <c r="O432" i="31"/>
  <c r="R432" i="31" s="1"/>
  <c r="O472" i="31"/>
  <c r="R472" i="31" s="1"/>
  <c r="O516" i="31"/>
  <c r="R516" i="31" s="1"/>
  <c r="O580" i="31"/>
  <c r="R580" i="31" s="1"/>
  <c r="O265" i="31"/>
  <c r="R265" i="31" s="1"/>
  <c r="P417" i="31"/>
  <c r="Q417" i="31" s="1"/>
  <c r="O493" i="31"/>
  <c r="R493" i="31" s="1"/>
  <c r="O557" i="31"/>
  <c r="R557" i="31" s="1"/>
  <c r="P641" i="31"/>
  <c r="Q641" i="31" s="1"/>
  <c r="O732" i="31"/>
  <c r="R732" i="31" s="1"/>
  <c r="P682" i="31"/>
  <c r="Q682" i="31" s="1"/>
  <c r="O722" i="31"/>
  <c r="R722" i="31" s="1"/>
  <c r="O748" i="31"/>
  <c r="R748" i="31" s="1"/>
  <c r="O342" i="31"/>
  <c r="R342" i="31" s="1"/>
  <c r="O216" i="31"/>
  <c r="R216" i="31" s="1"/>
  <c r="O264" i="31"/>
  <c r="R264" i="31" s="1"/>
  <c r="O312" i="31"/>
  <c r="R312" i="31" s="1"/>
  <c r="P388" i="31"/>
  <c r="Q388" i="31" s="1"/>
  <c r="O436" i="31"/>
  <c r="R436" i="31" s="1"/>
  <c r="O484" i="31"/>
  <c r="R484" i="31" s="1"/>
  <c r="O532" i="31"/>
  <c r="R532" i="31" s="1"/>
  <c r="O233" i="31"/>
  <c r="R233" i="31" s="1"/>
  <c r="P513" i="31"/>
  <c r="Q513" i="31" s="1"/>
  <c r="P577" i="31"/>
  <c r="Q577" i="31" s="1"/>
  <c r="P713" i="31"/>
  <c r="Q713" i="31" s="1"/>
  <c r="O371" i="31"/>
  <c r="R371" i="31" s="1"/>
  <c r="P371" i="31"/>
  <c r="Q371" i="31" s="1"/>
  <c r="P504" i="31"/>
  <c r="Q504" i="31" s="1"/>
  <c r="O504" i="31"/>
  <c r="R504" i="31" s="1"/>
  <c r="P632" i="31"/>
  <c r="Q632" i="31" s="1"/>
  <c r="O632" i="31"/>
  <c r="R632" i="31" s="1"/>
  <c r="O736" i="31"/>
  <c r="R736" i="31" s="1"/>
  <c r="P736" i="31"/>
  <c r="Q736" i="31" s="1"/>
  <c r="P346" i="31"/>
  <c r="Q346" i="31" s="1"/>
  <c r="O362" i="31"/>
  <c r="R362" i="31" s="1"/>
  <c r="P370" i="31"/>
  <c r="Q370" i="31" s="1"/>
  <c r="P403" i="31"/>
  <c r="Q403" i="31" s="1"/>
  <c r="P443" i="31"/>
  <c r="Q443" i="31" s="1"/>
  <c r="O507" i="31"/>
  <c r="R507" i="31" s="1"/>
  <c r="O587" i="31"/>
  <c r="R587" i="31" s="1"/>
  <c r="O651" i="31"/>
  <c r="R651" i="31" s="1"/>
  <c r="O212" i="31"/>
  <c r="R212" i="31" s="1"/>
  <c r="P384" i="31"/>
  <c r="Q384" i="31" s="1"/>
  <c r="O408" i="31"/>
  <c r="R408" i="31" s="1"/>
  <c r="O496" i="31"/>
  <c r="R496" i="31" s="1"/>
  <c r="O536" i="31"/>
  <c r="R536" i="31" s="1"/>
  <c r="O608" i="31"/>
  <c r="R608" i="31" s="1"/>
  <c r="O656" i="31"/>
  <c r="R656" i="31" s="1"/>
  <c r="O381" i="31"/>
  <c r="R381" i="31" s="1"/>
  <c r="O461" i="31"/>
  <c r="R461" i="31" s="1"/>
  <c r="O509" i="31"/>
  <c r="R509" i="31" s="1"/>
  <c r="O589" i="31"/>
  <c r="R589" i="31" s="1"/>
  <c r="O637" i="31"/>
  <c r="R637" i="31" s="1"/>
  <c r="O710" i="31"/>
  <c r="R710" i="31" s="1"/>
  <c r="P672" i="31"/>
  <c r="Q672" i="31" s="1"/>
  <c r="O763" i="31"/>
  <c r="R763" i="31" s="1"/>
  <c r="O232" i="31"/>
  <c r="R232" i="31" s="1"/>
  <c r="O296" i="31"/>
  <c r="R296" i="31" s="1"/>
  <c r="P420" i="31"/>
  <c r="Q420" i="31" s="1"/>
  <c r="O420" i="31"/>
  <c r="R420" i="31" s="1"/>
  <c r="O692" i="31"/>
  <c r="R692" i="31" s="1"/>
  <c r="P692" i="31"/>
  <c r="Q692" i="31" s="1"/>
  <c r="O369" i="31"/>
  <c r="R369" i="31" s="1"/>
  <c r="P369" i="31"/>
  <c r="Q369" i="31" s="1"/>
  <c r="O401" i="31"/>
  <c r="R401" i="31" s="1"/>
  <c r="P401" i="31"/>
  <c r="Q401" i="31" s="1"/>
  <c r="O433" i="31"/>
  <c r="R433" i="31" s="1"/>
  <c r="P433" i="31"/>
  <c r="Q433" i="31" s="1"/>
  <c r="O465" i="31"/>
  <c r="R465" i="31" s="1"/>
  <c r="P465" i="31"/>
  <c r="Q465" i="31" s="1"/>
  <c r="O497" i="31"/>
  <c r="R497" i="31" s="1"/>
  <c r="P497" i="31"/>
  <c r="Q497" i="31" s="1"/>
  <c r="O529" i="31"/>
  <c r="R529" i="31" s="1"/>
  <c r="P529" i="31"/>
  <c r="Q529" i="31" s="1"/>
  <c r="O561" i="31"/>
  <c r="R561" i="31" s="1"/>
  <c r="P561" i="31"/>
  <c r="Q561" i="31" s="1"/>
  <c r="O593" i="31"/>
  <c r="R593" i="31" s="1"/>
  <c r="P593" i="31"/>
  <c r="Q593" i="31" s="1"/>
  <c r="O625" i="31"/>
  <c r="R625" i="31" s="1"/>
  <c r="P625" i="31"/>
  <c r="Q625" i="31" s="1"/>
  <c r="O657" i="31"/>
  <c r="R657" i="31" s="1"/>
  <c r="P657" i="31"/>
  <c r="Q657" i="31" s="1"/>
  <c r="O689" i="31"/>
  <c r="R689" i="31" s="1"/>
  <c r="P689" i="31"/>
  <c r="Q689" i="31" s="1"/>
  <c r="O243" i="31"/>
  <c r="R243" i="31" s="1"/>
  <c r="O435" i="31"/>
  <c r="R435" i="31" s="1"/>
  <c r="P435" i="31"/>
  <c r="Q435" i="31" s="1"/>
  <c r="O307" i="31"/>
  <c r="R307" i="31" s="1"/>
  <c r="O531" i="31"/>
  <c r="R531" i="31" s="1"/>
  <c r="P531" i="31"/>
  <c r="Q531" i="31" s="1"/>
  <c r="P440" i="31"/>
  <c r="Q440" i="31" s="1"/>
  <c r="O440" i="31"/>
  <c r="R440" i="31" s="1"/>
  <c r="P568" i="31"/>
  <c r="Q568" i="31" s="1"/>
  <c r="O568" i="31"/>
  <c r="R568" i="31" s="1"/>
  <c r="O218" i="31"/>
  <c r="R218" i="31" s="1"/>
  <c r="O266" i="31"/>
  <c r="R266" i="31" s="1"/>
  <c r="O282" i="31"/>
  <c r="R282" i="31" s="1"/>
  <c r="O330" i="31"/>
  <c r="R330" i="31" s="1"/>
  <c r="O418" i="31"/>
  <c r="R418" i="31" s="1"/>
  <c r="O434" i="31"/>
  <c r="R434" i="31" s="1"/>
  <c r="O482" i="31"/>
  <c r="R482" i="31" s="1"/>
  <c r="O498" i="31"/>
  <c r="R498" i="31" s="1"/>
  <c r="O546" i="31"/>
  <c r="R546" i="31" s="1"/>
  <c r="O562" i="31"/>
  <c r="R562" i="31" s="1"/>
  <c r="O610" i="31"/>
  <c r="R610" i="31" s="1"/>
  <c r="O626" i="31"/>
  <c r="R626" i="31" s="1"/>
  <c r="P650" i="31"/>
  <c r="Q650" i="31" s="1"/>
  <c r="P379" i="31"/>
  <c r="Q379" i="31" s="1"/>
  <c r="P467" i="31"/>
  <c r="Q467" i="31" s="1"/>
  <c r="P603" i="31"/>
  <c r="Q603" i="31" s="1"/>
  <c r="O667" i="31"/>
  <c r="R667" i="31" s="1"/>
  <c r="O248" i="31"/>
  <c r="R248" i="31" s="1"/>
  <c r="O280" i="31"/>
  <c r="R280" i="31" s="1"/>
  <c r="O340" i="31"/>
  <c r="R340" i="31" s="1"/>
  <c r="P372" i="31"/>
  <c r="Q372" i="31" s="1"/>
  <c r="P400" i="31"/>
  <c r="Q400" i="31" s="1"/>
  <c r="O448" i="31"/>
  <c r="R448" i="31" s="1"/>
  <c r="P480" i="31"/>
  <c r="Q480" i="31" s="1"/>
  <c r="O528" i="31"/>
  <c r="R528" i="31" s="1"/>
  <c r="P560" i="31"/>
  <c r="Q560" i="31" s="1"/>
  <c r="O596" i="31"/>
  <c r="R596" i="31" s="1"/>
  <c r="O624" i="31"/>
  <c r="R624" i="31" s="1"/>
  <c r="O297" i="31"/>
  <c r="R297" i="31" s="1"/>
  <c r="P357" i="31"/>
  <c r="Q357" i="31" s="1"/>
  <c r="O397" i="31"/>
  <c r="R397" i="31" s="1"/>
  <c r="O445" i="31"/>
  <c r="R445" i="31" s="1"/>
  <c r="P481" i="31"/>
  <c r="Q481" i="31" s="1"/>
  <c r="O525" i="31"/>
  <c r="R525" i="31" s="1"/>
  <c r="O573" i="31"/>
  <c r="R573" i="31" s="1"/>
  <c r="P609" i="31"/>
  <c r="Q609" i="31" s="1"/>
  <c r="O653" i="31"/>
  <c r="R653" i="31" s="1"/>
  <c r="O701" i="31"/>
  <c r="R701" i="31" s="1"/>
  <c r="O717" i="31"/>
  <c r="R717" i="31" s="1"/>
  <c r="O749" i="31"/>
  <c r="R749" i="31" s="1"/>
  <c r="P676" i="31"/>
  <c r="Q676" i="31" s="1"/>
  <c r="O670" i="31"/>
  <c r="R670" i="31" s="1"/>
  <c r="P758" i="31"/>
  <c r="Q758" i="31" s="1"/>
  <c r="P716" i="31"/>
  <c r="Q716" i="31" s="1"/>
  <c r="O731" i="31"/>
  <c r="R731" i="31" s="1"/>
  <c r="P355" i="31"/>
  <c r="Q355" i="31" s="1"/>
  <c r="P387" i="31"/>
  <c r="Q387" i="31" s="1"/>
  <c r="O376" i="31"/>
  <c r="R376" i="31" s="1"/>
  <c r="O600" i="31"/>
  <c r="R600" i="31" s="1"/>
  <c r="O726" i="31"/>
  <c r="R726" i="31" s="1"/>
  <c r="P742" i="31"/>
  <c r="Q742" i="31" s="1"/>
  <c r="O219" i="31"/>
  <c r="R219" i="31" s="1"/>
  <c r="O283" i="31"/>
  <c r="R283" i="31" s="1"/>
  <c r="P347" i="31"/>
  <c r="Q347" i="31" s="1"/>
  <c r="O347" i="31"/>
  <c r="R347" i="31" s="1"/>
  <c r="P411" i="31"/>
  <c r="Q411" i="31" s="1"/>
  <c r="O411" i="31"/>
  <c r="R411" i="31" s="1"/>
  <c r="P475" i="31"/>
  <c r="Q475" i="31" s="1"/>
  <c r="O475" i="31"/>
  <c r="R475" i="31" s="1"/>
  <c r="O635" i="31"/>
  <c r="R635" i="31" s="1"/>
  <c r="P635" i="31"/>
  <c r="Q635" i="31" s="1"/>
  <c r="O261" i="31"/>
  <c r="R261" i="31" s="1"/>
  <c r="O325" i="31"/>
  <c r="R325" i="31" s="1"/>
  <c r="O544" i="31"/>
  <c r="R544" i="31" s="1"/>
  <c r="P544" i="31"/>
  <c r="Q544" i="31" s="1"/>
  <c r="O698" i="31"/>
  <c r="R698" i="31" s="1"/>
  <c r="P698" i="31"/>
  <c r="Q698" i="31" s="1"/>
  <c r="O753" i="31"/>
  <c r="R753" i="31" s="1"/>
  <c r="O714" i="31"/>
  <c r="R714" i="31" s="1"/>
  <c r="O390" i="31"/>
  <c r="R390" i="31" s="1"/>
  <c r="O274" i="31"/>
  <c r="R274" i="31" s="1"/>
  <c r="O306" i="31"/>
  <c r="R306" i="31" s="1"/>
  <c r="O394" i="31"/>
  <c r="R394" i="31" s="1"/>
  <c r="O426" i="31"/>
  <c r="R426" i="31" s="1"/>
  <c r="O458" i="31"/>
  <c r="R458" i="31" s="1"/>
  <c r="O490" i="31"/>
  <c r="R490" i="31" s="1"/>
  <c r="O522" i="31"/>
  <c r="R522" i="31" s="1"/>
  <c r="O554" i="31"/>
  <c r="R554" i="31" s="1"/>
  <c r="O586" i="31"/>
  <c r="R586" i="31" s="1"/>
  <c r="O618" i="31"/>
  <c r="R618" i="31" s="1"/>
  <c r="O646" i="31"/>
  <c r="R646" i="31" s="1"/>
  <c r="O267" i="31"/>
  <c r="R267" i="31" s="1"/>
  <c r="O331" i="31"/>
  <c r="R331" i="31" s="1"/>
  <c r="O395" i="31"/>
  <c r="R395" i="31" s="1"/>
  <c r="O459" i="31"/>
  <c r="R459" i="31" s="1"/>
  <c r="O539" i="31"/>
  <c r="R539" i="31" s="1"/>
  <c r="O571" i="31"/>
  <c r="R571" i="31" s="1"/>
  <c r="O683" i="31"/>
  <c r="R683" i="31" s="1"/>
  <c r="O715" i="31"/>
  <c r="R715" i="31" s="1"/>
  <c r="O368" i="31"/>
  <c r="R368" i="31" s="1"/>
  <c r="O464" i="31"/>
  <c r="R464" i="31" s="1"/>
  <c r="P576" i="31"/>
  <c r="Q576" i="31" s="1"/>
  <c r="P592" i="31"/>
  <c r="Q592" i="31" s="1"/>
  <c r="P721" i="31"/>
  <c r="Q721" i="31" s="1"/>
  <c r="P746" i="31"/>
  <c r="Q746" i="31" s="1"/>
  <c r="O760" i="31"/>
  <c r="R760" i="31" s="1"/>
  <c r="O747" i="31"/>
  <c r="R747" i="31" s="1"/>
  <c r="P460" i="31"/>
  <c r="Q460" i="31" s="1"/>
  <c r="O254" i="31"/>
  <c r="R254" i="31" s="1"/>
  <c r="O238" i="31"/>
  <c r="R238" i="31" s="1"/>
  <c r="O302" i="31"/>
  <c r="R302" i="31" s="1"/>
  <c r="O374" i="31"/>
  <c r="R374" i="31" s="1"/>
  <c r="O454" i="31"/>
  <c r="R454" i="31" s="1"/>
  <c r="O519" i="31"/>
  <c r="R519" i="31" s="1"/>
  <c r="P535" i="31"/>
  <c r="Q535" i="31" s="1"/>
  <c r="O615" i="31"/>
  <c r="R615" i="31" s="1"/>
  <c r="O256" i="31"/>
  <c r="R256" i="31" s="1"/>
  <c r="P380" i="31"/>
  <c r="Q380" i="31" s="1"/>
  <c r="P636" i="31"/>
  <c r="Q636" i="31" s="1"/>
  <c r="P409" i="31"/>
  <c r="Q409" i="31" s="1"/>
  <c r="O222" i="31"/>
  <c r="R222" i="31" s="1"/>
  <c r="O286" i="31"/>
  <c r="R286" i="31" s="1"/>
  <c r="O350" i="31"/>
  <c r="R350" i="31" s="1"/>
  <c r="O518" i="31"/>
  <c r="R518" i="31" s="1"/>
  <c r="P588" i="31"/>
  <c r="Q588" i="31" s="1"/>
  <c r="P537" i="31"/>
  <c r="Q537" i="31" s="1"/>
  <c r="P668" i="31"/>
  <c r="Q668" i="31" s="1"/>
  <c r="O206" i="31"/>
  <c r="R206" i="31" s="1"/>
  <c r="O270" i="31"/>
  <c r="R270" i="31" s="1"/>
  <c r="O334" i="31"/>
  <c r="R334" i="31" s="1"/>
  <c r="O582" i="31"/>
  <c r="R582" i="31" s="1"/>
  <c r="P508" i="31"/>
  <c r="Q508" i="31" s="1"/>
  <c r="P665" i="31"/>
  <c r="Q665" i="31" s="1"/>
  <c r="P663" i="31"/>
  <c r="Q663" i="31" s="1"/>
  <c r="O663" i="31"/>
  <c r="R663" i="31" s="1"/>
  <c r="P679" i="31"/>
  <c r="Q679" i="31" s="1"/>
  <c r="O679" i="31"/>
  <c r="R679" i="31" s="1"/>
  <c r="P695" i="31"/>
  <c r="Q695" i="31" s="1"/>
  <c r="O695" i="31"/>
  <c r="R695" i="31" s="1"/>
  <c r="P711" i="31"/>
  <c r="Q711" i="31" s="1"/>
  <c r="O711" i="31"/>
  <c r="R711" i="31" s="1"/>
  <c r="O208" i="31"/>
  <c r="R208" i="31" s="1"/>
  <c r="O240" i="31"/>
  <c r="R240" i="31" s="1"/>
  <c r="O272" i="31"/>
  <c r="R272" i="31" s="1"/>
  <c r="O304" i="31"/>
  <c r="R304" i="31" s="1"/>
  <c r="O336" i="31"/>
  <c r="R336" i="31" s="1"/>
  <c r="O225" i="31"/>
  <c r="R225" i="31" s="1"/>
  <c r="O257" i="31"/>
  <c r="R257" i="31" s="1"/>
  <c r="O289" i="31"/>
  <c r="R289" i="31" s="1"/>
  <c r="O321" i="31"/>
  <c r="R321" i="31" s="1"/>
  <c r="P353" i="31"/>
  <c r="Q353" i="31" s="1"/>
  <c r="O353" i="31"/>
  <c r="R353" i="31" s="1"/>
  <c r="P396" i="31"/>
  <c r="Q396" i="31" s="1"/>
  <c r="O396" i="31"/>
  <c r="R396" i="31" s="1"/>
  <c r="P428" i="31"/>
  <c r="Q428" i="31" s="1"/>
  <c r="O428" i="31"/>
  <c r="R428" i="31" s="1"/>
  <c r="P444" i="31"/>
  <c r="Q444" i="31" s="1"/>
  <c r="O444" i="31"/>
  <c r="R444" i="31" s="1"/>
  <c r="P476" i="31"/>
  <c r="Q476" i="31" s="1"/>
  <c r="O476" i="31"/>
  <c r="R476" i="31" s="1"/>
  <c r="P524" i="31"/>
  <c r="Q524" i="31" s="1"/>
  <c r="O524" i="31"/>
  <c r="R524" i="31" s="1"/>
  <c r="P556" i="31"/>
  <c r="Q556" i="31" s="1"/>
  <c r="O556" i="31"/>
  <c r="R556" i="31" s="1"/>
  <c r="P572" i="31"/>
  <c r="Q572" i="31" s="1"/>
  <c r="O572" i="31"/>
  <c r="R572" i="31" s="1"/>
  <c r="P604" i="31"/>
  <c r="Q604" i="31" s="1"/>
  <c r="O604" i="31"/>
  <c r="R604" i="31" s="1"/>
  <c r="P652" i="31"/>
  <c r="Q652" i="31" s="1"/>
  <c r="O652" i="31"/>
  <c r="R652" i="31" s="1"/>
  <c r="P361" i="31"/>
  <c r="Q361" i="31" s="1"/>
  <c r="O361" i="31"/>
  <c r="R361" i="31" s="1"/>
  <c r="P393" i="31"/>
  <c r="Q393" i="31" s="1"/>
  <c r="O393" i="31"/>
  <c r="R393" i="31" s="1"/>
  <c r="P425" i="31"/>
  <c r="Q425" i="31" s="1"/>
  <c r="O425" i="31"/>
  <c r="R425" i="31" s="1"/>
  <c r="P457" i="31"/>
  <c r="Q457" i="31" s="1"/>
  <c r="O457" i="31"/>
  <c r="R457" i="31" s="1"/>
  <c r="P489" i="31"/>
  <c r="Q489" i="31" s="1"/>
  <c r="O489" i="31"/>
  <c r="R489" i="31" s="1"/>
  <c r="P521" i="31"/>
  <c r="Q521" i="31" s="1"/>
  <c r="O521" i="31"/>
  <c r="R521" i="31" s="1"/>
  <c r="P553" i="31"/>
  <c r="Q553" i="31" s="1"/>
  <c r="O553" i="31"/>
  <c r="R553" i="31" s="1"/>
  <c r="P585" i="31"/>
  <c r="Q585" i="31" s="1"/>
  <c r="O585" i="31"/>
  <c r="R585" i="31" s="1"/>
  <c r="P617" i="31"/>
  <c r="Q617" i="31" s="1"/>
  <c r="O617" i="31"/>
  <c r="R617" i="31" s="1"/>
  <c r="P649" i="31"/>
  <c r="Q649" i="31" s="1"/>
  <c r="O649" i="31"/>
  <c r="R649" i="31" s="1"/>
  <c r="P681" i="31"/>
  <c r="Q681" i="31" s="1"/>
  <c r="O681" i="31"/>
  <c r="R681" i="31" s="1"/>
  <c r="P662" i="31"/>
  <c r="Q662" i="31" s="1"/>
  <c r="O662" i="31"/>
  <c r="R662" i="31" s="1"/>
  <c r="P694" i="31"/>
  <c r="Q694" i="31" s="1"/>
  <c r="O694" i="31"/>
  <c r="R694" i="31" s="1"/>
  <c r="P740" i="31"/>
  <c r="Q740" i="31" s="1"/>
  <c r="O740" i="31"/>
  <c r="R740" i="31" s="1"/>
  <c r="P756" i="31"/>
  <c r="Q756" i="31" s="1"/>
  <c r="O756" i="31"/>
  <c r="R756" i="31" s="1"/>
  <c r="P734" i="31"/>
  <c r="Q734" i="31" s="1"/>
  <c r="O734" i="31"/>
  <c r="R734" i="31" s="1"/>
  <c r="O438" i="31"/>
  <c r="R438" i="31" s="1"/>
  <c r="O502" i="31"/>
  <c r="R502" i="31" s="1"/>
  <c r="O566" i="31"/>
  <c r="R566" i="31" s="1"/>
  <c r="O630" i="31"/>
  <c r="R630" i="31" s="1"/>
  <c r="O503" i="31"/>
  <c r="R503" i="31" s="1"/>
  <c r="P583" i="31"/>
  <c r="Q583" i="31" s="1"/>
  <c r="O599" i="31"/>
  <c r="R599" i="31" s="1"/>
  <c r="O288" i="31"/>
  <c r="R288" i="31" s="1"/>
  <c r="P441" i="31"/>
  <c r="Q441" i="31" s="1"/>
  <c r="P569" i="31"/>
  <c r="Q569" i="31" s="1"/>
  <c r="P697" i="31"/>
  <c r="Q697" i="31" s="1"/>
  <c r="P743" i="31"/>
  <c r="Q743" i="31" s="1"/>
  <c r="O422" i="31"/>
  <c r="R422" i="31" s="1"/>
  <c r="O486" i="31"/>
  <c r="R486" i="31" s="1"/>
  <c r="O550" i="31"/>
  <c r="R550" i="31" s="1"/>
  <c r="O614" i="31"/>
  <c r="R614" i="31" s="1"/>
  <c r="O487" i="31"/>
  <c r="R487" i="31" s="1"/>
  <c r="P567" i="31"/>
  <c r="Q567" i="31" s="1"/>
  <c r="O647" i="31"/>
  <c r="R647" i="31" s="1"/>
  <c r="O320" i="31"/>
  <c r="R320" i="31" s="1"/>
  <c r="O364" i="31"/>
  <c r="R364" i="31" s="1"/>
  <c r="O412" i="31"/>
  <c r="R412" i="31" s="1"/>
  <c r="O492" i="31"/>
  <c r="R492" i="31" s="1"/>
  <c r="O540" i="31"/>
  <c r="R540" i="31" s="1"/>
  <c r="O620" i="31"/>
  <c r="R620" i="31" s="1"/>
  <c r="P473" i="31"/>
  <c r="Q473" i="31" s="1"/>
  <c r="P601" i="31"/>
  <c r="Q601" i="31" s="1"/>
  <c r="P678" i="31"/>
  <c r="Q678" i="31" s="1"/>
  <c r="O724" i="31"/>
  <c r="R724" i="31" s="1"/>
  <c r="P727" i="31"/>
  <c r="Q727" i="31" s="1"/>
  <c r="O406" i="31"/>
  <c r="R406" i="31" s="1"/>
  <c r="O470" i="31"/>
  <c r="R470" i="31" s="1"/>
  <c r="O534" i="31"/>
  <c r="R534" i="31" s="1"/>
  <c r="O598" i="31"/>
  <c r="R598" i="31" s="1"/>
  <c r="O215" i="31"/>
  <c r="R215" i="31" s="1"/>
  <c r="O247" i="31"/>
  <c r="R247" i="31" s="1"/>
  <c r="O279" i="31"/>
  <c r="R279" i="31" s="1"/>
  <c r="O311" i="31"/>
  <c r="R311" i="31" s="1"/>
  <c r="O343" i="31"/>
  <c r="R343" i="31" s="1"/>
  <c r="P359" i="31"/>
  <c r="Q359" i="31" s="1"/>
  <c r="O375" i="31"/>
  <c r="R375" i="31" s="1"/>
  <c r="P391" i="31"/>
  <c r="Q391" i="31" s="1"/>
  <c r="O407" i="31"/>
  <c r="R407" i="31" s="1"/>
  <c r="P423" i="31"/>
  <c r="Q423" i="31" s="1"/>
  <c r="O439" i="31"/>
  <c r="R439" i="31" s="1"/>
  <c r="P455" i="31"/>
  <c r="Q455" i="31" s="1"/>
  <c r="O471" i="31"/>
  <c r="R471" i="31" s="1"/>
  <c r="P551" i="31"/>
  <c r="Q551" i="31" s="1"/>
  <c r="O631" i="31"/>
  <c r="R631" i="31" s="1"/>
  <c r="O224" i="31"/>
  <c r="R224" i="31" s="1"/>
  <c r="O352" i="31"/>
  <c r="R352" i="31" s="1"/>
  <c r="P377" i="31"/>
  <c r="Q377" i="31" s="1"/>
  <c r="P505" i="31"/>
  <c r="Q505" i="31" s="1"/>
  <c r="P633" i="31"/>
  <c r="Q633" i="31" s="1"/>
  <c r="P708" i="31"/>
  <c r="Q708" i="31" s="1"/>
  <c r="O684" i="31"/>
  <c r="R684" i="31" s="1"/>
  <c r="P709" i="31"/>
  <c r="Q709" i="31" s="1"/>
  <c r="O709" i="31"/>
  <c r="R709" i="31" s="1"/>
  <c r="P725" i="31"/>
  <c r="Q725" i="31" s="1"/>
  <c r="O725" i="31"/>
  <c r="R725" i="31" s="1"/>
  <c r="P741" i="31"/>
  <c r="Q741" i="31" s="1"/>
  <c r="O741" i="31"/>
  <c r="R741" i="31" s="1"/>
  <c r="P757" i="31"/>
  <c r="Q757" i="31" s="1"/>
  <c r="O757" i="31"/>
  <c r="R757" i="31" s="1"/>
  <c r="P499" i="31"/>
  <c r="Q499" i="31" s="1"/>
  <c r="P627" i="31"/>
  <c r="Q627" i="31" s="1"/>
  <c r="O392" i="31"/>
  <c r="R392" i="31" s="1"/>
  <c r="O456" i="31"/>
  <c r="R456" i="31" s="1"/>
  <c r="O520" i="31"/>
  <c r="R520" i="31" s="1"/>
  <c r="O584" i="31"/>
  <c r="R584" i="31" s="1"/>
  <c r="O648" i="31"/>
  <c r="R648" i="31" s="1"/>
  <c r="O718" i="31"/>
  <c r="R718" i="31" s="1"/>
  <c r="O696" i="31"/>
  <c r="R696" i="31" s="1"/>
  <c r="O739" i="31"/>
  <c r="R739" i="31" s="1"/>
  <c r="O702" i="31"/>
  <c r="R702" i="31" s="1"/>
  <c r="O766" i="31"/>
  <c r="R766" i="31" s="1"/>
  <c r="P483" i="31"/>
  <c r="Q483" i="31" s="1"/>
  <c r="O483" i="31"/>
  <c r="R483" i="31" s="1"/>
  <c r="P515" i="31"/>
  <c r="Q515" i="31" s="1"/>
  <c r="O515" i="31"/>
  <c r="R515" i="31" s="1"/>
  <c r="P547" i="31"/>
  <c r="Q547" i="31" s="1"/>
  <c r="O547" i="31"/>
  <c r="R547" i="31" s="1"/>
  <c r="P579" i="31"/>
  <c r="Q579" i="31" s="1"/>
  <c r="O579" i="31"/>
  <c r="R579" i="31" s="1"/>
  <c r="P611" i="31"/>
  <c r="Q611" i="31" s="1"/>
  <c r="O611" i="31"/>
  <c r="R611" i="31" s="1"/>
  <c r="P643" i="31"/>
  <c r="Q643" i="31" s="1"/>
  <c r="O643" i="31"/>
  <c r="R643" i="31" s="1"/>
  <c r="P675" i="31"/>
  <c r="Q675" i="31" s="1"/>
  <c r="O675" i="31"/>
  <c r="R675" i="31" s="1"/>
  <c r="P707" i="31"/>
  <c r="Q707" i="31" s="1"/>
  <c r="O707" i="31"/>
  <c r="R707" i="31" s="1"/>
  <c r="P723" i="31"/>
  <c r="Q723" i="31" s="1"/>
  <c r="O723" i="31"/>
  <c r="R723" i="31" s="1"/>
  <c r="P755" i="31"/>
  <c r="Q755" i="31" s="1"/>
  <c r="O755" i="31"/>
  <c r="R755" i="31" s="1"/>
  <c r="O204" i="31"/>
  <c r="R204" i="31" s="1"/>
  <c r="O220" i="31"/>
  <c r="R220" i="31" s="1"/>
  <c r="O236" i="31"/>
  <c r="R236" i="31" s="1"/>
  <c r="O252" i="31"/>
  <c r="R252" i="31" s="1"/>
  <c r="O268" i="31"/>
  <c r="R268" i="31" s="1"/>
  <c r="O284" i="31"/>
  <c r="R284" i="31" s="1"/>
  <c r="O300" i="31"/>
  <c r="R300" i="31" s="1"/>
  <c r="O316" i="31"/>
  <c r="R316" i="31" s="1"/>
  <c r="O332" i="31"/>
  <c r="R332" i="31" s="1"/>
  <c r="P348" i="31"/>
  <c r="Q348" i="31" s="1"/>
  <c r="O348" i="31"/>
  <c r="R348" i="31" s="1"/>
  <c r="O205" i="31"/>
  <c r="R205" i="31" s="1"/>
  <c r="O221" i="31"/>
  <c r="R221" i="31" s="1"/>
  <c r="O237" i="31"/>
  <c r="R237" i="31" s="1"/>
  <c r="O253" i="31"/>
  <c r="R253" i="31" s="1"/>
  <c r="O269" i="31"/>
  <c r="R269" i="31" s="1"/>
  <c r="O285" i="31"/>
  <c r="R285" i="31" s="1"/>
  <c r="O301" i="31"/>
  <c r="R301" i="31" s="1"/>
  <c r="O317" i="31"/>
  <c r="R317" i="31" s="1"/>
  <c r="O333" i="31"/>
  <c r="R333" i="31" s="1"/>
  <c r="P349" i="31"/>
  <c r="Q349" i="31" s="1"/>
  <c r="O349" i="31"/>
  <c r="R349" i="31" s="1"/>
  <c r="P664" i="31"/>
  <c r="Q664" i="31" s="1"/>
  <c r="O664" i="31"/>
  <c r="R664" i="31" s="1"/>
  <c r="P680" i="31"/>
  <c r="Q680" i="31" s="1"/>
  <c r="O680" i="31"/>
  <c r="R680" i="31" s="1"/>
  <c r="P373" i="31"/>
  <c r="Q373" i="31" s="1"/>
  <c r="O373" i="31"/>
  <c r="R373" i="31" s="1"/>
  <c r="P389" i="31"/>
  <c r="Q389" i="31" s="1"/>
  <c r="O389" i="31"/>
  <c r="R389" i="31" s="1"/>
  <c r="P405" i="31"/>
  <c r="Q405" i="31" s="1"/>
  <c r="O405" i="31"/>
  <c r="R405" i="31" s="1"/>
  <c r="P421" i="31"/>
  <c r="Q421" i="31" s="1"/>
  <c r="O421" i="31"/>
  <c r="R421" i="31" s="1"/>
  <c r="P437" i="31"/>
  <c r="Q437" i="31" s="1"/>
  <c r="O437" i="31"/>
  <c r="R437" i="31" s="1"/>
  <c r="P453" i="31"/>
  <c r="Q453" i="31" s="1"/>
  <c r="O453" i="31"/>
  <c r="R453" i="31" s="1"/>
  <c r="P469" i="31"/>
  <c r="Q469" i="31" s="1"/>
  <c r="O469" i="31"/>
  <c r="R469" i="31" s="1"/>
  <c r="P485" i="31"/>
  <c r="Q485" i="31" s="1"/>
  <c r="O485" i="31"/>
  <c r="R485" i="31" s="1"/>
  <c r="P501" i="31"/>
  <c r="Q501" i="31" s="1"/>
  <c r="O501" i="31"/>
  <c r="R501" i="31" s="1"/>
  <c r="P517" i="31"/>
  <c r="Q517" i="31" s="1"/>
  <c r="O517" i="31"/>
  <c r="R517" i="31" s="1"/>
  <c r="P533" i="31"/>
  <c r="Q533" i="31" s="1"/>
  <c r="O533" i="31"/>
  <c r="R533" i="31" s="1"/>
  <c r="P549" i="31"/>
  <c r="Q549" i="31" s="1"/>
  <c r="O549" i="31"/>
  <c r="R549" i="31" s="1"/>
  <c r="P565" i="31"/>
  <c r="Q565" i="31" s="1"/>
  <c r="O565" i="31"/>
  <c r="R565" i="31" s="1"/>
  <c r="P581" i="31"/>
  <c r="Q581" i="31" s="1"/>
  <c r="O581" i="31"/>
  <c r="R581" i="31" s="1"/>
  <c r="P597" i="31"/>
  <c r="Q597" i="31" s="1"/>
  <c r="O597" i="31"/>
  <c r="R597" i="31" s="1"/>
  <c r="P613" i="31"/>
  <c r="Q613" i="31" s="1"/>
  <c r="O613" i="31"/>
  <c r="R613" i="31" s="1"/>
  <c r="P629" i="31"/>
  <c r="Q629" i="31" s="1"/>
  <c r="O629" i="31"/>
  <c r="R629" i="31" s="1"/>
  <c r="P645" i="31"/>
  <c r="Q645" i="31" s="1"/>
  <c r="O645" i="31"/>
  <c r="R645" i="31" s="1"/>
  <c r="P661" i="31"/>
  <c r="Q661" i="31" s="1"/>
  <c r="O661" i="31"/>
  <c r="R661" i="31" s="1"/>
  <c r="P677" i="31"/>
  <c r="Q677" i="31" s="1"/>
  <c r="O677" i="31"/>
  <c r="R677" i="31" s="1"/>
  <c r="P693" i="31"/>
  <c r="Q693" i="31" s="1"/>
  <c r="O693" i="31"/>
  <c r="R693" i="31" s="1"/>
  <c r="P674" i="31"/>
  <c r="Q674" i="31" s="1"/>
  <c r="O674" i="31"/>
  <c r="R674" i="31" s="1"/>
  <c r="P690" i="31"/>
  <c r="Q690" i="31" s="1"/>
  <c r="O690" i="31"/>
  <c r="R690" i="31" s="1"/>
  <c r="O704" i="31"/>
  <c r="R704" i="31" s="1"/>
  <c r="P704" i="31"/>
  <c r="Q704" i="31" s="1"/>
  <c r="O720" i="31"/>
  <c r="R720" i="31" s="1"/>
  <c r="P720" i="31"/>
  <c r="Q720" i="31" s="1"/>
  <c r="O752" i="31"/>
  <c r="R752" i="31" s="1"/>
  <c r="P752" i="31"/>
  <c r="Q752" i="31" s="1"/>
  <c r="P563" i="31"/>
  <c r="Q563" i="31" s="1"/>
  <c r="P691" i="31"/>
  <c r="Q691" i="31" s="1"/>
  <c r="O360" i="31"/>
  <c r="R360" i="31" s="1"/>
  <c r="O424" i="31"/>
  <c r="R424" i="31" s="1"/>
  <c r="O488" i="31"/>
  <c r="R488" i="31" s="1"/>
  <c r="O552" i="31"/>
  <c r="R552" i="31" s="1"/>
  <c r="O616" i="31"/>
  <c r="R616" i="31" s="1"/>
  <c r="O750" i="31"/>
  <c r="R750" i="31" s="1"/>
  <c r="P463" i="31"/>
  <c r="Q463" i="31" s="1"/>
  <c r="P591" i="31"/>
  <c r="Q591" i="31" s="1"/>
  <c r="P527" i="31"/>
  <c r="Q527" i="31" s="1"/>
  <c r="P399" i="31"/>
  <c r="Q399" i="31" s="1"/>
  <c r="P655" i="31"/>
  <c r="Q655" i="31" s="1"/>
  <c r="P383" i="31"/>
  <c r="Q383" i="31" s="1"/>
  <c r="P447" i="31"/>
  <c r="Q447" i="31" s="1"/>
  <c r="P511" i="31"/>
  <c r="Q511" i="31" s="1"/>
  <c r="P575" i="31"/>
  <c r="Q575" i="31" s="1"/>
  <c r="P639" i="31"/>
  <c r="Q639" i="31" s="1"/>
  <c r="P703" i="31"/>
  <c r="Q703" i="31" s="1"/>
  <c r="P367" i="31"/>
  <c r="Q367" i="31" s="1"/>
  <c r="P431" i="31"/>
  <c r="Q431" i="31" s="1"/>
  <c r="P495" i="31"/>
  <c r="Q495" i="31" s="1"/>
  <c r="P559" i="31"/>
  <c r="Q559" i="31" s="1"/>
  <c r="P623" i="31"/>
  <c r="Q623" i="31" s="1"/>
  <c r="P687" i="31"/>
  <c r="Q687" i="31" s="1"/>
  <c r="P351" i="31"/>
  <c r="Q351" i="31" s="1"/>
  <c r="P415" i="31"/>
  <c r="Q415" i="31" s="1"/>
  <c r="P479" i="31"/>
  <c r="Q479" i="31" s="1"/>
  <c r="P543" i="31"/>
  <c r="Q543" i="31" s="1"/>
  <c r="P607" i="31"/>
  <c r="Q607" i="31" s="1"/>
  <c r="P671" i="31"/>
  <c r="Q671" i="31" s="1"/>
  <c r="O735" i="31"/>
  <c r="R735" i="31" s="1"/>
  <c r="O751" i="31"/>
  <c r="R751" i="31" s="1"/>
  <c r="M14" i="24"/>
  <c r="K15" i="24"/>
  <c r="K14" i="24"/>
  <c r="M13" i="24"/>
  <c r="K13" i="24"/>
  <c r="K12" i="24"/>
  <c r="L9" i="24"/>
  <c r="L8" i="24"/>
  <c r="L7" i="24"/>
  <c r="L6" i="24"/>
  <c r="L5" i="24"/>
  <c r="L4" i="24"/>
  <c r="B3" i="24"/>
  <c r="K15" i="23"/>
  <c r="M14" i="23"/>
  <c r="K14" i="23"/>
  <c r="M13" i="23"/>
  <c r="K13" i="23"/>
  <c r="K12" i="23"/>
  <c r="L9" i="23"/>
  <c r="L8" i="23"/>
  <c r="L7" i="23"/>
  <c r="L6" i="23"/>
  <c r="L5" i="23"/>
  <c r="L4" i="23"/>
  <c r="B3" i="23"/>
  <c r="K15" i="22"/>
  <c r="M14" i="22"/>
  <c r="K14" i="22"/>
  <c r="M13" i="22"/>
  <c r="K13" i="22"/>
  <c r="K12" i="22"/>
  <c r="L9" i="22"/>
  <c r="L8" i="22"/>
  <c r="L7" i="22"/>
  <c r="L6" i="22"/>
  <c r="L5" i="22"/>
  <c r="L4" i="22"/>
  <c r="B3" i="22"/>
  <c r="K15" i="21"/>
  <c r="M14" i="21"/>
  <c r="K14" i="21"/>
  <c r="M13" i="21"/>
  <c r="K13" i="21"/>
  <c r="K12" i="21"/>
  <c r="L9" i="21"/>
  <c r="L8" i="21"/>
  <c r="L7" i="21"/>
  <c r="L6" i="21"/>
  <c r="L5" i="21"/>
  <c r="L4" i="21"/>
  <c r="B3" i="21"/>
  <c r="O14" i="17"/>
  <c r="M14" i="17"/>
  <c r="M13" i="17"/>
  <c r="M12" i="17"/>
  <c r="N9" i="17"/>
  <c r="N8" i="17"/>
  <c r="N7" i="17"/>
  <c r="N6" i="17"/>
  <c r="B3" i="17"/>
  <c r="M6" i="12"/>
  <c r="M7" i="12"/>
  <c r="M8" i="12"/>
  <c r="M7" i="13"/>
  <c r="M8" i="13"/>
  <c r="M5" i="26"/>
  <c r="N5" i="26" s="1"/>
  <c r="M6" i="26"/>
  <c r="N6" i="26" s="1"/>
  <c r="M7" i="26"/>
  <c r="N7" i="26" s="1"/>
  <c r="M8" i="26"/>
  <c r="N8" i="26" s="1"/>
  <c r="M4" i="26"/>
  <c r="B3" i="5"/>
  <c r="M9" i="13"/>
  <c r="M6" i="13"/>
  <c r="M5" i="13"/>
  <c r="B3" i="13"/>
  <c r="M9" i="12"/>
  <c r="M5" i="12"/>
  <c r="K15" i="11"/>
  <c r="M14" i="11"/>
  <c r="K14" i="11"/>
  <c r="M13" i="11"/>
  <c r="K13" i="11"/>
  <c r="K12" i="11"/>
  <c r="L9" i="11"/>
  <c r="L8" i="11"/>
  <c r="L7" i="11"/>
  <c r="L6" i="11"/>
  <c r="L5" i="11"/>
  <c r="L4" i="11"/>
  <c r="B3" i="11"/>
  <c r="M180" i="31"/>
  <c r="M181" i="31"/>
  <c r="M182" i="31"/>
  <c r="M183" i="31"/>
  <c r="M184" i="31"/>
  <c r="M185" i="31"/>
  <c r="M186" i="31"/>
  <c r="M187" i="31"/>
  <c r="M188" i="31"/>
  <c r="M189" i="31"/>
  <c r="M190" i="31"/>
  <c r="M191" i="31"/>
  <c r="M192" i="31"/>
  <c r="M193" i="31"/>
  <c r="M194" i="31"/>
  <c r="M195" i="31"/>
  <c r="M196" i="31"/>
  <c r="M197" i="31"/>
  <c r="M198" i="31"/>
  <c r="M199" i="31"/>
  <c r="M200" i="31"/>
  <c r="M201" i="31"/>
  <c r="M202" i="31"/>
  <c r="M203" i="31"/>
  <c r="M204" i="31"/>
  <c r="P204" i="31" s="1"/>
  <c r="Q204" i="31" s="1"/>
  <c r="M205" i="31"/>
  <c r="P205" i="31" s="1"/>
  <c r="Q205" i="31" s="1"/>
  <c r="M206" i="31"/>
  <c r="P206" i="31" s="1"/>
  <c r="Q206" i="31" s="1"/>
  <c r="M207" i="31"/>
  <c r="P207" i="31" s="1"/>
  <c r="Q207" i="31" s="1"/>
  <c r="M208" i="31"/>
  <c r="P208" i="31" s="1"/>
  <c r="Q208" i="31" s="1"/>
  <c r="M209" i="31"/>
  <c r="P209" i="31" s="1"/>
  <c r="Q209" i="31" s="1"/>
  <c r="M210" i="31"/>
  <c r="P210" i="31" s="1"/>
  <c r="Q210" i="31" s="1"/>
  <c r="M211" i="31"/>
  <c r="P211" i="31" s="1"/>
  <c r="Q211" i="31" s="1"/>
  <c r="M212" i="31"/>
  <c r="P212" i="31" s="1"/>
  <c r="Q212" i="31" s="1"/>
  <c r="M213" i="31"/>
  <c r="P213" i="31" s="1"/>
  <c r="Q213" i="31" s="1"/>
  <c r="M214" i="31"/>
  <c r="P214" i="31" s="1"/>
  <c r="Q214" i="31" s="1"/>
  <c r="M215" i="31"/>
  <c r="P215" i="31" s="1"/>
  <c r="Q215" i="31" s="1"/>
  <c r="M216" i="31"/>
  <c r="P216" i="31" s="1"/>
  <c r="Q216" i="31" s="1"/>
  <c r="M217" i="31"/>
  <c r="P217" i="31" s="1"/>
  <c r="Q217" i="31" s="1"/>
  <c r="M218" i="31"/>
  <c r="P218" i="31" s="1"/>
  <c r="Q218" i="31" s="1"/>
  <c r="M219" i="31"/>
  <c r="P219" i="31" s="1"/>
  <c r="Q219" i="31" s="1"/>
  <c r="M220" i="31"/>
  <c r="P220" i="31" s="1"/>
  <c r="Q220" i="31" s="1"/>
  <c r="M221" i="31"/>
  <c r="P221" i="31" s="1"/>
  <c r="Q221" i="31" s="1"/>
  <c r="M222" i="31"/>
  <c r="P222" i="31" s="1"/>
  <c r="Q222" i="31" s="1"/>
  <c r="M223" i="31"/>
  <c r="P223" i="31" s="1"/>
  <c r="Q223" i="31" s="1"/>
  <c r="M224" i="31"/>
  <c r="P224" i="31" s="1"/>
  <c r="Q224" i="31" s="1"/>
  <c r="M225" i="31"/>
  <c r="P225" i="31" s="1"/>
  <c r="Q225" i="31" s="1"/>
  <c r="M226" i="31"/>
  <c r="P226" i="31" s="1"/>
  <c r="Q226" i="31" s="1"/>
  <c r="M227" i="31"/>
  <c r="P227" i="31" s="1"/>
  <c r="Q227" i="31" s="1"/>
  <c r="M228" i="31"/>
  <c r="P228" i="31" s="1"/>
  <c r="Q228" i="31" s="1"/>
  <c r="M229" i="31"/>
  <c r="P229" i="31" s="1"/>
  <c r="Q229" i="31" s="1"/>
  <c r="M230" i="31"/>
  <c r="P230" i="31" s="1"/>
  <c r="Q230" i="31" s="1"/>
  <c r="M231" i="31"/>
  <c r="P231" i="31" s="1"/>
  <c r="Q231" i="31" s="1"/>
  <c r="M232" i="31"/>
  <c r="P232" i="31" s="1"/>
  <c r="Q232" i="31" s="1"/>
  <c r="M233" i="31"/>
  <c r="P233" i="31" s="1"/>
  <c r="Q233" i="31" s="1"/>
  <c r="M234" i="31"/>
  <c r="P234" i="31" s="1"/>
  <c r="Q234" i="31" s="1"/>
  <c r="M235" i="31"/>
  <c r="P235" i="31" s="1"/>
  <c r="Q235" i="31" s="1"/>
  <c r="M236" i="31"/>
  <c r="P236" i="31" s="1"/>
  <c r="Q236" i="31" s="1"/>
  <c r="M237" i="31"/>
  <c r="P237" i="31" s="1"/>
  <c r="Q237" i="31" s="1"/>
  <c r="M238" i="31"/>
  <c r="P238" i="31" s="1"/>
  <c r="Q238" i="31" s="1"/>
  <c r="M239" i="31"/>
  <c r="P239" i="31" s="1"/>
  <c r="Q239" i="31" s="1"/>
  <c r="M240" i="31"/>
  <c r="P240" i="31" s="1"/>
  <c r="Q240" i="31" s="1"/>
  <c r="M241" i="31"/>
  <c r="P241" i="31" s="1"/>
  <c r="Q241" i="31" s="1"/>
  <c r="M242" i="31"/>
  <c r="P242" i="31" s="1"/>
  <c r="Q242" i="31" s="1"/>
  <c r="M243" i="31"/>
  <c r="P243" i="31" s="1"/>
  <c r="Q243" i="31" s="1"/>
  <c r="M244" i="31"/>
  <c r="P244" i="31" s="1"/>
  <c r="Q244" i="31" s="1"/>
  <c r="M245" i="31"/>
  <c r="P245" i="31" s="1"/>
  <c r="Q245" i="31" s="1"/>
  <c r="M246" i="31"/>
  <c r="P246" i="31" s="1"/>
  <c r="Q246" i="31" s="1"/>
  <c r="M247" i="31"/>
  <c r="P247" i="31" s="1"/>
  <c r="Q247" i="31" s="1"/>
  <c r="M248" i="31"/>
  <c r="P248" i="31" s="1"/>
  <c r="Q248" i="31" s="1"/>
  <c r="M249" i="31"/>
  <c r="P249" i="31" s="1"/>
  <c r="Q249" i="31" s="1"/>
  <c r="M250" i="31"/>
  <c r="P250" i="31" s="1"/>
  <c r="Q250" i="31" s="1"/>
  <c r="M251" i="31"/>
  <c r="P251" i="31" s="1"/>
  <c r="Q251" i="31" s="1"/>
  <c r="M252" i="31"/>
  <c r="P252" i="31" s="1"/>
  <c r="Q252" i="31" s="1"/>
  <c r="M253" i="31"/>
  <c r="P253" i="31" s="1"/>
  <c r="Q253" i="31" s="1"/>
  <c r="M254" i="31"/>
  <c r="P254" i="31" s="1"/>
  <c r="Q254" i="31" s="1"/>
  <c r="M255" i="31"/>
  <c r="P255" i="31" s="1"/>
  <c r="Q255" i="31" s="1"/>
  <c r="M256" i="31"/>
  <c r="P256" i="31" s="1"/>
  <c r="Q256" i="31" s="1"/>
  <c r="M257" i="31"/>
  <c r="P257" i="31" s="1"/>
  <c r="Q257" i="31" s="1"/>
  <c r="M258" i="31"/>
  <c r="P258" i="31" s="1"/>
  <c r="Q258" i="31" s="1"/>
  <c r="M259" i="31"/>
  <c r="P259" i="31" s="1"/>
  <c r="Q259" i="31" s="1"/>
  <c r="M260" i="31"/>
  <c r="P260" i="31" s="1"/>
  <c r="Q260" i="31" s="1"/>
  <c r="M261" i="31"/>
  <c r="P261" i="31" s="1"/>
  <c r="Q261" i="31" s="1"/>
  <c r="M262" i="31"/>
  <c r="P262" i="31" s="1"/>
  <c r="Q262" i="31" s="1"/>
  <c r="M263" i="31"/>
  <c r="P263" i="31" s="1"/>
  <c r="Q263" i="31" s="1"/>
  <c r="M264" i="31"/>
  <c r="P264" i="31" s="1"/>
  <c r="Q264" i="31" s="1"/>
  <c r="M265" i="31"/>
  <c r="P265" i="31" s="1"/>
  <c r="Q265" i="31" s="1"/>
  <c r="M266" i="31"/>
  <c r="P266" i="31" s="1"/>
  <c r="Q266" i="31" s="1"/>
  <c r="M267" i="31"/>
  <c r="P267" i="31" s="1"/>
  <c r="Q267" i="31" s="1"/>
  <c r="M268" i="31"/>
  <c r="P268" i="31" s="1"/>
  <c r="Q268" i="31" s="1"/>
  <c r="M269" i="31"/>
  <c r="P269" i="31" s="1"/>
  <c r="Q269" i="31" s="1"/>
  <c r="M270" i="31"/>
  <c r="P270" i="31" s="1"/>
  <c r="Q270" i="31" s="1"/>
  <c r="M271" i="31"/>
  <c r="P271" i="31" s="1"/>
  <c r="Q271" i="31" s="1"/>
  <c r="M272" i="31"/>
  <c r="P272" i="31" s="1"/>
  <c r="Q272" i="31" s="1"/>
  <c r="M273" i="31"/>
  <c r="P273" i="31" s="1"/>
  <c r="Q273" i="31" s="1"/>
  <c r="M274" i="31"/>
  <c r="P274" i="31" s="1"/>
  <c r="Q274" i="31" s="1"/>
  <c r="M275" i="31"/>
  <c r="P275" i="31" s="1"/>
  <c r="Q275" i="31" s="1"/>
  <c r="M276" i="31"/>
  <c r="P276" i="31" s="1"/>
  <c r="Q276" i="31" s="1"/>
  <c r="M277" i="31"/>
  <c r="P277" i="31" s="1"/>
  <c r="Q277" i="31" s="1"/>
  <c r="M278" i="31"/>
  <c r="P278" i="31" s="1"/>
  <c r="Q278" i="31" s="1"/>
  <c r="M279" i="31"/>
  <c r="P279" i="31" s="1"/>
  <c r="Q279" i="31" s="1"/>
  <c r="M280" i="31"/>
  <c r="P280" i="31" s="1"/>
  <c r="Q280" i="31" s="1"/>
  <c r="M281" i="31"/>
  <c r="P281" i="31" s="1"/>
  <c r="Q281" i="31" s="1"/>
  <c r="M282" i="31"/>
  <c r="P282" i="31" s="1"/>
  <c r="Q282" i="31" s="1"/>
  <c r="M283" i="31"/>
  <c r="P283" i="31" s="1"/>
  <c r="Q283" i="31" s="1"/>
  <c r="M284" i="31"/>
  <c r="P284" i="31" s="1"/>
  <c r="Q284" i="31" s="1"/>
  <c r="M285" i="31"/>
  <c r="P285" i="31" s="1"/>
  <c r="Q285" i="31" s="1"/>
  <c r="M286" i="31"/>
  <c r="P286" i="31" s="1"/>
  <c r="Q286" i="31" s="1"/>
  <c r="M287" i="31"/>
  <c r="P287" i="31" s="1"/>
  <c r="Q287" i="31" s="1"/>
  <c r="M288" i="31"/>
  <c r="P288" i="31" s="1"/>
  <c r="Q288" i="31" s="1"/>
  <c r="M289" i="31"/>
  <c r="P289" i="31" s="1"/>
  <c r="Q289" i="31" s="1"/>
  <c r="M290" i="31"/>
  <c r="P290" i="31" s="1"/>
  <c r="Q290" i="31" s="1"/>
  <c r="M291" i="31"/>
  <c r="P291" i="31" s="1"/>
  <c r="Q291" i="31" s="1"/>
  <c r="M292" i="31"/>
  <c r="P292" i="31" s="1"/>
  <c r="Q292" i="31" s="1"/>
  <c r="M293" i="31"/>
  <c r="P293" i="31" s="1"/>
  <c r="Q293" i="31" s="1"/>
  <c r="M294" i="31"/>
  <c r="P294" i="31" s="1"/>
  <c r="Q294" i="31" s="1"/>
  <c r="M295" i="31"/>
  <c r="P295" i="31" s="1"/>
  <c r="Q295" i="31" s="1"/>
  <c r="M296" i="31"/>
  <c r="P296" i="31" s="1"/>
  <c r="Q296" i="31" s="1"/>
  <c r="M297" i="31"/>
  <c r="P297" i="31" s="1"/>
  <c r="Q297" i="31" s="1"/>
  <c r="M298" i="31"/>
  <c r="P298" i="31" s="1"/>
  <c r="Q298" i="31" s="1"/>
  <c r="M299" i="31"/>
  <c r="P299" i="31" s="1"/>
  <c r="Q299" i="31" s="1"/>
  <c r="M300" i="31"/>
  <c r="P300" i="31" s="1"/>
  <c r="Q300" i="31" s="1"/>
  <c r="M301" i="31"/>
  <c r="P301" i="31" s="1"/>
  <c r="Q301" i="31" s="1"/>
  <c r="M302" i="31"/>
  <c r="P302" i="31" s="1"/>
  <c r="Q302" i="31" s="1"/>
  <c r="M303" i="31"/>
  <c r="P303" i="31" s="1"/>
  <c r="Q303" i="31" s="1"/>
  <c r="M304" i="31"/>
  <c r="P304" i="31" s="1"/>
  <c r="Q304" i="31" s="1"/>
  <c r="M305" i="31"/>
  <c r="P305" i="31" s="1"/>
  <c r="Q305" i="31" s="1"/>
  <c r="M306" i="31"/>
  <c r="P306" i="31" s="1"/>
  <c r="Q306" i="31" s="1"/>
  <c r="M307" i="31"/>
  <c r="P307" i="31" s="1"/>
  <c r="Q307" i="31" s="1"/>
  <c r="M308" i="31"/>
  <c r="P308" i="31" s="1"/>
  <c r="Q308" i="31" s="1"/>
  <c r="M309" i="31"/>
  <c r="P309" i="31" s="1"/>
  <c r="Q309" i="31" s="1"/>
  <c r="M310" i="31"/>
  <c r="P310" i="31" s="1"/>
  <c r="Q310" i="31" s="1"/>
  <c r="M311" i="31"/>
  <c r="P311" i="31" s="1"/>
  <c r="Q311" i="31" s="1"/>
  <c r="M312" i="31"/>
  <c r="P312" i="31" s="1"/>
  <c r="Q312" i="31" s="1"/>
  <c r="M313" i="31"/>
  <c r="P313" i="31" s="1"/>
  <c r="Q313" i="31" s="1"/>
  <c r="M314" i="31"/>
  <c r="P314" i="31" s="1"/>
  <c r="Q314" i="31" s="1"/>
  <c r="M315" i="31"/>
  <c r="P315" i="31" s="1"/>
  <c r="Q315" i="31" s="1"/>
  <c r="M316" i="31"/>
  <c r="P316" i="31" s="1"/>
  <c r="Q316" i="31" s="1"/>
  <c r="M317" i="31"/>
  <c r="P317" i="31" s="1"/>
  <c r="Q317" i="31" s="1"/>
  <c r="M318" i="31"/>
  <c r="P318" i="31" s="1"/>
  <c r="Q318" i="31" s="1"/>
  <c r="M319" i="31"/>
  <c r="P319" i="31" s="1"/>
  <c r="Q319" i="31" s="1"/>
  <c r="M320" i="31"/>
  <c r="P320" i="31" s="1"/>
  <c r="Q320" i="31" s="1"/>
  <c r="M321" i="31"/>
  <c r="P321" i="31" s="1"/>
  <c r="Q321" i="31" s="1"/>
  <c r="M322" i="31"/>
  <c r="P322" i="31" s="1"/>
  <c r="Q322" i="31" s="1"/>
  <c r="M323" i="31"/>
  <c r="P323" i="31" s="1"/>
  <c r="Q323" i="31" s="1"/>
  <c r="M324" i="31"/>
  <c r="P324" i="31" s="1"/>
  <c r="Q324" i="31" s="1"/>
  <c r="M325" i="31"/>
  <c r="P325" i="31" s="1"/>
  <c r="Q325" i="31" s="1"/>
  <c r="M326" i="31"/>
  <c r="P326" i="31" s="1"/>
  <c r="Q326" i="31" s="1"/>
  <c r="M327" i="31"/>
  <c r="P327" i="31" s="1"/>
  <c r="Q327" i="31" s="1"/>
  <c r="M328" i="31"/>
  <c r="P328" i="31" s="1"/>
  <c r="Q328" i="31" s="1"/>
  <c r="M329" i="31"/>
  <c r="P329" i="31" s="1"/>
  <c r="Q329" i="31" s="1"/>
  <c r="M330" i="31"/>
  <c r="P330" i="31" s="1"/>
  <c r="Q330" i="31" s="1"/>
  <c r="M331" i="31"/>
  <c r="P331" i="31" s="1"/>
  <c r="Q331" i="31" s="1"/>
  <c r="M332" i="31"/>
  <c r="P332" i="31" s="1"/>
  <c r="Q332" i="31" s="1"/>
  <c r="M333" i="31"/>
  <c r="P333" i="31" s="1"/>
  <c r="Q333" i="31" s="1"/>
  <c r="M334" i="31"/>
  <c r="P334" i="31" s="1"/>
  <c r="Q334" i="31" s="1"/>
  <c r="M335" i="31"/>
  <c r="P335" i="31" s="1"/>
  <c r="Q335" i="31" s="1"/>
  <c r="M336" i="31"/>
  <c r="P336" i="31" s="1"/>
  <c r="Q336" i="31" s="1"/>
  <c r="M337" i="31"/>
  <c r="P337" i="31" s="1"/>
  <c r="Q337" i="31" s="1"/>
  <c r="M338" i="31"/>
  <c r="P338" i="31" s="1"/>
  <c r="Q338" i="31" s="1"/>
  <c r="M339" i="31"/>
  <c r="P339" i="31" s="1"/>
  <c r="Q339" i="31" s="1"/>
  <c r="M340" i="31"/>
  <c r="P340" i="31" s="1"/>
  <c r="Q340" i="31" s="1"/>
  <c r="M341" i="31"/>
  <c r="P341" i="31" s="1"/>
  <c r="Q341" i="31" s="1"/>
  <c r="M342" i="31"/>
  <c r="P342" i="31" s="1"/>
  <c r="Q342" i="31" s="1"/>
  <c r="M343" i="31"/>
  <c r="P343" i="31" s="1"/>
  <c r="Q343" i="31" s="1"/>
  <c r="M344" i="31"/>
  <c r="P344" i="31" s="1"/>
  <c r="Q344" i="31" s="1"/>
  <c r="M345" i="31"/>
  <c r="P345" i="31" s="1"/>
  <c r="Q345" i="31" s="1"/>
  <c r="M5" i="27"/>
  <c r="N5" i="27" s="1"/>
  <c r="M6" i="27"/>
  <c r="N6" i="27" s="1"/>
  <c r="M7" i="27"/>
  <c r="N7" i="27" s="1"/>
  <c r="M8" i="27"/>
  <c r="N8" i="27" s="1"/>
  <c r="M12" i="27"/>
  <c r="N12" i="27" s="1"/>
  <c r="M4" i="27"/>
  <c r="O17" i="27"/>
  <c r="M17" i="27"/>
  <c r="M15" i="27"/>
  <c r="B3" i="27"/>
  <c r="B3" i="26"/>
  <c r="M14" i="26"/>
  <c r="M12" i="26"/>
  <c r="B2" i="10"/>
  <c r="B2" i="8"/>
  <c r="B2" i="7"/>
  <c r="M14" i="5"/>
  <c r="M13" i="5"/>
  <c r="K15" i="5"/>
  <c r="L5" i="5"/>
  <c r="L6" i="5"/>
  <c r="L7" i="5"/>
  <c r="L8" i="5"/>
  <c r="L9" i="5"/>
  <c r="L4" i="5"/>
  <c r="K14" i="5"/>
  <c r="K13" i="5"/>
  <c r="K12" i="5"/>
  <c r="H16" i="18" l="1"/>
  <c r="T14" i="31" s="1"/>
  <c r="C184" i="4" s="1"/>
  <c r="H17" i="18"/>
  <c r="T15" i="31" s="1"/>
  <c r="C185" i="4" s="1"/>
  <c r="H13" i="18"/>
  <c r="T11" i="31" s="1"/>
  <c r="C136" i="4" s="1"/>
  <c r="H12" i="18"/>
  <c r="T10" i="31" s="1"/>
  <c r="C135" i="4" s="1"/>
  <c r="T8" i="31"/>
  <c r="C133" i="4" s="1"/>
  <c r="T7" i="31"/>
  <c r="C85" i="4" s="1"/>
  <c r="U11" i="31"/>
  <c r="D136" i="4" s="1"/>
  <c r="U13" i="31"/>
  <c r="D183" i="4" s="1"/>
  <c r="U14" i="31"/>
  <c r="D184" i="4" s="1"/>
  <c r="U8" i="31"/>
  <c r="D133" i="4" s="1"/>
  <c r="U15" i="31"/>
  <c r="D185" i="4" s="1"/>
  <c r="U9" i="31"/>
  <c r="D134" i="4" s="1"/>
  <c r="U12" i="31"/>
  <c r="D182" i="4" s="1"/>
  <c r="U10" i="31"/>
  <c r="D135" i="4" s="1"/>
  <c r="U6" i="31"/>
  <c r="D84" i="4" s="1"/>
  <c r="U7" i="31"/>
  <c r="D85" i="4" s="1"/>
  <c r="U5" i="31"/>
  <c r="D38" i="4" s="1"/>
  <c r="M15" i="17"/>
  <c r="M11" i="12"/>
  <c r="N13" i="12" s="1"/>
  <c r="M17" i="12" s="1"/>
  <c r="G6" i="12" s="1"/>
  <c r="L10" i="24"/>
  <c r="M12" i="24" s="1"/>
  <c r="L16" i="24" s="1"/>
  <c r="G6" i="24" s="1"/>
  <c r="L10" i="23"/>
  <c r="M12" i="23" s="1"/>
  <c r="L16" i="23" s="1"/>
  <c r="L10" i="11"/>
  <c r="M12" i="11" s="1"/>
  <c r="L16" i="11" s="1"/>
  <c r="L17" i="11" s="1"/>
  <c r="L10" i="22"/>
  <c r="M12" i="22" s="1"/>
  <c r="L16" i="22" s="1"/>
  <c r="L17" i="22" s="1"/>
  <c r="G14" i="22" s="1"/>
  <c r="L10" i="21"/>
  <c r="M12" i="21" s="1"/>
  <c r="L16" i="21" s="1"/>
  <c r="N4" i="17"/>
  <c r="O13" i="17"/>
  <c r="N5" i="17"/>
  <c r="M15" i="26"/>
  <c r="N4" i="26"/>
  <c r="N10" i="26" s="1"/>
  <c r="O12" i="26" s="1"/>
  <c r="N16" i="26" s="1"/>
  <c r="O13" i="26"/>
  <c r="M4" i="13"/>
  <c r="M11" i="13" s="1"/>
  <c r="N13" i="13" s="1"/>
  <c r="M17" i="13" s="1"/>
  <c r="G6" i="13" s="1"/>
  <c r="M18" i="27"/>
  <c r="O16" i="27"/>
  <c r="N4" i="27"/>
  <c r="N13" i="27" s="1"/>
  <c r="O15" i="27" s="1"/>
  <c r="N19" i="27" s="1"/>
  <c r="L10" i="5"/>
  <c r="M12" i="5" s="1"/>
  <c r="L16" i="5" s="1"/>
  <c r="L17" i="5" s="1"/>
  <c r="U4" i="31" l="1"/>
  <c r="D37" i="4" s="1"/>
  <c r="G8" i="5"/>
  <c r="H6" i="31" s="1"/>
  <c r="G16" i="5"/>
  <c r="H14" i="31" s="1"/>
  <c r="J166" i="4" s="1"/>
  <c r="G9" i="5"/>
  <c r="H7" i="31" s="1"/>
  <c r="J67" i="4" s="1"/>
  <c r="G17" i="5"/>
  <c r="H15" i="31" s="1"/>
  <c r="J167" i="4" s="1"/>
  <c r="G10" i="5"/>
  <c r="H8" i="31" s="1"/>
  <c r="J115" i="4" s="1"/>
  <c r="G6" i="5"/>
  <c r="G11" i="5"/>
  <c r="H9" i="31" s="1"/>
  <c r="J116" i="4" s="1"/>
  <c r="G12" i="5"/>
  <c r="H10" i="31" s="1"/>
  <c r="J117" i="4" s="1"/>
  <c r="G13" i="5"/>
  <c r="H11" i="31" s="1"/>
  <c r="G14" i="5"/>
  <c r="H12" i="31" s="1"/>
  <c r="G7" i="5"/>
  <c r="G15" i="5"/>
  <c r="H13" i="31" s="1"/>
  <c r="H13" i="26"/>
  <c r="H14" i="26"/>
  <c r="H15" i="26"/>
  <c r="H17" i="26"/>
  <c r="H16" i="26"/>
  <c r="H12" i="26"/>
  <c r="G17" i="22"/>
  <c r="G16" i="22"/>
  <c r="G15" i="22"/>
  <c r="G10" i="22"/>
  <c r="X12" i="31"/>
  <c r="G11" i="22"/>
  <c r="G12" i="22"/>
  <c r="G13" i="22"/>
  <c r="H9" i="26"/>
  <c r="H11" i="26"/>
  <c r="N10" i="17"/>
  <c r="O12" i="17" s="1"/>
  <c r="N16" i="17" s="1"/>
  <c r="N17" i="17" s="1"/>
  <c r="G8" i="22"/>
  <c r="G9" i="22"/>
  <c r="G6" i="22"/>
  <c r="G7" i="22"/>
  <c r="L17" i="24"/>
  <c r="V181" i="31"/>
  <c r="V185" i="31"/>
  <c r="V189" i="31"/>
  <c r="V193" i="31"/>
  <c r="V197" i="31"/>
  <c r="V201" i="31"/>
  <c r="V180" i="31"/>
  <c r="V192" i="31"/>
  <c r="V182" i="31"/>
  <c r="V186" i="31"/>
  <c r="V190" i="31"/>
  <c r="V194" i="31"/>
  <c r="V198" i="31"/>
  <c r="V202" i="31"/>
  <c r="V188" i="31"/>
  <c r="V200" i="31"/>
  <c r="V183" i="31"/>
  <c r="V187" i="31"/>
  <c r="V191" i="31"/>
  <c r="V195" i="31"/>
  <c r="V199" i="31"/>
  <c r="V203" i="31"/>
  <c r="V184" i="31"/>
  <c r="V196" i="31"/>
  <c r="L17" i="21"/>
  <c r="H182" i="31"/>
  <c r="H186" i="31"/>
  <c r="H190" i="31"/>
  <c r="H194" i="31"/>
  <c r="H198" i="31"/>
  <c r="H202" i="31"/>
  <c r="H183" i="31"/>
  <c r="H187" i="31"/>
  <c r="H191" i="31"/>
  <c r="H195" i="31"/>
  <c r="H199" i="31"/>
  <c r="H203" i="31"/>
  <c r="H181" i="31"/>
  <c r="H189" i="31"/>
  <c r="H197" i="31"/>
  <c r="H184" i="31"/>
  <c r="H192" i="31"/>
  <c r="H200" i="31"/>
  <c r="H185" i="31"/>
  <c r="H193" i="31"/>
  <c r="H201" i="31"/>
  <c r="H180" i="31"/>
  <c r="H188" i="31"/>
  <c r="H196" i="31"/>
  <c r="K183" i="31"/>
  <c r="K187" i="31"/>
  <c r="K191" i="31"/>
  <c r="K195" i="31"/>
  <c r="K199" i="31"/>
  <c r="K203" i="31"/>
  <c r="K186" i="31"/>
  <c r="K198" i="31"/>
  <c r="K180" i="31"/>
  <c r="K184" i="31"/>
  <c r="K188" i="31"/>
  <c r="K192" i="31"/>
  <c r="K196" i="31"/>
  <c r="K200" i="31"/>
  <c r="K190" i="31"/>
  <c r="K202" i="31"/>
  <c r="K181" i="31"/>
  <c r="K185" i="31"/>
  <c r="K189" i="31"/>
  <c r="K193" i="31"/>
  <c r="K197" i="31"/>
  <c r="K201" i="31"/>
  <c r="K182" i="31"/>
  <c r="K194" i="31"/>
  <c r="X182" i="31"/>
  <c r="X186" i="31"/>
  <c r="X190" i="31"/>
  <c r="X194" i="31"/>
  <c r="X198" i="31"/>
  <c r="X202" i="31"/>
  <c r="X183" i="31"/>
  <c r="X187" i="31"/>
  <c r="X191" i="31"/>
  <c r="X195" i="31"/>
  <c r="X199" i="31"/>
  <c r="X203" i="31"/>
  <c r="X181" i="31"/>
  <c r="X189" i="31"/>
  <c r="X197" i="31"/>
  <c r="X184" i="31"/>
  <c r="X192" i="31"/>
  <c r="X200" i="31"/>
  <c r="X185" i="31"/>
  <c r="X193" i="31"/>
  <c r="X201" i="31"/>
  <c r="X180" i="31"/>
  <c r="X188" i="31"/>
  <c r="X196" i="31"/>
  <c r="L17" i="23"/>
  <c r="G14" i="23" s="1"/>
  <c r="M18" i="12"/>
  <c r="M18" i="13"/>
  <c r="N20" i="27"/>
  <c r="G6" i="21" l="1"/>
  <c r="G14" i="21"/>
  <c r="G15" i="21"/>
  <c r="G16" i="21"/>
  <c r="G17" i="21"/>
  <c r="G12" i="21"/>
  <c r="G7" i="21"/>
  <c r="G8" i="21"/>
  <c r="G9" i="21"/>
  <c r="G10" i="21"/>
  <c r="G13" i="21"/>
  <c r="G11" i="21"/>
  <c r="G10" i="13"/>
  <c r="G11" i="13"/>
  <c r="G12" i="13"/>
  <c r="G13" i="13"/>
  <c r="G16" i="13"/>
  <c r="G9" i="13"/>
  <c r="G17" i="13"/>
  <c r="G14" i="13"/>
  <c r="G15" i="13"/>
  <c r="G8" i="13"/>
  <c r="G7" i="13"/>
  <c r="J164" i="4"/>
  <c r="J118" i="4"/>
  <c r="X10" i="31"/>
  <c r="G135" i="4" s="1"/>
  <c r="X4" i="31"/>
  <c r="G37" i="4" s="1"/>
  <c r="X8" i="31"/>
  <c r="G133" i="4" s="1"/>
  <c r="X7" i="31"/>
  <c r="G85" i="4" s="1"/>
  <c r="X6" i="31"/>
  <c r="G84" i="4" s="1"/>
  <c r="X9" i="31"/>
  <c r="G134" i="4" s="1"/>
  <c r="X14" i="31"/>
  <c r="G184" i="4" s="1"/>
  <c r="X11" i="31"/>
  <c r="G136" i="4" s="1"/>
  <c r="X13" i="31"/>
  <c r="G183" i="4" s="1"/>
  <c r="X5" i="31"/>
  <c r="G38" i="4" s="1"/>
  <c r="G182" i="4"/>
  <c r="X15" i="31"/>
  <c r="G185" i="4" s="1"/>
  <c r="G7" i="12"/>
  <c r="G11" i="12"/>
  <c r="J9" i="31" s="1"/>
  <c r="L116" i="4" s="1"/>
  <c r="G15" i="12"/>
  <c r="J13" i="31" s="1"/>
  <c r="G10" i="12"/>
  <c r="J8" i="31" s="1"/>
  <c r="L115" i="4" s="1"/>
  <c r="G8" i="12"/>
  <c r="G12" i="12"/>
  <c r="J10" i="31" s="1"/>
  <c r="L117" i="4" s="1"/>
  <c r="G16" i="12"/>
  <c r="G9" i="12"/>
  <c r="J7" i="31" s="1"/>
  <c r="L67" i="4" s="1"/>
  <c r="G13" i="12"/>
  <c r="G17" i="12"/>
  <c r="J15" i="31" s="1"/>
  <c r="L167" i="4" s="1"/>
  <c r="G14" i="12"/>
  <c r="J165" i="4"/>
  <c r="H5" i="31"/>
  <c r="J20" i="4" s="1"/>
  <c r="H4" i="31"/>
  <c r="J19" i="4" s="1"/>
  <c r="F14" i="31"/>
  <c r="H166" i="4" s="1"/>
  <c r="F15" i="31"/>
  <c r="H167" i="4" s="1"/>
  <c r="F13" i="31"/>
  <c r="H165" i="4" s="1"/>
  <c r="F9" i="31"/>
  <c r="H116" i="4" s="1"/>
  <c r="F12" i="31"/>
  <c r="H164" i="4" s="1"/>
  <c r="F7" i="31"/>
  <c r="H67" i="4" s="1"/>
  <c r="F11" i="31"/>
  <c r="H118" i="4" s="1"/>
  <c r="F8" i="31"/>
  <c r="H115" i="4" s="1"/>
  <c r="F10" i="31"/>
  <c r="H117" i="4" s="1"/>
  <c r="G11" i="24"/>
  <c r="G12" i="24"/>
  <c r="G13" i="24"/>
  <c r="G14" i="24"/>
  <c r="G7" i="24"/>
  <c r="V5" i="31" s="1"/>
  <c r="E38" i="4" s="1"/>
  <c r="G15" i="24"/>
  <c r="G17" i="24"/>
  <c r="G8" i="24"/>
  <c r="V6" i="31" s="1"/>
  <c r="E84" i="4" s="1"/>
  <c r="G16" i="24"/>
  <c r="G9" i="24"/>
  <c r="G10" i="24"/>
  <c r="V8" i="31" s="1"/>
  <c r="E133" i="4" s="1"/>
  <c r="J5" i="31"/>
  <c r="J6" i="31"/>
  <c r="V10" i="31"/>
  <c r="E135" i="4" s="1"/>
  <c r="V7" i="31"/>
  <c r="E85" i="4" s="1"/>
  <c r="V13" i="31"/>
  <c r="G16" i="23"/>
  <c r="G15" i="23"/>
  <c r="G10" i="23"/>
  <c r="Y12" i="31"/>
  <c r="H182" i="4" s="1"/>
  <c r="G11" i="23"/>
  <c r="G12" i="23"/>
  <c r="G6" i="23"/>
  <c r="G13" i="23"/>
  <c r="G7" i="23"/>
  <c r="G8" i="23"/>
  <c r="G17" i="23"/>
  <c r="G9" i="23"/>
  <c r="W12" i="31"/>
  <c r="F182" i="4" s="1"/>
  <c r="J11" i="31"/>
  <c r="L118" i="4" s="1"/>
  <c r="J14" i="31"/>
  <c r="L166" i="4" s="1"/>
  <c r="J12" i="31"/>
  <c r="AC184" i="31"/>
  <c r="J66" i="4"/>
  <c r="H7" i="26"/>
  <c r="H8" i="26"/>
  <c r="H6" i="26"/>
  <c r="AC194" i="31"/>
  <c r="H9" i="17"/>
  <c r="H12" i="17"/>
  <c r="H11" i="17"/>
  <c r="H8" i="17"/>
  <c r="H7" i="17"/>
  <c r="H6" i="17"/>
  <c r="H10" i="27"/>
  <c r="H5" i="27"/>
  <c r="H9" i="27"/>
  <c r="H11" i="27"/>
  <c r="H6" i="27"/>
  <c r="H12" i="27"/>
  <c r="H14" i="27"/>
  <c r="H7" i="27"/>
  <c r="H13" i="27"/>
  <c r="H15" i="27"/>
  <c r="H8" i="27"/>
  <c r="H4" i="27"/>
  <c r="Y191" i="31"/>
  <c r="Y185" i="31"/>
  <c r="Y202" i="31"/>
  <c r="L66" i="4"/>
  <c r="AC181" i="31"/>
  <c r="AC200" i="31"/>
  <c r="AC199" i="31"/>
  <c r="AC183" i="31"/>
  <c r="N17" i="26"/>
  <c r="Y180" i="31"/>
  <c r="Y182" i="31"/>
  <c r="Y184" i="31"/>
  <c r="Y195" i="31"/>
  <c r="Y189" i="31"/>
  <c r="Y196" i="31"/>
  <c r="Y194" i="31"/>
  <c r="Y200" i="31"/>
  <c r="Y198" i="31"/>
  <c r="Y203" i="31"/>
  <c r="Y187" i="31"/>
  <c r="Y188" i="31"/>
  <c r="Y186" i="31"/>
  <c r="Y192" i="31"/>
  <c r="Y190" i="31"/>
  <c r="Y199" i="31"/>
  <c r="Y183" i="31"/>
  <c r="Y197" i="31"/>
  <c r="Y201" i="31"/>
  <c r="Y181" i="31"/>
  <c r="W201" i="31"/>
  <c r="W194" i="31"/>
  <c r="W184" i="31"/>
  <c r="W190" i="31"/>
  <c r="W189" i="31"/>
  <c r="W180" i="31"/>
  <c r="W186" i="31"/>
  <c r="W200" i="31"/>
  <c r="W191" i="31"/>
  <c r="W185" i="31"/>
  <c r="W199" i="31"/>
  <c r="W202" i="31"/>
  <c r="W193" i="31"/>
  <c r="W196" i="31"/>
  <c r="W195" i="31"/>
  <c r="W192" i="31"/>
  <c r="W183" i="31"/>
  <c r="W198" i="31"/>
  <c r="W182" i="31"/>
  <c r="W197" i="31"/>
  <c r="W181" i="31"/>
  <c r="W188" i="31"/>
  <c r="W203" i="31"/>
  <c r="W187" i="31"/>
  <c r="Y193" i="31"/>
  <c r="AC185" i="31"/>
  <c r="AC198" i="31"/>
  <c r="AC182" i="31"/>
  <c r="AC202" i="31"/>
  <c r="AC196" i="31"/>
  <c r="AC201" i="31"/>
  <c r="AC186" i="31"/>
  <c r="AC188" i="31"/>
  <c r="AC203" i="31"/>
  <c r="AC187" i="31"/>
  <c r="AC193" i="31"/>
  <c r="AC195" i="31"/>
  <c r="AC197" i="31"/>
  <c r="AC190" i="31"/>
  <c r="AC180" i="31"/>
  <c r="AC189" i="31"/>
  <c r="AC192" i="31"/>
  <c r="AC191" i="31"/>
  <c r="J182" i="31"/>
  <c r="J186" i="31"/>
  <c r="J190" i="31"/>
  <c r="J194" i="31"/>
  <c r="J198" i="31"/>
  <c r="J202" i="31"/>
  <c r="J183" i="31"/>
  <c r="J187" i="31"/>
  <c r="J191" i="31"/>
  <c r="J195" i="31"/>
  <c r="J199" i="31"/>
  <c r="J203" i="31"/>
  <c r="J180" i="31"/>
  <c r="J184" i="31"/>
  <c r="J188" i="31"/>
  <c r="J192" i="31"/>
  <c r="J196" i="31"/>
  <c r="J200" i="31"/>
  <c r="J181" i="31"/>
  <c r="J197" i="31"/>
  <c r="J185" i="31"/>
  <c r="J201" i="31"/>
  <c r="J193" i="31"/>
  <c r="J189" i="31"/>
  <c r="S8" i="31" l="1"/>
  <c r="G13" i="31"/>
  <c r="S7" i="31"/>
  <c r="G11" i="31"/>
  <c r="G8" i="31"/>
  <c r="G5" i="31"/>
  <c r="S4" i="31"/>
  <c r="S5" i="31"/>
  <c r="G12" i="31"/>
  <c r="G10" i="31"/>
  <c r="S6" i="31"/>
  <c r="G6" i="31"/>
  <c r="S10" i="31"/>
  <c r="G4" i="31"/>
  <c r="S9" i="31"/>
  <c r="G9" i="31"/>
  <c r="G7" i="31"/>
  <c r="V11" i="31"/>
  <c r="V9" i="31"/>
  <c r="E134" i="4" s="1"/>
  <c r="V4" i="31"/>
  <c r="E37" i="4" s="1"/>
  <c r="Y6" i="31"/>
  <c r="H84" i="4" s="1"/>
  <c r="Y10" i="31"/>
  <c r="H135" i="4" s="1"/>
  <c r="Y5" i="31"/>
  <c r="H38" i="4" s="1"/>
  <c r="Y9" i="31"/>
  <c r="H134" i="4" s="1"/>
  <c r="Y14" i="31"/>
  <c r="H184" i="4" s="1"/>
  <c r="Y13" i="31"/>
  <c r="H183" i="4" s="1"/>
  <c r="Y7" i="31"/>
  <c r="H85" i="4" s="1"/>
  <c r="Y11" i="31"/>
  <c r="H136" i="4" s="1"/>
  <c r="Y15" i="31"/>
  <c r="H185" i="4" s="1"/>
  <c r="Y4" i="31"/>
  <c r="H37" i="4" s="1"/>
  <c r="Y8" i="31"/>
  <c r="H133" i="4" s="1"/>
  <c r="W6" i="31"/>
  <c r="F84" i="4" s="1"/>
  <c r="W8" i="31"/>
  <c r="F133" i="4" s="1"/>
  <c r="W5" i="31"/>
  <c r="F38" i="4" s="1"/>
  <c r="W11" i="31"/>
  <c r="F136" i="4" s="1"/>
  <c r="W10" i="31"/>
  <c r="F135" i="4" s="1"/>
  <c r="W13" i="31"/>
  <c r="F183" i="4" s="1"/>
  <c r="W15" i="31"/>
  <c r="F185" i="4" s="1"/>
  <c r="W14" i="31"/>
  <c r="F184" i="4" s="1"/>
  <c r="W9" i="31"/>
  <c r="F134" i="4" s="1"/>
  <c r="W4" i="31"/>
  <c r="F37" i="4" s="1"/>
  <c r="W7" i="31"/>
  <c r="F85" i="4" s="1"/>
  <c r="K10" i="31"/>
  <c r="N10" i="31" s="1"/>
  <c r="K15" i="31"/>
  <c r="AA15" i="31" s="1"/>
  <c r="J185" i="4" s="1"/>
  <c r="K13" i="31"/>
  <c r="AA13" i="31" s="1"/>
  <c r="K4" i="31"/>
  <c r="AC4" i="31" s="1"/>
  <c r="L37" i="4" s="1"/>
  <c r="K11" i="31"/>
  <c r="K6" i="31"/>
  <c r="K9" i="31"/>
  <c r="N9" i="31" s="1"/>
  <c r="P9" i="31" s="1"/>
  <c r="K7" i="31"/>
  <c r="K5" i="31"/>
  <c r="K12" i="31"/>
  <c r="AA12" i="31" s="1"/>
  <c r="K8" i="31"/>
  <c r="AA8" i="31" s="1"/>
  <c r="J133" i="4" s="1"/>
  <c r="K14" i="31"/>
  <c r="L165" i="4"/>
  <c r="L164" i="4"/>
  <c r="V15" i="31"/>
  <c r="E185" i="4" s="1"/>
  <c r="V14" i="31"/>
  <c r="E184" i="4" s="1"/>
  <c r="V12" i="31"/>
  <c r="E183" i="4" s="1"/>
  <c r="F6" i="31"/>
  <c r="H66" i="4" s="1"/>
  <c r="F4" i="31"/>
  <c r="H19" i="4" s="1"/>
  <c r="F5" i="31"/>
  <c r="H20" i="4" s="1"/>
  <c r="AB12" i="31"/>
  <c r="AB15" i="31"/>
  <c r="K185" i="4" s="1"/>
  <c r="AA14" i="31"/>
  <c r="J184" i="4" s="1"/>
  <c r="AA11" i="31"/>
  <c r="AA10" i="31"/>
  <c r="J135" i="4" s="1"/>
  <c r="AB13" i="31"/>
  <c r="N11" i="31"/>
  <c r="F127" i="4" s="1"/>
  <c r="AB9" i="31"/>
  <c r="K134" i="4" s="1"/>
  <c r="AB8" i="31"/>
  <c r="K133" i="4" s="1"/>
  <c r="AB10" i="31"/>
  <c r="K135" i="4" s="1"/>
  <c r="N8" i="31"/>
  <c r="AB11" i="31"/>
  <c r="K136" i="4" s="1"/>
  <c r="N14" i="31"/>
  <c r="F175" i="4" s="1"/>
  <c r="AB14" i="31"/>
  <c r="K184" i="4" s="1"/>
  <c r="AB7" i="31"/>
  <c r="K85" i="4" s="1"/>
  <c r="AB6" i="31"/>
  <c r="K84" i="4" s="1"/>
  <c r="N5" i="31"/>
  <c r="AA5" i="31"/>
  <c r="J38" i="4" s="1"/>
  <c r="AB5" i="31"/>
  <c r="K38" i="4" s="1"/>
  <c r="L20" i="4"/>
  <c r="F343" i="31"/>
  <c r="F327" i="31"/>
  <c r="F311" i="31"/>
  <c r="F295" i="31"/>
  <c r="F279" i="31"/>
  <c r="F263" i="31"/>
  <c r="F247" i="31"/>
  <c r="F233" i="31"/>
  <c r="F333" i="31"/>
  <c r="F317" i="31"/>
  <c r="F301" i="31"/>
  <c r="F285" i="31"/>
  <c r="F269" i="31"/>
  <c r="F253" i="31"/>
  <c r="F237" i="31"/>
  <c r="F215" i="31"/>
  <c r="F342" i="31"/>
  <c r="F326" i="31"/>
  <c r="F310" i="31"/>
  <c r="F294" i="31"/>
  <c r="F278" i="31"/>
  <c r="F262" i="31"/>
  <c r="F246" i="31"/>
  <c r="F230" i="31"/>
  <c r="F214" i="31"/>
  <c r="F198" i="31"/>
  <c r="F182" i="31"/>
  <c r="F217" i="31"/>
  <c r="F189" i="31"/>
  <c r="F221" i="31"/>
  <c r="F332" i="31"/>
  <c r="F316" i="31"/>
  <c r="F300" i="31"/>
  <c r="F284" i="31"/>
  <c r="F268" i="31"/>
  <c r="F252" i="31"/>
  <c r="F236" i="31"/>
  <c r="F220" i="31"/>
  <c r="F204" i="31"/>
  <c r="F188" i="31"/>
  <c r="F203" i="31"/>
  <c r="F183" i="31"/>
  <c r="F339" i="31"/>
  <c r="F323" i="31"/>
  <c r="F307" i="31"/>
  <c r="F291" i="31"/>
  <c r="F275" i="31"/>
  <c r="F259" i="31"/>
  <c r="F243" i="31"/>
  <c r="F345" i="31"/>
  <c r="F329" i="31"/>
  <c r="F313" i="31"/>
  <c r="F297" i="31"/>
  <c r="F281" i="31"/>
  <c r="F265" i="31"/>
  <c r="F249" i="31"/>
  <c r="F229" i="31"/>
  <c r="F207" i="31"/>
  <c r="F338" i="31"/>
  <c r="F322" i="31"/>
  <c r="F306" i="31"/>
  <c r="F290" i="31"/>
  <c r="F274" i="31"/>
  <c r="F258" i="31"/>
  <c r="F242" i="31"/>
  <c r="F226" i="31"/>
  <c r="F210" i="31"/>
  <c r="F194" i="31"/>
  <c r="F209" i="31"/>
  <c r="F185" i="31"/>
  <c r="F213" i="31"/>
  <c r="F344" i="31"/>
  <c r="F328" i="31"/>
  <c r="F312" i="31"/>
  <c r="F296" i="31"/>
  <c r="F280" i="31"/>
  <c r="F264" i="31"/>
  <c r="F248" i="31"/>
  <c r="F232" i="31"/>
  <c r="F216" i="31"/>
  <c r="F200" i="31"/>
  <c r="F184" i="31"/>
  <c r="F227" i="31"/>
  <c r="F199" i="31"/>
  <c r="F335" i="31"/>
  <c r="F319" i="31"/>
  <c r="F303" i="31"/>
  <c r="F287" i="31"/>
  <c r="F271" i="31"/>
  <c r="F255" i="31"/>
  <c r="F239" i="31"/>
  <c r="F341" i="31"/>
  <c r="F325" i="31"/>
  <c r="F309" i="31"/>
  <c r="F293" i="31"/>
  <c r="F277" i="31"/>
  <c r="F261" i="31"/>
  <c r="F245" i="31"/>
  <c r="F235" i="31"/>
  <c r="F195" i="31"/>
  <c r="F334" i="31"/>
  <c r="F318" i="31"/>
  <c r="F302" i="31"/>
  <c r="F286" i="31"/>
  <c r="F270" i="31"/>
  <c r="F254" i="31"/>
  <c r="F238" i="31"/>
  <c r="F222" i="31"/>
  <c r="F206" i="31"/>
  <c r="F190" i="31"/>
  <c r="F201" i="31"/>
  <c r="F181" i="31"/>
  <c r="F205" i="31"/>
  <c r="F340" i="31"/>
  <c r="F324" i="31"/>
  <c r="F308" i="31"/>
  <c r="F292" i="31"/>
  <c r="F276" i="31"/>
  <c r="F260" i="31"/>
  <c r="F244" i="31"/>
  <c r="F228" i="31"/>
  <c r="F212" i="31"/>
  <c r="F196" i="31"/>
  <c r="F180" i="31"/>
  <c r="F219" i="31"/>
  <c r="F191" i="31"/>
  <c r="F331" i="31"/>
  <c r="F315" i="31"/>
  <c r="F299" i="31"/>
  <c r="F283" i="31"/>
  <c r="F267" i="31"/>
  <c r="F251" i="31"/>
  <c r="F231" i="31"/>
  <c r="F337" i="31"/>
  <c r="F321" i="31"/>
  <c r="F305" i="31"/>
  <c r="F289" i="31"/>
  <c r="F273" i="31"/>
  <c r="F257" i="31"/>
  <c r="F241" i="31"/>
  <c r="F223" i="31"/>
  <c r="F330" i="31"/>
  <c r="F314" i="31"/>
  <c r="F298" i="31"/>
  <c r="F282" i="31"/>
  <c r="F266" i="31"/>
  <c r="F250" i="31"/>
  <c r="F234" i="31"/>
  <c r="F218" i="31"/>
  <c r="F202" i="31"/>
  <c r="F186" i="31"/>
  <c r="F225" i="31"/>
  <c r="F193" i="31"/>
  <c r="F197" i="31"/>
  <c r="F336" i="31"/>
  <c r="F320" i="31"/>
  <c r="F304" i="31"/>
  <c r="F288" i="31"/>
  <c r="F272" i="31"/>
  <c r="F256" i="31"/>
  <c r="F240" i="31"/>
  <c r="F224" i="31"/>
  <c r="F208" i="31"/>
  <c r="F192" i="31"/>
  <c r="F211" i="31"/>
  <c r="F187" i="31"/>
  <c r="AB185" i="31"/>
  <c r="AA185" i="31"/>
  <c r="N185" i="31"/>
  <c r="AB197" i="31"/>
  <c r="AA197" i="31"/>
  <c r="N197" i="31"/>
  <c r="AB200" i="31"/>
  <c r="AA200" i="31"/>
  <c r="N200" i="31"/>
  <c r="AB184" i="31"/>
  <c r="AA184" i="31"/>
  <c r="N184" i="31"/>
  <c r="AB199" i="31"/>
  <c r="AA199" i="31"/>
  <c r="N199" i="31"/>
  <c r="AB183" i="31"/>
  <c r="AA183" i="31"/>
  <c r="N183" i="31"/>
  <c r="AB190" i="31"/>
  <c r="AA190" i="31"/>
  <c r="N190" i="31"/>
  <c r="AB193" i="31"/>
  <c r="AA193" i="31"/>
  <c r="N193" i="31"/>
  <c r="AB181" i="31"/>
  <c r="AA181" i="31"/>
  <c r="N181" i="31"/>
  <c r="N196" i="31"/>
  <c r="AB196" i="31"/>
  <c r="AA196" i="31"/>
  <c r="N180" i="31"/>
  <c r="AB180" i="31"/>
  <c r="AA180" i="31"/>
  <c r="AB195" i="31"/>
  <c r="AA195" i="31"/>
  <c r="N195" i="31"/>
  <c r="AB202" i="31"/>
  <c r="AA202" i="31"/>
  <c r="N202" i="31"/>
  <c r="AB186" i="31"/>
  <c r="AA186" i="31"/>
  <c r="N186" i="31"/>
  <c r="AB189" i="31"/>
  <c r="AA189" i="31"/>
  <c r="N189" i="31"/>
  <c r="AB192" i="31"/>
  <c r="AA192" i="31"/>
  <c r="N192" i="31"/>
  <c r="AB191" i="31"/>
  <c r="AA191" i="31"/>
  <c r="N191" i="31"/>
  <c r="AB198" i="31"/>
  <c r="AA198" i="31"/>
  <c r="N198" i="31"/>
  <c r="AB182" i="31"/>
  <c r="AA182" i="31"/>
  <c r="N182" i="31"/>
  <c r="AB201" i="31"/>
  <c r="AA201" i="31"/>
  <c r="N201" i="31"/>
  <c r="AB188" i="31"/>
  <c r="AA188" i="31"/>
  <c r="N188" i="31"/>
  <c r="AB203" i="31"/>
  <c r="AA203" i="31"/>
  <c r="N203" i="31"/>
  <c r="AB187" i="31"/>
  <c r="AA187" i="31"/>
  <c r="N187" i="31"/>
  <c r="AB194" i="31"/>
  <c r="AA194" i="31"/>
  <c r="N194" i="31"/>
  <c r="N15" i="31" l="1"/>
  <c r="F176" i="4" s="1"/>
  <c r="N13" i="31"/>
  <c r="AA9" i="31"/>
  <c r="J134" i="4" s="1"/>
  <c r="N12" i="31"/>
  <c r="E182" i="4"/>
  <c r="E136" i="4"/>
  <c r="C76" i="4"/>
  <c r="AC7" i="31"/>
  <c r="L85" i="4" s="1"/>
  <c r="AC6" i="31"/>
  <c r="L84" i="4" s="1"/>
  <c r="C75" i="4"/>
  <c r="N7" i="31"/>
  <c r="F76" i="4" s="1"/>
  <c r="AA6" i="31"/>
  <c r="J84" i="4" s="1"/>
  <c r="AC8" i="31"/>
  <c r="L133" i="4" s="1"/>
  <c r="C124" i="4"/>
  <c r="AC15" i="31"/>
  <c r="L185" i="4" s="1"/>
  <c r="C176" i="4"/>
  <c r="AC5" i="31"/>
  <c r="L38" i="4" s="1"/>
  <c r="C29" i="4"/>
  <c r="AC9" i="31"/>
  <c r="L134" i="4" s="1"/>
  <c r="C125" i="4"/>
  <c r="AC11" i="31"/>
  <c r="L136" i="4" s="1"/>
  <c r="C127" i="4"/>
  <c r="N6" i="31"/>
  <c r="O6" i="31" s="1"/>
  <c r="R6" i="31" s="1"/>
  <c r="AA7" i="31"/>
  <c r="J85" i="4" s="1"/>
  <c r="AC14" i="31"/>
  <c r="L184" i="4" s="1"/>
  <c r="C175" i="4"/>
  <c r="AC12" i="31"/>
  <c r="L182" i="4" s="1"/>
  <c r="C173" i="4"/>
  <c r="AC13" i="31"/>
  <c r="L183" i="4" s="1"/>
  <c r="C174" i="4"/>
  <c r="C126" i="4"/>
  <c r="AC10" i="31"/>
  <c r="L135" i="4" s="1"/>
  <c r="J182" i="4"/>
  <c r="J136" i="4"/>
  <c r="J183" i="4"/>
  <c r="K182" i="4"/>
  <c r="K183" i="4"/>
  <c r="F75" i="4"/>
  <c r="P15" i="31"/>
  <c r="H176" i="4" s="1"/>
  <c r="O14" i="31"/>
  <c r="G175" i="4" s="1"/>
  <c r="O13" i="31"/>
  <c r="O11" i="31"/>
  <c r="G127" i="4" s="1"/>
  <c r="F173" i="4"/>
  <c r="Q9" i="31"/>
  <c r="J125" i="4" s="1"/>
  <c r="H125" i="4"/>
  <c r="P12" i="31"/>
  <c r="F174" i="4"/>
  <c r="O10" i="31"/>
  <c r="F126" i="4"/>
  <c r="O9" i="31"/>
  <c r="F125" i="4"/>
  <c r="P8" i="31"/>
  <c r="F124" i="4"/>
  <c r="O8" i="31"/>
  <c r="P10" i="31"/>
  <c r="P14" i="31"/>
  <c r="H175" i="4" s="1"/>
  <c r="P11" i="31"/>
  <c r="H127" i="4" s="1"/>
  <c r="O12" i="31"/>
  <c r="P13" i="31"/>
  <c r="O15" i="31"/>
  <c r="G176" i="4" s="1"/>
  <c r="P7" i="31"/>
  <c r="H76" i="4" s="1"/>
  <c r="O7" i="31"/>
  <c r="G76" i="4" s="1"/>
  <c r="P5" i="31"/>
  <c r="H29" i="4" s="1"/>
  <c r="O5" i="31"/>
  <c r="F29" i="4"/>
  <c r="O194" i="31"/>
  <c r="R194" i="31" s="1"/>
  <c r="P194" i="31"/>
  <c r="Q194" i="31" s="1"/>
  <c r="P201" i="31"/>
  <c r="Q201" i="31" s="1"/>
  <c r="O201" i="31"/>
  <c r="R201" i="31" s="1"/>
  <c r="O196" i="31"/>
  <c r="R196" i="31" s="1"/>
  <c r="P196" i="31"/>
  <c r="Q196" i="31" s="1"/>
  <c r="P203" i="31"/>
  <c r="Q203" i="31" s="1"/>
  <c r="O203" i="31"/>
  <c r="R203" i="31" s="1"/>
  <c r="P188" i="31"/>
  <c r="Q188" i="31" s="1"/>
  <c r="O188" i="31"/>
  <c r="R188" i="31" s="1"/>
  <c r="O197" i="31"/>
  <c r="R197" i="31" s="1"/>
  <c r="P197" i="31"/>
  <c r="Q197" i="31" s="1"/>
  <c r="O186" i="31"/>
  <c r="R186" i="31" s="1"/>
  <c r="P186" i="31"/>
  <c r="Q186" i="31" s="1"/>
  <c r="O187" i="31"/>
  <c r="R187" i="31" s="1"/>
  <c r="P187" i="31"/>
  <c r="Q187" i="31" s="1"/>
  <c r="P192" i="31"/>
  <c r="Q192" i="31" s="1"/>
  <c r="O192" i="31"/>
  <c r="R192" i="31" s="1"/>
  <c r="P202" i="31"/>
  <c r="Q202" i="31" s="1"/>
  <c r="O202" i="31"/>
  <c r="R202" i="31" s="1"/>
  <c r="O195" i="31"/>
  <c r="R195" i="31" s="1"/>
  <c r="P195" i="31"/>
  <c r="Q195" i="31" s="1"/>
  <c r="P193" i="31"/>
  <c r="Q193" i="31" s="1"/>
  <c r="O193" i="31"/>
  <c r="R193" i="31" s="1"/>
  <c r="P200" i="31"/>
  <c r="Q200" i="31" s="1"/>
  <c r="O200" i="31"/>
  <c r="R200" i="31" s="1"/>
  <c r="O199" i="31"/>
  <c r="R199" i="31" s="1"/>
  <c r="P199" i="31"/>
  <c r="Q199" i="31" s="1"/>
  <c r="P184" i="31"/>
  <c r="Q184" i="31" s="1"/>
  <c r="O184" i="31"/>
  <c r="R184" i="31" s="1"/>
  <c r="O198" i="31"/>
  <c r="R198" i="31" s="1"/>
  <c r="P198" i="31"/>
  <c r="Q198" i="31" s="1"/>
  <c r="O191" i="31"/>
  <c r="R191" i="31" s="1"/>
  <c r="P191" i="31"/>
  <c r="Q191" i="31" s="1"/>
  <c r="O182" i="31"/>
  <c r="R182" i="31" s="1"/>
  <c r="P182" i="31"/>
  <c r="Q182" i="31" s="1"/>
  <c r="P189" i="31"/>
  <c r="Q189" i="31" s="1"/>
  <c r="O189" i="31"/>
  <c r="R189" i="31" s="1"/>
  <c r="P180" i="31"/>
  <c r="Q180" i="31" s="1"/>
  <c r="O180" i="31"/>
  <c r="R180" i="31" s="1"/>
  <c r="O181" i="31"/>
  <c r="R181" i="31" s="1"/>
  <c r="P181" i="31"/>
  <c r="Q181" i="31" s="1"/>
  <c r="P190" i="31"/>
  <c r="Q190" i="31" s="1"/>
  <c r="O190" i="31"/>
  <c r="R190" i="31" s="1"/>
  <c r="P183" i="31"/>
  <c r="Q183" i="31" s="1"/>
  <c r="O183" i="31"/>
  <c r="R183" i="31" s="1"/>
  <c r="O185" i="31"/>
  <c r="R185" i="31" s="1"/>
  <c r="P185" i="31"/>
  <c r="Q185" i="31" s="1"/>
  <c r="P6" i="31" l="1"/>
  <c r="G75" i="4"/>
  <c r="Q11" i="31"/>
  <c r="J127" i="4" s="1"/>
  <c r="H173" i="4"/>
  <c r="R12" i="31"/>
  <c r="G174" i="4"/>
  <c r="R9" i="31"/>
  <c r="K125" i="4" s="1"/>
  <c r="G125" i="4"/>
  <c r="R11" i="31"/>
  <c r="G173" i="4"/>
  <c r="Q6" i="31"/>
  <c r="H75" i="4"/>
  <c r="Q10" i="31"/>
  <c r="J126" i="4" s="1"/>
  <c r="H126" i="4"/>
  <c r="R10" i="31"/>
  <c r="K126" i="4" s="1"/>
  <c r="G126" i="4"/>
  <c r="R13" i="31"/>
  <c r="Q14" i="31"/>
  <c r="J175" i="4" s="1"/>
  <c r="R15" i="31"/>
  <c r="K176" i="4" s="1"/>
  <c r="R8" i="31"/>
  <c r="K124" i="4" s="1"/>
  <c r="G124" i="4"/>
  <c r="Q13" i="31"/>
  <c r="Q12" i="31"/>
  <c r="H174" i="4"/>
  <c r="R14" i="31"/>
  <c r="K175" i="4" s="1"/>
  <c r="Q8" i="31"/>
  <c r="J124" i="4" s="1"/>
  <c r="H124" i="4"/>
  <c r="Q15" i="31"/>
  <c r="J176" i="4" s="1"/>
  <c r="Q7" i="31"/>
  <c r="J76" i="4" s="1"/>
  <c r="R7" i="31"/>
  <c r="K76" i="4" s="1"/>
  <c r="R5" i="31"/>
  <c r="K29" i="4" s="1"/>
  <c r="G29" i="4"/>
  <c r="Q5" i="31"/>
  <c r="J29" i="4" s="1"/>
  <c r="K75" i="4"/>
  <c r="J75" i="4"/>
  <c r="K173" i="4" l="1"/>
  <c r="K127" i="4"/>
  <c r="K174" i="4"/>
  <c r="J174" i="4"/>
  <c r="J173" i="4"/>
  <c r="M4" i="31"/>
  <c r="E28" i="4" s="1"/>
  <c r="J4" i="31"/>
  <c r="L19" i="4" s="1"/>
  <c r="AB4" i="31" l="1"/>
  <c r="K37" i="4" s="1"/>
  <c r="AA4" i="31"/>
  <c r="J37" i="4" s="1"/>
  <c r="N4" i="31"/>
  <c r="O4" i="31" s="1"/>
  <c r="G28" i="4"/>
  <c r="R4" i="31"/>
  <c r="K28" i="4" s="1"/>
  <c r="P4" i="31"/>
  <c r="H28" i="4" s="1"/>
  <c r="F28" i="4"/>
  <c r="Q4" i="31" l="1"/>
  <c r="J28" i="4" s="1"/>
</calcChain>
</file>

<file path=xl/sharedStrings.xml><?xml version="1.0" encoding="utf-8"?>
<sst xmlns="http://schemas.openxmlformats.org/spreadsheetml/2006/main" count="1373" uniqueCount="248">
  <si>
    <t>Solicitante:</t>
  </si>
  <si>
    <t>Entrada:</t>
  </si>
  <si>
    <t>Saída:</t>
  </si>
  <si>
    <t xml:space="preserve">Resultados de Análise Química de Solo </t>
  </si>
  <si>
    <t>N Lab</t>
  </si>
  <si>
    <t>pH_água</t>
  </si>
  <si>
    <t>Universidade Federal de Uberlândia</t>
  </si>
  <si>
    <t>Instituto de Ciências Agrárias</t>
  </si>
  <si>
    <t>Avenida Amazonas, S/N. Campus Umuarama-Bloco 4C; Sala102</t>
  </si>
  <si>
    <t>Uberlândia-Minas Gerais. CEP 38400-734</t>
  </si>
  <si>
    <t>34 3225 8665 e 34 9 9864 8665</t>
  </si>
  <si>
    <t>labas.solo@gmail.com</t>
  </si>
  <si>
    <t>Laboratório de Análise de Solo e Tecido Vegetal (LABAS)</t>
  </si>
  <si>
    <t>Obs:</t>
  </si>
  <si>
    <t>pH</t>
  </si>
  <si>
    <t>K</t>
  </si>
  <si>
    <t>Na</t>
  </si>
  <si>
    <t>Ca</t>
  </si>
  <si>
    <t>água</t>
  </si>
  <si>
    <t>KCl</t>
  </si>
  <si>
    <t>Mg2+</t>
  </si>
  <si>
    <t>Al3+</t>
  </si>
  <si>
    <t>H+Al</t>
  </si>
  <si>
    <t>SB</t>
  </si>
  <si>
    <t>t</t>
  </si>
  <si>
    <t>T</t>
  </si>
  <si>
    <t>V</t>
  </si>
  <si>
    <t>m</t>
  </si>
  <si>
    <t>P-rem</t>
  </si>
  <si>
    <t>mg/L</t>
  </si>
  <si>
    <t>S</t>
  </si>
  <si>
    <t>B</t>
  </si>
  <si>
    <t>Cu</t>
  </si>
  <si>
    <t>Mn</t>
  </si>
  <si>
    <t>Fe</t>
  </si>
  <si>
    <t>Zn</t>
  </si>
  <si>
    <t>T= capacidade de troca catiônica a pH 7,0</t>
  </si>
  <si>
    <t>SB= soma de bases trocáveis (Ca, Mg, K e Na)</t>
  </si>
  <si>
    <t>Determinação de teores disponiveis de K</t>
  </si>
  <si>
    <t>N_Lab</t>
  </si>
  <si>
    <t>Emissão</t>
  </si>
  <si>
    <t>V-extrator (mL)</t>
  </si>
  <si>
    <t>Diluição (nx)</t>
  </si>
  <si>
    <t>Emissão (u.a)</t>
  </si>
  <si>
    <t>K-disponivel (mg/dm3)</t>
  </si>
  <si>
    <t>Curva de Calibração</t>
  </si>
  <si>
    <t>K_mg/L</t>
  </si>
  <si>
    <t>V-solo (dm3)</t>
  </si>
  <si>
    <t>P-disponivel (mg/dm3)</t>
  </si>
  <si>
    <t>∑x</t>
  </si>
  <si>
    <t>∑x2</t>
  </si>
  <si>
    <t>(∑x)2</t>
  </si>
  <si>
    <t>∑y</t>
  </si>
  <si>
    <t>x*y</t>
  </si>
  <si>
    <t>∑x.y</t>
  </si>
  <si>
    <t>∑xy</t>
  </si>
  <si>
    <t>b</t>
  </si>
  <si>
    <t>ȳ</t>
  </si>
  <si>
    <t>a</t>
  </si>
  <si>
    <t>x</t>
  </si>
  <si>
    <t>Amostras (código LABAS)</t>
  </si>
  <si>
    <t>Código Cliente</t>
  </si>
  <si>
    <t>Entrada</t>
  </si>
  <si>
    <t>saída</t>
  </si>
  <si>
    <t>MO</t>
  </si>
  <si>
    <t>pH_KCl</t>
  </si>
  <si>
    <t>pH_CaCl2</t>
  </si>
  <si>
    <t>Abs (u.a)</t>
  </si>
  <si>
    <t>Trans(ua)</t>
  </si>
  <si>
    <t>Determinação de teores disponiveis de P_Mehlich-1</t>
  </si>
  <si>
    <t>Abs</t>
  </si>
  <si>
    <t>P_mg/L</t>
  </si>
  <si>
    <t>trans</t>
  </si>
  <si>
    <t>Na-disponivel (mg/dm3)</t>
  </si>
  <si>
    <t>Na_mg/L</t>
  </si>
  <si>
    <t>Ca_mg/L</t>
  </si>
  <si>
    <t>Mg_mg/L</t>
  </si>
  <si>
    <t>Determinação de teores acidez trocável (Al3+)</t>
  </si>
  <si>
    <t>Acidez trocável (cmolc/dm3)</t>
  </si>
  <si>
    <t>P_M</t>
  </si>
  <si>
    <t>P_R</t>
  </si>
  <si>
    <t>T%</t>
  </si>
  <si>
    <t>Abs%</t>
  </si>
  <si>
    <t>P (mg/L)</t>
  </si>
  <si>
    <t>Determinação de teores disponiveis de P remanescente</t>
  </si>
  <si>
    <t>Determinação de teores disponiveis de Cu em Melich -1</t>
  </si>
  <si>
    <t>Determinação de teores disponiveis de Mn em Melich -1</t>
  </si>
  <si>
    <t>Determinação de teores disponiveis de Fe em Melich -1</t>
  </si>
  <si>
    <t>Determinação de teores disponiveis de Zn em Melich -1</t>
  </si>
  <si>
    <t>Cu_mg/L</t>
  </si>
  <si>
    <t>Mn_mg/L</t>
  </si>
  <si>
    <t>Fe_mg/L</t>
  </si>
  <si>
    <t>Zn_mg/L</t>
  </si>
  <si>
    <t>Determinação de teores disponiveis de P_resina</t>
  </si>
  <si>
    <t>Determinação de teores disponiveis de Na</t>
  </si>
  <si>
    <t>Determinação de teores disponiveis de Mg²+</t>
  </si>
  <si>
    <t>Zn-disponivel (mg/dm3)</t>
  </si>
  <si>
    <t>Solicitante</t>
  </si>
  <si>
    <t>Área</t>
  </si>
  <si>
    <t>Obs</t>
  </si>
  <si>
    <t>Amostras LABAS/2020</t>
  </si>
  <si>
    <t>pH água</t>
  </si>
  <si>
    <t>pH Kcl</t>
  </si>
  <si>
    <t>pH Cacl2</t>
  </si>
  <si>
    <t>Cu-disponivel (mg/dm3)</t>
  </si>
  <si>
    <t>Mn-disponivel (mg/dm3)</t>
  </si>
  <si>
    <t>Fe-disponivel (mg/dm3)</t>
  </si>
  <si>
    <t>*</t>
  </si>
  <si>
    <t>Código cliente</t>
  </si>
  <si>
    <t>Área:</t>
  </si>
  <si>
    <t>S-disponivel (mg/dm3)</t>
  </si>
  <si>
    <t>Determinação de teores disponiveis de Boro</t>
  </si>
  <si>
    <t>B-disponivel (mg/dm3)</t>
  </si>
  <si>
    <t>Determinação de teores disponiveis de Enxofre (S)</t>
  </si>
  <si>
    <t>Determinação de teores disponiveis de Matéria orgânica</t>
  </si>
  <si>
    <t>dag/kg</t>
  </si>
  <si>
    <t xml:space="preserve">t= capacidade de troca catiônica efetiva (t=SB+Al) </t>
  </si>
  <si>
    <t>MO-disponivel (dag/kg))</t>
  </si>
  <si>
    <t>MOS(dag/kg)</t>
  </si>
  <si>
    <t>S_mg/L</t>
  </si>
  <si>
    <t>B_mg/L</t>
  </si>
  <si>
    <t>Ca/Mg</t>
  </si>
  <si>
    <t>Mg/K</t>
  </si>
  <si>
    <t>Ca/K</t>
  </si>
  <si>
    <t>Mg-disponivel (Cmolc/dm3)</t>
  </si>
  <si>
    <t>Presina</t>
  </si>
  <si>
    <t>Ca-disponivel (cmolc/dm3)</t>
  </si>
  <si>
    <t>Referência  Cliente</t>
  </si>
  <si>
    <t>N°</t>
  </si>
  <si>
    <t>Volume solo</t>
  </si>
  <si>
    <t>Volume Extrator</t>
  </si>
  <si>
    <t>P-Mehlich 1</t>
  </si>
  <si>
    <t>Obs: " O LABAS não recomenda corretivos ou fertilizantes!"</t>
  </si>
  <si>
    <t>-</t>
  </si>
  <si>
    <r>
      <t>CaCl</t>
    </r>
    <r>
      <rPr>
        <b/>
        <vertAlign val="subscript"/>
        <sz val="8"/>
        <color theme="1"/>
        <rFont val="Calibri"/>
        <family val="2"/>
        <scheme val="minor"/>
      </rPr>
      <t>2</t>
    </r>
  </si>
  <si>
    <r>
      <t>cmol</t>
    </r>
    <r>
      <rPr>
        <b/>
        <vertAlign val="subscript"/>
        <sz val="8"/>
        <color theme="1"/>
        <rFont val="Calibri"/>
        <family val="2"/>
        <scheme val="minor"/>
      </rPr>
      <t>c</t>
    </r>
    <r>
      <rPr>
        <b/>
        <sz val="8"/>
        <color theme="1"/>
        <rFont val="Calibri"/>
        <family val="2"/>
        <scheme val="minor"/>
      </rPr>
      <t>/dm³</t>
    </r>
  </si>
  <si>
    <r>
      <t>Mg</t>
    </r>
    <r>
      <rPr>
        <b/>
        <vertAlign val="superscript"/>
        <sz val="9"/>
        <color theme="1"/>
        <rFont val="Calibri"/>
        <family val="2"/>
        <scheme val="minor"/>
      </rPr>
      <t>2+</t>
    </r>
  </si>
  <si>
    <r>
      <t>Al</t>
    </r>
    <r>
      <rPr>
        <b/>
        <vertAlign val="superscript"/>
        <sz val="9"/>
        <color theme="1"/>
        <rFont val="Calibri"/>
        <family val="2"/>
        <scheme val="minor"/>
      </rPr>
      <t>3+</t>
    </r>
  </si>
  <si>
    <t>P, Na, K, Fe, Zn, Mn, Cu- Extrator Mehlich-1                                                      V= saturação por bases na CTC potencial ( V= 100  SB/T)</t>
  </si>
  <si>
    <r>
      <t>pH em água, KCl ou CaCl</t>
    </r>
    <r>
      <rPr>
        <vertAlign val="subscript"/>
        <sz val="8"/>
        <color theme="1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>, relação 1/2.5                                                           m= satruração de Al</t>
    </r>
    <r>
      <rPr>
        <vertAlign val="superscript"/>
        <sz val="8"/>
        <color theme="1"/>
        <rFont val="Calibri"/>
        <family val="2"/>
        <scheme val="minor"/>
      </rPr>
      <t>3+</t>
    </r>
    <r>
      <rPr>
        <sz val="8"/>
        <color theme="1"/>
        <rFont val="Calibri"/>
        <family val="2"/>
        <scheme val="minor"/>
      </rPr>
      <t xml:space="preserve"> na CTC efetiva (m= 100 Al/t) </t>
    </r>
  </si>
  <si>
    <r>
      <t>Ca²</t>
    </r>
    <r>
      <rPr>
        <vertAlign val="superscript"/>
        <sz val="8"/>
        <color theme="1"/>
        <rFont val="Calibri"/>
        <family val="2"/>
        <scheme val="minor"/>
      </rPr>
      <t>+</t>
    </r>
    <r>
      <rPr>
        <sz val="8"/>
        <color theme="1"/>
        <rFont val="Calibri"/>
        <family val="2"/>
        <scheme val="minor"/>
      </rPr>
      <t>, Mg²</t>
    </r>
    <r>
      <rPr>
        <vertAlign val="superscript"/>
        <sz val="8"/>
        <color theme="1"/>
        <rFont val="Calibri"/>
        <family val="2"/>
        <scheme val="minor"/>
      </rPr>
      <t>+</t>
    </r>
    <r>
      <rPr>
        <sz val="8"/>
        <color theme="1"/>
        <rFont val="Calibri"/>
        <family val="2"/>
        <scheme val="minor"/>
      </rPr>
      <t xml:space="preserve"> e Al³</t>
    </r>
    <r>
      <rPr>
        <vertAlign val="superscript"/>
        <sz val="8"/>
        <color theme="1"/>
        <rFont val="Calibri"/>
        <family val="2"/>
        <scheme val="minor"/>
      </rPr>
      <t>+</t>
    </r>
    <r>
      <rPr>
        <sz val="8"/>
        <color theme="1"/>
        <rFont val="Calibri"/>
        <family val="2"/>
        <scheme val="minor"/>
      </rPr>
      <t xml:space="preserve"> (Extrator KCl 1,0 mol/L)                                                           MO (Matéria Orgânica)- Método Colorimétrico</t>
    </r>
  </si>
  <si>
    <t>H+Al (acidez potencial)                                                                                          S= fosfato monocálcico</t>
  </si>
  <si>
    <r>
      <t>........................................................cmol</t>
    </r>
    <r>
      <rPr>
        <vertAlign val="subscript"/>
        <sz val="8"/>
        <color theme="1"/>
        <rFont val="Calibri"/>
        <family val="2"/>
        <scheme val="minor"/>
      </rPr>
      <t>c</t>
    </r>
    <r>
      <rPr>
        <sz val="8"/>
        <color theme="1"/>
        <rFont val="Calibri"/>
        <family val="2"/>
        <scheme val="minor"/>
      </rPr>
      <t>/dm³............................................................</t>
    </r>
  </si>
  <si>
    <t>............%.............</t>
  </si>
  <si>
    <t xml:space="preserve">   .....................mg/dm³ ......................</t>
  </si>
  <si>
    <t>.......................................................mg/dm³..................................................................</t>
  </si>
  <si>
    <t>C-org</t>
  </si>
  <si>
    <t>Padrão A</t>
  </si>
  <si>
    <t>Padrão B</t>
  </si>
  <si>
    <t>P. Labas A</t>
  </si>
  <si>
    <t>P. Labas B</t>
  </si>
  <si>
    <t>Determinação de teores disponiveis de Ca_KCl</t>
  </si>
  <si>
    <t>Sample</t>
  </si>
  <si>
    <t>Mg</t>
  </si>
  <si>
    <t>(Mean</t>
  </si>
  <si>
    <t>g/kg</t>
  </si>
  <si>
    <t>mg/kg</t>
  </si>
  <si>
    <t>Branco</t>
  </si>
  <si>
    <t>Determinação de teores de H+Al Acetato de Cálcio</t>
  </si>
  <si>
    <t>Contato</t>
  </si>
  <si>
    <t>Contato:</t>
  </si>
  <si>
    <t>Padrão</t>
  </si>
  <si>
    <t>P, Na, K, Fe, Zn, Mn, Cu- Extrator Mehlich-1                                                   V= saturação por bases na CTC potencial ( V= 100  SB/T)</t>
  </si>
  <si>
    <r>
      <t>Ca²</t>
    </r>
    <r>
      <rPr>
        <vertAlign val="superscript"/>
        <sz val="8"/>
        <color theme="1"/>
        <rFont val="Calibri"/>
        <family val="2"/>
        <scheme val="minor"/>
      </rPr>
      <t>+</t>
    </r>
    <r>
      <rPr>
        <sz val="8"/>
        <color theme="1"/>
        <rFont val="Calibri"/>
        <family val="2"/>
        <scheme val="minor"/>
      </rPr>
      <t>, Mg²</t>
    </r>
    <r>
      <rPr>
        <vertAlign val="superscript"/>
        <sz val="8"/>
        <color theme="1"/>
        <rFont val="Calibri"/>
        <family val="2"/>
        <scheme val="minor"/>
      </rPr>
      <t>+</t>
    </r>
    <r>
      <rPr>
        <sz val="8"/>
        <color theme="1"/>
        <rFont val="Calibri"/>
        <family val="2"/>
        <scheme val="minor"/>
      </rPr>
      <t xml:space="preserve"> e Al³</t>
    </r>
    <r>
      <rPr>
        <vertAlign val="superscript"/>
        <sz val="8"/>
        <color theme="1"/>
        <rFont val="Calibri"/>
        <family val="2"/>
        <scheme val="minor"/>
      </rPr>
      <t>+</t>
    </r>
    <r>
      <rPr>
        <sz val="8"/>
        <color theme="1"/>
        <rFont val="Calibri"/>
        <family val="2"/>
        <scheme val="minor"/>
      </rPr>
      <t xml:space="preserve"> (Extrator KCl 1,0 mol/L)                                                         MO (Matéria Orgânica)- Método Colorimétrico</t>
    </r>
  </si>
  <si>
    <t>H+Al (acidez potencial)                                                                                           S= fosfato monocálcico</t>
  </si>
  <si>
    <t>2025/13</t>
  </si>
  <si>
    <t>Prof. Elias (Carlos Alberto Faria)</t>
  </si>
  <si>
    <t>eliasnborges@gmail.com</t>
  </si>
  <si>
    <t>Greener Hortaliças</t>
  </si>
  <si>
    <t>Carlos Ace</t>
  </si>
  <si>
    <t>2025/14</t>
  </si>
  <si>
    <t>Carlos Amostra</t>
  </si>
  <si>
    <t>2025/15</t>
  </si>
  <si>
    <t>Prof. Elias (Rubens Tsuyosh Sato)</t>
  </si>
  <si>
    <t>Fazenda Ponte Branca</t>
  </si>
  <si>
    <t>Rubens alface 1</t>
  </si>
  <si>
    <t>2025/16</t>
  </si>
  <si>
    <t>Rubens Alface 2</t>
  </si>
  <si>
    <t>2025/17</t>
  </si>
  <si>
    <t>Rubens Brócolis Y28</t>
  </si>
  <si>
    <t>2025/18</t>
  </si>
  <si>
    <t>Rubens Couve 1 329</t>
  </si>
  <si>
    <t>2025/19</t>
  </si>
  <si>
    <t>CEBUDV</t>
  </si>
  <si>
    <t>Área 1</t>
  </si>
  <si>
    <t>2025/20</t>
  </si>
  <si>
    <t>Área 2</t>
  </si>
  <si>
    <t>2025/21</t>
  </si>
  <si>
    <t>Área Nova</t>
  </si>
  <si>
    <t>2025/22</t>
  </si>
  <si>
    <t>(34) 96733405 ANA PAULA</t>
  </si>
  <si>
    <t>Área 1 0-20</t>
  </si>
  <si>
    <t>Área Nova 0-20</t>
  </si>
  <si>
    <t>Área Nova 20-40</t>
  </si>
  <si>
    <t>Área 1 20-40</t>
  </si>
  <si>
    <t>Uberaba-MG</t>
  </si>
  <si>
    <t>PA</t>
  </si>
  <si>
    <t>PB</t>
  </si>
  <si>
    <t>resultado</t>
  </si>
  <si>
    <t>valor coluna-branco</t>
  </si>
  <si>
    <t>no aluminio vao ser inseridos 2 valores</t>
  </si>
  <si>
    <t>acidez potencial</t>
  </si>
  <si>
    <t>p a , b fixos</t>
  </si>
  <si>
    <t xml:space="preserve">p.labas a e b conferidos no dia </t>
  </si>
  <si>
    <t>geralmnete um produtor pode fazer mais de uma anilise</t>
  </si>
  <si>
    <t xml:space="preserve">pode ser feito ate 50 analises </t>
  </si>
  <si>
    <t>cabechalo fixo</t>
  </si>
  <si>
    <t>adicionar data de realizacao das amostras</t>
  </si>
  <si>
    <t>geralemnte é feito linhas analises por pdf</t>
  </si>
  <si>
    <t xml:space="preserve">um produtor de 50 analises com 10 paginas </t>
  </si>
  <si>
    <t>se o produtor fizer 4 amostras, 4 linhas bloquear para que as outras linhas sejam sombreadas</t>
  </si>
  <si>
    <t xml:space="preserve">absorcao atomica é onde inserem os valores brutos </t>
  </si>
  <si>
    <t xml:space="preserve">subtraem o branco e podem ser inseridos nas abas </t>
  </si>
  <si>
    <t xml:space="preserve">1 curva de calibracao </t>
  </si>
  <si>
    <t xml:space="preserve">2 absorcao atomica </t>
  </si>
  <si>
    <t xml:space="preserve">3 abs </t>
  </si>
  <si>
    <t xml:space="preserve">individuais </t>
  </si>
  <si>
    <t xml:space="preserve">site da prefeitura nota </t>
  </si>
  <si>
    <t>ter um campo de inserir os dados do cliente e enviar o relatorio no email e whatsapp</t>
  </si>
  <si>
    <t>col c - branco</t>
  </si>
  <si>
    <t>esta errada</t>
  </si>
  <si>
    <t>EU QUEM INSERIR AS FORMULAS EM Abs%</t>
  </si>
  <si>
    <t>estava com valores aleatorios</t>
  </si>
  <si>
    <t>esta faltando trans</t>
  </si>
  <si>
    <t xml:space="preserve">eu quem fiz </t>
  </si>
  <si>
    <t>excel esta errado</t>
  </si>
  <si>
    <t>sem</t>
  </si>
  <si>
    <t>valor</t>
  </si>
  <si>
    <t xml:space="preserve">nao esta </t>
  </si>
  <si>
    <t>fazendo a</t>
  </si>
  <si>
    <t>subtracao</t>
  </si>
  <si>
    <t>do branco</t>
  </si>
  <si>
    <t xml:space="preserve">lembra que </t>
  </si>
  <si>
    <t>o vsolo</t>
  </si>
  <si>
    <t xml:space="preserve">é 0.005 </t>
  </si>
  <si>
    <t>e nao 0.01</t>
  </si>
  <si>
    <t>sb+al</t>
  </si>
  <si>
    <t>esta correto</t>
  </si>
  <si>
    <t>a "aparente"</t>
  </si>
  <si>
    <t>difente</t>
  </si>
  <si>
    <t xml:space="preserve">é porque </t>
  </si>
  <si>
    <t>al e h_al</t>
  </si>
  <si>
    <t>nao esta subtraindo</t>
  </si>
  <si>
    <t xml:space="preserve">o branco </t>
  </si>
  <si>
    <t xml:space="preserve">a aba nao </t>
  </si>
  <si>
    <t>esta sub. N$17</t>
  </si>
  <si>
    <t xml:space="preserve">o meu ta certo </t>
  </si>
  <si>
    <t xml:space="preserve">o meu ta correto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</si>
</sst>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vertAlign val="subscript"/>
      <sz val="8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FF0000"/>
      <name val="Calibri (Corpo)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22" fillId="0" borderId="0"/>
  </cellStyleXfs>
  <cellXfs count="360">
    <xf numFmtId="0" fontId="0" fillId="0" borderId="0" xfId="0"/>
    <xf numFmtId="0" fontId="0" fillId="2" borderId="0" xfId="0" applyFill="1"/>
    <xf numFmtId="0" fontId="0" fillId="2" borderId="1" xfId="0" applyFill="1" applyBorder="1"/>
    <xf numFmtId="0" fontId="6" fillId="2" borderId="0" xfId="0" applyFont="1" applyFill="1"/>
    <xf numFmtId="0" fontId="6" fillId="2" borderId="1" xfId="0" applyFont="1" applyFill="1" applyBorder="1"/>
    <xf numFmtId="0" fontId="4" fillId="2" borderId="0" xfId="0" applyFont="1" applyFill="1"/>
    <xf numFmtId="0" fontId="0" fillId="0" borderId="2" xfId="0" applyBorder="1"/>
    <xf numFmtId="0" fontId="0" fillId="4" borderId="0" xfId="0" applyFill="1"/>
    <xf numFmtId="0" fontId="5" fillId="2" borderId="1" xfId="0" applyFont="1" applyFill="1" applyBorder="1" applyAlignment="1">
      <alignment horizontal="center"/>
    </xf>
    <xf numFmtId="0" fontId="0" fillId="3" borderId="0" xfId="0" applyFill="1"/>
    <xf numFmtId="0" fontId="0" fillId="5" borderId="13" xfId="0" applyFill="1" applyBorder="1"/>
    <xf numFmtId="0" fontId="0" fillId="5" borderId="2" xfId="0" applyFill="1" applyBorder="1"/>
    <xf numFmtId="0" fontId="6" fillId="3" borderId="0" xfId="0" applyFont="1" applyFill="1"/>
    <xf numFmtId="0" fontId="6" fillId="4" borderId="0" xfId="0" applyFont="1" applyFill="1"/>
    <xf numFmtId="0" fontId="6" fillId="5" borderId="13" xfId="0" applyFont="1" applyFill="1" applyBorder="1"/>
    <xf numFmtId="0" fontId="6" fillId="5" borderId="2" xfId="0" applyFont="1" applyFill="1" applyBorder="1"/>
    <xf numFmtId="0" fontId="6" fillId="0" borderId="2" xfId="0" applyFont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8" xfId="0" applyFont="1" applyFill="1" applyBorder="1"/>
    <xf numFmtId="0" fontId="0" fillId="5" borderId="6" xfId="0" applyFill="1" applyBorder="1"/>
    <xf numFmtId="0" fontId="0" fillId="5" borderId="3" xfId="0" applyFill="1" applyBorder="1"/>
    <xf numFmtId="0" fontId="0" fillId="0" borderId="3" xfId="0" applyBorder="1"/>
    <xf numFmtId="0" fontId="0" fillId="6" borderId="2" xfId="0" applyFill="1" applyBorder="1"/>
    <xf numFmtId="0" fontId="0" fillId="5" borderId="0" xfId="0" applyFill="1"/>
    <xf numFmtId="0" fontId="6" fillId="5" borderId="0" xfId="0" applyFont="1" applyFill="1"/>
    <xf numFmtId="0" fontId="9" fillId="2" borderId="0" xfId="0" applyFont="1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3" fillId="6" borderId="7" xfId="0" applyFont="1" applyFill="1" applyBorder="1"/>
    <xf numFmtId="0" fontId="0" fillId="7" borderId="2" xfId="0" applyFill="1" applyBorder="1"/>
    <xf numFmtId="0" fontId="0" fillId="6" borderId="8" xfId="0" applyFill="1" applyBorder="1"/>
    <xf numFmtId="0" fontId="9" fillId="6" borderId="8" xfId="0" applyFont="1" applyFill="1" applyBorder="1"/>
    <xf numFmtId="0" fontId="9" fillId="6" borderId="2" xfId="0" applyFont="1" applyFill="1" applyBorder="1"/>
    <xf numFmtId="0" fontId="12" fillId="9" borderId="16" xfId="0" applyFont="1" applyFill="1" applyBorder="1" applyAlignment="1">
      <alignment horizontal="right"/>
    </xf>
    <xf numFmtId="0" fontId="12" fillId="9" borderId="17" xfId="0" applyFont="1" applyFill="1" applyBorder="1" applyAlignment="1">
      <alignment horizontal="right"/>
    </xf>
    <xf numFmtId="0" fontId="0" fillId="9" borderId="17" xfId="0" applyFill="1" applyBorder="1"/>
    <xf numFmtId="0" fontId="0" fillId="9" borderId="18" xfId="0" applyFill="1" applyBorder="1"/>
    <xf numFmtId="0" fontId="12" fillId="9" borderId="19" xfId="0" applyFont="1" applyFill="1" applyBorder="1" applyAlignment="1">
      <alignment horizontal="right"/>
    </xf>
    <xf numFmtId="0" fontId="12" fillId="9" borderId="0" xfId="0" applyFont="1" applyFill="1" applyAlignment="1">
      <alignment horizontal="right"/>
    </xf>
    <xf numFmtId="0" fontId="0" fillId="9" borderId="0" xfId="0" applyFill="1"/>
    <xf numFmtId="0" fontId="0" fillId="9" borderId="20" xfId="0" applyFill="1" applyBorder="1"/>
    <xf numFmtId="0" fontId="0" fillId="9" borderId="0" xfId="0" applyFill="1" applyAlignment="1">
      <alignment horizontal="right"/>
    </xf>
    <xf numFmtId="0" fontId="0" fillId="9" borderId="19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4" xfId="0" applyFill="1" applyBorder="1"/>
    <xf numFmtId="0" fontId="0" fillId="9" borderId="6" xfId="0" applyFill="1" applyBorder="1"/>
    <xf numFmtId="0" fontId="0" fillId="9" borderId="9" xfId="0" applyFill="1" applyBorder="1"/>
    <xf numFmtId="0" fontId="0" fillId="9" borderId="1" xfId="0" applyFill="1" applyBorder="1"/>
    <xf numFmtId="0" fontId="0" fillId="9" borderId="8" xfId="0" applyFill="1" applyBorder="1"/>
    <xf numFmtId="0" fontId="12" fillId="9" borderId="1" xfId="0" applyFont="1" applyFill="1" applyBorder="1" applyAlignment="1">
      <alignment horizontal="right"/>
    </xf>
    <xf numFmtId="0" fontId="14" fillId="9" borderId="9" xfId="0" applyFont="1" applyFill="1" applyBorder="1"/>
    <xf numFmtId="0" fontId="9" fillId="9" borderId="9" xfId="0" applyFont="1" applyFill="1" applyBorder="1"/>
    <xf numFmtId="0" fontId="9" fillId="9" borderId="6" xfId="0" applyFont="1" applyFill="1" applyBorder="1"/>
    <xf numFmtId="0" fontId="12" fillId="9" borderId="24" xfId="0" applyFont="1" applyFill="1" applyBorder="1" applyAlignment="1">
      <alignment horizontal="right"/>
    </xf>
    <xf numFmtId="0" fontId="0" fillId="9" borderId="25" xfId="0" applyFill="1" applyBorder="1"/>
    <xf numFmtId="0" fontId="0" fillId="9" borderId="26" xfId="0" applyFill="1" applyBorder="1"/>
    <xf numFmtId="0" fontId="0" fillId="9" borderId="27" xfId="0" applyFill="1" applyBorder="1"/>
    <xf numFmtId="0" fontId="9" fillId="9" borderId="27" xfId="0" applyFont="1" applyFill="1" applyBorder="1"/>
    <xf numFmtId="0" fontId="14" fillId="9" borderId="27" xfId="0" applyFont="1" applyFill="1" applyBorder="1"/>
    <xf numFmtId="0" fontId="0" fillId="6" borderId="0" xfId="0" applyFill="1"/>
    <xf numFmtId="0" fontId="9" fillId="6" borderId="0" xfId="0" applyFont="1" applyFill="1"/>
    <xf numFmtId="0" fontId="0" fillId="8" borderId="0" xfId="0" applyFill="1"/>
    <xf numFmtId="0" fontId="12" fillId="9" borderId="21" xfId="0" applyFont="1" applyFill="1" applyBorder="1"/>
    <xf numFmtId="0" fontId="9" fillId="9" borderId="23" xfId="0" applyFont="1" applyFill="1" applyBorder="1"/>
    <xf numFmtId="0" fontId="9" fillId="6" borderId="19" xfId="0" applyFont="1" applyFill="1" applyBorder="1"/>
    <xf numFmtId="0" fontId="9" fillId="6" borderId="20" xfId="0" applyFont="1" applyFill="1" applyBorder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33" xfId="0" applyFill="1" applyBorder="1"/>
    <xf numFmtId="0" fontId="0" fillId="8" borderId="34" xfId="0" applyFill="1" applyBorder="1"/>
    <xf numFmtId="0" fontId="0" fillId="8" borderId="35" xfId="0" applyFill="1" applyBorder="1"/>
    <xf numFmtId="0" fontId="0" fillId="8" borderId="37" xfId="0" applyFill="1" applyBorder="1"/>
    <xf numFmtId="0" fontId="12" fillId="9" borderId="15" xfId="0" applyFont="1" applyFill="1" applyBorder="1"/>
    <xf numFmtId="0" fontId="9" fillId="6" borderId="31" xfId="0" applyFont="1" applyFill="1" applyBorder="1"/>
    <xf numFmtId="0" fontId="9" fillId="6" borderId="3" xfId="0" applyFont="1" applyFill="1" applyBorder="1"/>
    <xf numFmtId="0" fontId="9" fillId="6" borderId="32" xfId="0" applyFont="1" applyFill="1" applyBorder="1"/>
    <xf numFmtId="0" fontId="0" fillId="0" borderId="8" xfId="0" applyBorder="1"/>
    <xf numFmtId="0" fontId="0" fillId="6" borderId="9" xfId="0" applyFill="1" applyBorder="1"/>
    <xf numFmtId="0" fontId="0" fillId="6" borderId="19" xfId="0" applyFill="1" applyBorder="1"/>
    <xf numFmtId="0" fontId="0" fillId="6" borderId="20" xfId="0" applyFill="1" applyBorder="1"/>
    <xf numFmtId="0" fontId="0" fillId="7" borderId="19" xfId="0" applyFill="1" applyBorder="1"/>
    <xf numFmtId="0" fontId="0" fillId="7" borderId="20" xfId="0" applyFill="1" applyBorder="1"/>
    <xf numFmtId="0" fontId="0" fillId="7" borderId="21" xfId="0" applyFill="1" applyBorder="1"/>
    <xf numFmtId="0" fontId="0" fillId="7" borderId="38" xfId="0" applyFill="1" applyBorder="1"/>
    <xf numFmtId="0" fontId="0" fillId="7" borderId="23" xfId="0" applyFill="1" applyBorder="1"/>
    <xf numFmtId="0" fontId="0" fillId="0" borderId="16" xfId="0" applyBorder="1"/>
    <xf numFmtId="0" fontId="0" fillId="0" borderId="3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38" xfId="0" applyBorder="1"/>
    <xf numFmtId="0" fontId="0" fillId="0" borderId="23" xfId="0" applyBorder="1"/>
    <xf numFmtId="0" fontId="9" fillId="6" borderId="9" xfId="0" applyFont="1" applyFill="1" applyBorder="1"/>
    <xf numFmtId="0" fontId="0" fillId="0" borderId="26" xfId="0" applyBorder="1"/>
    <xf numFmtId="0" fontId="0" fillId="0" borderId="22" xfId="0" applyBorder="1"/>
    <xf numFmtId="2" fontId="0" fillId="0" borderId="0" xfId="0" applyNumberFormat="1"/>
    <xf numFmtId="0" fontId="9" fillId="6" borderId="0" xfId="0" applyFont="1" applyFill="1" applyAlignment="1">
      <alignment horizontal="center"/>
    </xf>
    <xf numFmtId="1" fontId="0" fillId="0" borderId="0" xfId="0" applyNumberFormat="1"/>
    <xf numFmtId="0" fontId="0" fillId="6" borderId="2" xfId="0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14" fontId="0" fillId="0" borderId="0" xfId="0" applyNumberFormat="1"/>
    <xf numFmtId="14" fontId="0" fillId="0" borderId="2" xfId="0" applyNumberFormat="1" applyBorder="1"/>
    <xf numFmtId="0" fontId="8" fillId="10" borderId="2" xfId="0" applyFont="1" applyFill="1" applyBorder="1" applyAlignment="1">
      <alignment horizontal="center" vertical="center"/>
    </xf>
    <xf numFmtId="0" fontId="4" fillId="2" borderId="6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" xfId="0" applyFont="1" applyFill="1" applyBorder="1"/>
    <xf numFmtId="0" fontId="4" fillId="2" borderId="11" xfId="0" applyFont="1" applyFill="1" applyBorder="1"/>
    <xf numFmtId="0" fontId="9" fillId="10" borderId="13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0" fillId="8" borderId="8" xfId="0" applyFill="1" applyBorder="1"/>
    <xf numFmtId="164" fontId="0" fillId="0" borderId="0" xfId="0" applyNumberFormat="1"/>
    <xf numFmtId="2" fontId="9" fillId="6" borderId="2" xfId="0" applyNumberFormat="1" applyFont="1" applyFill="1" applyBorder="1"/>
    <xf numFmtId="0" fontId="0" fillId="11" borderId="0" xfId="0" applyFill="1"/>
    <xf numFmtId="0" fontId="0" fillId="11" borderId="2" xfId="0" applyFill="1" applyBorder="1"/>
    <xf numFmtId="2" fontId="9" fillId="0" borderId="0" xfId="0" applyNumberFormat="1" applyFont="1"/>
    <xf numFmtId="0" fontId="12" fillId="11" borderId="19" xfId="0" applyFont="1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1" borderId="20" xfId="0" applyFill="1" applyBorder="1"/>
    <xf numFmtId="0" fontId="12" fillId="11" borderId="16" xfId="0" applyFont="1" applyFill="1" applyBorder="1" applyAlignment="1">
      <alignment horizontal="right"/>
    </xf>
    <xf numFmtId="0" fontId="12" fillId="11" borderId="17" xfId="0" applyFont="1" applyFill="1" applyBorder="1" applyAlignment="1">
      <alignment horizontal="right"/>
    </xf>
    <xf numFmtId="0" fontId="0" fillId="11" borderId="17" xfId="0" applyFill="1" applyBorder="1"/>
    <xf numFmtId="0" fontId="0" fillId="11" borderId="18" xfId="0" applyFill="1" applyBorder="1"/>
    <xf numFmtId="0" fontId="12" fillId="11" borderId="0" xfId="0" applyFont="1" applyFill="1" applyAlignment="1">
      <alignment horizontal="right"/>
    </xf>
    <xf numFmtId="0" fontId="12" fillId="0" borderId="19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24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0" fillId="0" borderId="1" xfId="0" applyBorder="1"/>
    <xf numFmtId="0" fontId="0" fillId="0" borderId="25" xfId="0" applyBorder="1"/>
    <xf numFmtId="0" fontId="16" fillId="0" borderId="2" xfId="0" applyFont="1" applyBorder="1"/>
    <xf numFmtId="0" fontId="16" fillId="0" borderId="19" xfId="0" applyFont="1" applyBorder="1"/>
    <xf numFmtId="0" fontId="16" fillId="0" borderId="8" xfId="0" applyFont="1" applyBorder="1"/>
    <xf numFmtId="0" fontId="4" fillId="10" borderId="3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6" fontId="0" fillId="8" borderId="7" xfId="0" applyNumberFormat="1" applyFill="1" applyBorder="1"/>
    <xf numFmtId="166" fontId="0" fillId="8" borderId="36" xfId="0" applyNumberFormat="1" applyFill="1" applyBorder="1"/>
    <xf numFmtId="2" fontId="0" fillId="8" borderId="7" xfId="0" applyNumberFormat="1" applyFill="1" applyBorder="1"/>
    <xf numFmtId="2" fontId="0" fillId="8" borderId="36" xfId="0" applyNumberFormat="1" applyFill="1" applyBorder="1"/>
    <xf numFmtId="2" fontId="0" fillId="0" borderId="2" xfId="0" applyNumberFormat="1" applyBorder="1" applyAlignment="1">
      <alignment horizontal="center"/>
    </xf>
    <xf numFmtId="14" fontId="9" fillId="6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9" fillId="6" borderId="3" xfId="0" applyNumberFormat="1" applyFont="1" applyFill="1" applyBorder="1"/>
    <xf numFmtId="0" fontId="0" fillId="0" borderId="13" xfId="0" applyBorder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12" fillId="4" borderId="1" xfId="0" applyFont="1" applyFill="1" applyBorder="1" applyAlignment="1">
      <alignment horizontal="right"/>
    </xf>
    <xf numFmtId="0" fontId="0" fillId="4" borderId="1" xfId="0" applyFill="1" applyBorder="1"/>
    <xf numFmtId="0" fontId="12" fillId="9" borderId="4" xfId="0" applyFont="1" applyFill="1" applyBorder="1" applyAlignment="1">
      <alignment horizontal="right"/>
    </xf>
    <xf numFmtId="0" fontId="12" fillId="9" borderId="5" xfId="0" applyFont="1" applyFill="1" applyBorder="1" applyAlignment="1">
      <alignment horizontal="right"/>
    </xf>
    <xf numFmtId="0" fontId="0" fillId="9" borderId="5" xfId="0" applyFill="1" applyBorder="1"/>
    <xf numFmtId="0" fontId="12" fillId="9" borderId="8" xfId="0" applyFont="1" applyFill="1" applyBorder="1" applyAlignment="1">
      <alignment horizontal="right"/>
    </xf>
    <xf numFmtId="0" fontId="12" fillId="4" borderId="8" xfId="0" applyFont="1" applyFill="1" applyBorder="1" applyAlignment="1">
      <alignment horizontal="right"/>
    </xf>
    <xf numFmtId="0" fontId="0" fillId="4" borderId="9" xfId="0" applyFill="1" applyBorder="1"/>
    <xf numFmtId="0" fontId="12" fillId="4" borderId="10" xfId="0" applyFont="1" applyFill="1" applyBorder="1" applyAlignment="1">
      <alignment horizontal="right"/>
    </xf>
    <xf numFmtId="0" fontId="0" fillId="4" borderId="11" xfId="0" applyFill="1" applyBorder="1"/>
    <xf numFmtId="0" fontId="0" fillId="9" borderId="10" xfId="0" applyFill="1" applyBorder="1"/>
    <xf numFmtId="0" fontId="0" fillId="9" borderId="11" xfId="0" applyFill="1" applyBorder="1"/>
    <xf numFmtId="0" fontId="12" fillId="4" borderId="19" xfId="0" applyFont="1" applyFill="1" applyBorder="1" applyAlignment="1">
      <alignment horizontal="right"/>
    </xf>
    <xf numFmtId="0" fontId="0" fillId="4" borderId="20" xfId="0" applyFill="1" applyBorder="1"/>
    <xf numFmtId="0" fontId="15" fillId="10" borderId="3" xfId="0" applyFont="1" applyFill="1" applyBorder="1"/>
    <xf numFmtId="9" fontId="0" fillId="0" borderId="0" xfId="0" applyNumberFormat="1"/>
    <xf numFmtId="0" fontId="6" fillId="6" borderId="12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11" borderId="2" xfId="0" applyFill="1" applyBorder="1" applyAlignment="1">
      <alignment horizontal="center"/>
    </xf>
    <xf numFmtId="2" fontId="0" fillId="11" borderId="2" xfId="0" applyNumberFormat="1" applyFill="1" applyBorder="1" applyAlignment="1">
      <alignment horizontal="center"/>
    </xf>
    <xf numFmtId="0" fontId="0" fillId="11" borderId="0" xfId="0" applyFill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5" fillId="0" borderId="0" xfId="0" applyFont="1" applyAlignment="1">
      <alignment horizontal="center"/>
    </xf>
    <xf numFmtId="2" fontId="0" fillId="0" borderId="1" xfId="0" applyNumberFormat="1" applyBorder="1"/>
    <xf numFmtId="0" fontId="5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2" fontId="0" fillId="9" borderId="2" xfId="0" applyNumberForma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164" fontId="9" fillId="9" borderId="0" xfId="0" applyNumberFormat="1" applyFont="1" applyFill="1" applyAlignment="1">
      <alignment horizontal="center"/>
    </xf>
    <xf numFmtId="2" fontId="3" fillId="9" borderId="2" xfId="0" applyNumberFormat="1" applyFont="1" applyFill="1" applyBorder="1" applyAlignment="1">
      <alignment horizontal="center"/>
    </xf>
    <xf numFmtId="0" fontId="22" fillId="9" borderId="0" xfId="2" applyFill="1"/>
    <xf numFmtId="2" fontId="0" fillId="7" borderId="2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2" fontId="3" fillId="11" borderId="2" xfId="0" applyNumberFormat="1" applyFont="1" applyFill="1" applyBorder="1" applyAlignment="1">
      <alignment horizontal="center"/>
    </xf>
    <xf numFmtId="166" fontId="0" fillId="11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5" fontId="3" fillId="11" borderId="2" xfId="0" applyNumberFormat="1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12" fillId="9" borderId="40" xfId="0" applyFont="1" applyFill="1" applyBorder="1"/>
    <xf numFmtId="0" fontId="0" fillId="0" borderId="12" xfId="0" applyBorder="1"/>
    <xf numFmtId="0" fontId="0" fillId="9" borderId="2" xfId="0" applyFill="1" applyBorder="1"/>
    <xf numFmtId="0" fontId="13" fillId="6" borderId="2" xfId="0" applyFont="1" applyFill="1" applyBorder="1"/>
    <xf numFmtId="0" fontId="3" fillId="2" borderId="2" xfId="0" applyFont="1" applyFill="1" applyBorder="1"/>
    <xf numFmtId="2" fontId="3" fillId="0" borderId="2" xfId="0" applyNumberFormat="1" applyFont="1" applyBorder="1"/>
    <xf numFmtId="2" fontId="3" fillId="2" borderId="2" xfId="0" applyNumberFormat="1" applyFont="1" applyFill="1" applyBorder="1"/>
    <xf numFmtId="2" fontId="3" fillId="7" borderId="2" xfId="0" applyNumberFormat="1" applyFont="1" applyFill="1" applyBorder="1"/>
    <xf numFmtId="166" fontId="3" fillId="11" borderId="2" xfId="0" applyNumberFormat="1" applyFont="1" applyFill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3" fillId="0" borderId="2" xfId="0" applyFont="1" applyBorder="1"/>
    <xf numFmtId="0" fontId="3" fillId="9" borderId="2" xfId="0" applyFont="1" applyFill="1" applyBorder="1"/>
    <xf numFmtId="2" fontId="3" fillId="14" borderId="2" xfId="0" applyNumberFormat="1" applyFont="1" applyFill="1" applyBorder="1" applyAlignment="1">
      <alignment horizontal="center"/>
    </xf>
    <xf numFmtId="164" fontId="13" fillId="6" borderId="2" xfId="0" applyNumberFormat="1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3" fillId="11" borderId="2" xfId="0" applyFont="1" applyFill="1" applyBorder="1"/>
    <xf numFmtId="166" fontId="3" fillId="11" borderId="2" xfId="0" applyNumberFormat="1" applyFont="1" applyFill="1" applyBorder="1"/>
    <xf numFmtId="2" fontId="3" fillId="11" borderId="2" xfId="0" applyNumberFormat="1" applyFont="1" applyFill="1" applyBorder="1"/>
    <xf numFmtId="166" fontId="3" fillId="2" borderId="2" xfId="0" applyNumberFormat="1" applyFont="1" applyFill="1" applyBorder="1"/>
    <xf numFmtId="2" fontId="3" fillId="9" borderId="2" xfId="0" applyNumberFormat="1" applyFont="1" applyFill="1" applyBorder="1"/>
    <xf numFmtId="166" fontId="3" fillId="2" borderId="2" xfId="0" applyNumberFormat="1" applyFont="1" applyFill="1" applyBorder="1" applyAlignment="1">
      <alignment horizontal="center"/>
    </xf>
    <xf numFmtId="2" fontId="3" fillId="8" borderId="12" xfId="0" applyNumberFormat="1" applyFont="1" applyFill="1" applyBorder="1" applyAlignment="1">
      <alignment horizontal="center"/>
    </xf>
    <xf numFmtId="2" fontId="3" fillId="11" borderId="12" xfId="0" applyNumberFormat="1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6" fillId="15" borderId="41" xfId="0" applyFont="1" applyFill="1" applyBorder="1" applyAlignment="1">
      <alignment horizontal="center" wrapText="1"/>
    </xf>
    <xf numFmtId="0" fontId="6" fillId="16" borderId="41" xfId="0" applyFont="1" applyFill="1" applyBorder="1" applyAlignment="1">
      <alignment horizontal="center" wrapText="1"/>
    </xf>
    <xf numFmtId="14" fontId="6" fillId="15" borderId="41" xfId="0" applyNumberFormat="1" applyFont="1" applyFill="1" applyBorder="1" applyAlignment="1">
      <alignment horizontal="center" wrapText="1"/>
    </xf>
    <xf numFmtId="14" fontId="9" fillId="6" borderId="0" xfId="0" applyNumberFormat="1" applyFont="1" applyFill="1" applyAlignment="1">
      <alignment horizontal="center"/>
    </xf>
    <xf numFmtId="0" fontId="0" fillId="6" borderId="14" xfId="0" applyFill="1" applyBorder="1" applyAlignment="1">
      <alignment horizontal="center"/>
    </xf>
    <xf numFmtId="14" fontId="0" fillId="6" borderId="14" xfId="0" applyNumberForma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10" fillId="17" borderId="41" xfId="1" applyFill="1" applyBorder="1" applyAlignment="1">
      <alignment wrapText="1"/>
    </xf>
    <xf numFmtId="0" fontId="0" fillId="0" borderId="42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16" borderId="41" xfId="0" applyFill="1" applyBorder="1" applyAlignment="1">
      <alignment wrapText="1"/>
    </xf>
    <xf numFmtId="1" fontId="0" fillId="2" borderId="7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16" fillId="0" borderId="7" xfId="0" applyNumberFormat="1" applyFont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3" xfId="0" applyNumberFormat="1" applyFill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1" fillId="9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/>
    <xf numFmtId="0" fontId="16" fillId="0" borderId="0" xfId="0" applyFont="1"/>
    <xf numFmtId="0" fontId="16" fillId="6" borderId="2" xfId="0" applyFont="1" applyFill="1" applyBorder="1" applyAlignment="1">
      <alignment horizontal="center"/>
    </xf>
    <xf numFmtId="164" fontId="16" fillId="0" borderId="2" xfId="0" applyNumberFormat="1" applyFont="1" applyBorder="1" applyAlignment="1">
      <alignment horizontal="center"/>
    </xf>
    <xf numFmtId="0" fontId="23" fillId="0" borderId="0" xfId="0" applyFont="1"/>
    <xf numFmtId="164" fontId="24" fillId="0" borderId="2" xfId="0" applyNumberFormat="1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5" fillId="6" borderId="2" xfId="0" applyFont="1" applyFill="1" applyBorder="1" applyAlignment="1">
      <alignment horizontal="center"/>
    </xf>
    <xf numFmtId="0" fontId="24" fillId="6" borderId="2" xfId="0" applyFont="1" applyFill="1" applyBorder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2" fontId="24" fillId="0" borderId="0" xfId="0" applyNumberFormat="1" applyFont="1"/>
    <xf numFmtId="0" fontId="26" fillId="0" borderId="2" xfId="0" applyFont="1" applyBorder="1" applyAlignment="1">
      <alignment horizontal="center"/>
    </xf>
    <xf numFmtId="0" fontId="27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/>
    </xf>
    <xf numFmtId="164" fontId="26" fillId="0" borderId="2" xfId="0" applyNumberFormat="1" applyFont="1" applyBorder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2" fontId="26" fillId="0" borderId="0" xfId="0" applyNumberFormat="1" applyFont="1"/>
    <xf numFmtId="0" fontId="25" fillId="6" borderId="2" xfId="0" applyFon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/>
    </xf>
    <xf numFmtId="164" fontId="0" fillId="11" borderId="0" xfId="0" applyNumberFormat="1" applyFill="1"/>
    <xf numFmtId="0" fontId="28" fillId="6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29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2" fillId="6" borderId="2" xfId="0" applyFont="1" applyFill="1" applyBorder="1" applyAlignment="1">
      <alignment horizontal="center"/>
    </xf>
    <xf numFmtId="0" fontId="31" fillId="6" borderId="2" xfId="0" applyFont="1" applyFill="1" applyBorder="1" applyAlignment="1">
      <alignment horizontal="center"/>
    </xf>
    <xf numFmtId="164" fontId="31" fillId="0" borderId="2" xfId="0" applyNumberFormat="1" applyFont="1" applyBorder="1" applyAlignment="1">
      <alignment horizontal="center"/>
    </xf>
    <xf numFmtId="0" fontId="31" fillId="0" borderId="0" xfId="0" applyFont="1"/>
    <xf numFmtId="164" fontId="31" fillId="0" borderId="0" xfId="0" applyNumberFormat="1" applyFont="1"/>
    <xf numFmtId="0" fontId="25" fillId="10" borderId="2" xfId="0" applyFont="1" applyFill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0" fontId="13" fillId="6" borderId="18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2" borderId="0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18" borderId="2" xfId="0" applyFill="1" applyBorder="1" applyAlignment="1">
      <alignment horizontal="center"/>
    </xf>
    <xf numFmtId="164" fontId="0" fillId="18" borderId="2" xfId="0" applyNumberFormat="1" applyFill="1" applyBorder="1" applyAlignment="1">
      <alignment horizontal="center"/>
    </xf>
    <xf numFmtId="164" fontId="16" fillId="18" borderId="2" xfId="0" applyNumberFormat="1" applyFont="1" applyFill="1" applyBorder="1" applyAlignment="1">
      <alignment horizontal="center"/>
    </xf>
    <xf numFmtId="164" fontId="24" fillId="18" borderId="2" xfId="0" applyNumberFormat="1" applyFont="1" applyFill="1" applyBorder="1" applyAlignment="1">
      <alignment horizontal="center"/>
    </xf>
    <xf numFmtId="164" fontId="26" fillId="18" borderId="2" xfId="0" applyNumberFormat="1" applyFont="1" applyFill="1" applyBorder="1" applyAlignment="1">
      <alignment horizontal="center"/>
    </xf>
    <xf numFmtId="164" fontId="31" fillId="18" borderId="2" xfId="0" applyNumberFormat="1" applyFont="1" applyFill="1" applyBorder="1" applyAlignment="1">
      <alignment horizontal="center"/>
    </xf>
    <xf numFmtId="2" fontId="24" fillId="18" borderId="2" xfId="0" applyNumberFormat="1" applyFont="1" applyFill="1" applyBorder="1" applyAlignment="1">
      <alignment horizontal="center"/>
    </xf>
    <xf numFmtId="0" fontId="0" fillId="18" borderId="0" xfId="0" applyFill="1"/>
    <xf numFmtId="164" fontId="33" fillId="18" borderId="2" xfId="0" applyNumberFormat="1" applyFont="1" applyFill="1" applyBorder="1" applyAlignment="1">
      <alignment horizontal="center"/>
    </xf>
  </cellXfs>
  <cellStyles count="3">
    <cellStyle name="Hiperlink" xfId="1" builtinId="8"/>
    <cellStyle name="Normal" xfId="0" builtinId="0"/>
    <cellStyle name="Normal 2" xfId="2" xr:uid="{1D37965E-F592-4380-B07D-37021B8223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P_Mehlich1!$M$3</c:f>
              <c:strCache>
                <c:ptCount val="1"/>
                <c:pt idx="0">
                  <c:v>Abs%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9.1299170128005841E-2"/>
                  <c:y val="-0.33679027551723639"/>
                </c:manualLayout>
              </c:layout>
              <c:numFmt formatCode="General" sourceLinked="0"/>
            </c:trendlineLbl>
          </c:trendline>
          <c:xVal>
            <c:numRef>
              <c:f>P_Mehlich1!$K$4:$K$9</c:f>
              <c:numCache>
                <c:formatCode>General</c:formatCode>
                <c:ptCount val="6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</c:numCache>
            </c:numRef>
          </c:xVal>
          <c:yVal>
            <c:numRef>
              <c:f>P_Mehlich1!$M$4:$M$9</c:f>
              <c:numCache>
                <c:formatCode>General</c:formatCode>
                <c:ptCount val="6"/>
                <c:pt idx="0">
                  <c:v>0</c:v>
                </c:pt>
                <c:pt idx="1">
                  <c:v>0.29157909986528718</c:v>
                </c:pt>
                <c:pt idx="2">
                  <c:v>0.44733178388780681</c:v>
                </c:pt>
                <c:pt idx="3">
                  <c:v>0.63827216398240716</c:v>
                </c:pt>
                <c:pt idx="4">
                  <c:v>0.90308998699194354</c:v>
                </c:pt>
                <c:pt idx="5">
                  <c:v>1.1549019599857431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7-4697-9EAF-03FCDBCFC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08736"/>
        <c:axId val="141110272"/>
      </c:scatterChart>
      <c:valAx>
        <c:axId val="1411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110272"/>
        <c:crosses val="autoZero"/>
        <c:crossBetween val="midCat"/>
      </c:valAx>
      <c:valAx>
        <c:axId val="14111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1087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Prem!$K$4:$K$9</c:f>
              <c:numCache>
                <c:formatCode>General</c:formatCode>
                <c:ptCount val="6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</c:numCache>
            </c:numRef>
          </c:xVal>
          <c:yVal>
            <c:numRef>
              <c:f>Prem!$M$4:$M$9</c:f>
              <c:numCache>
                <c:formatCode>General</c:formatCode>
                <c:ptCount val="6"/>
                <c:pt idx="0">
                  <c:v>6.9492676666893516E-5</c:v>
                </c:pt>
                <c:pt idx="1">
                  <c:v>0.16079858133320224</c:v>
                </c:pt>
                <c:pt idx="2">
                  <c:v>0.30825563140862577</c:v>
                </c:pt>
                <c:pt idx="3">
                  <c:v>0.35971737030331918</c:v>
                </c:pt>
                <c:pt idx="4">
                  <c:v>0.63757407769136965</c:v>
                </c:pt>
                <c:pt idx="5">
                  <c:v>0.78017979285276251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4-4954-8D95-18E228EA9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48607"/>
        <c:axId val="1309044863"/>
      </c:scatterChart>
      <c:valAx>
        <c:axId val="130904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9044863"/>
        <c:crosses val="autoZero"/>
        <c:crossBetween val="midCat"/>
      </c:valAx>
      <c:valAx>
        <c:axId val="13090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904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842082239720032E-2"/>
                  <c:y val="0.41625000000000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P_resina!$K$4:$K$12</c:f>
              <c:numCache>
                <c:formatCode>General</c:formatCode>
                <c:ptCount val="9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6.4</c:v>
                </c:pt>
              </c:numCache>
            </c:numRef>
          </c:xVal>
          <c:yVal>
            <c:numRef>
              <c:f>P_resina!$M$4:$M$12</c:f>
              <c:numCache>
                <c:formatCode>0.000</c:formatCode>
                <c:ptCount val="9"/>
                <c:pt idx="0">
                  <c:v>3.8532972788685171E-3</c:v>
                </c:pt>
                <c:pt idx="1">
                  <c:v>3.0700598574122662E-2</c:v>
                </c:pt>
                <c:pt idx="2">
                  <c:v>5.8985756294430258E-2</c:v>
                </c:pt>
                <c:pt idx="3">
                  <c:v>8.5128182459949686E-2</c:v>
                </c:pt>
                <c:pt idx="4">
                  <c:v>0.11633856484638239</c:v>
                </c:pt>
                <c:pt idx="5">
                  <c:v>0.14011149612420071</c:v>
                </c:pt>
                <c:pt idx="6">
                  <c:v>0.16909070045355667</c:v>
                </c:pt>
                <c:pt idx="7">
                  <c:v>0.21183162885883222</c:v>
                </c:pt>
                <c:pt idx="8">
                  <c:v>0.23451771780738562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7-4B3D-A58F-28381B2CB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487040"/>
        <c:axId val="1199485792"/>
      </c:scatterChart>
      <c:valAx>
        <c:axId val="119948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9485792"/>
        <c:crosses val="autoZero"/>
        <c:crossBetween val="midCat"/>
      </c:valAx>
      <c:valAx>
        <c:axId val="119948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948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K!$K$3</c:f>
              <c:strCache>
                <c:ptCount val="1"/>
                <c:pt idx="0">
                  <c:v>Emissão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55928486211950823"/>
                  <c:y val="-0.17271295633500369"/>
                </c:manualLayout>
              </c:layout>
              <c:numFmt formatCode="General" sourceLinked="0"/>
            </c:trendlineLbl>
          </c:trendline>
          <c:xVal>
            <c:numRef>
              <c:f>K!$J$4:$J$9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K!$K$4:$K$9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48</c:v>
                </c:pt>
                <c:pt idx="3">
                  <c:v>62</c:v>
                </c:pt>
                <c:pt idx="4">
                  <c:v>82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23-442C-9C43-7C4C0F115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73888"/>
        <c:axId val="141175424"/>
      </c:scatterChart>
      <c:valAx>
        <c:axId val="14117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175424"/>
        <c:crosses val="autoZero"/>
        <c:crossBetween val="midCat"/>
      </c:valAx>
      <c:valAx>
        <c:axId val="141175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173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K!$K$3</c:f>
              <c:strCache>
                <c:ptCount val="1"/>
                <c:pt idx="0">
                  <c:v>Emissão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55928486211950823"/>
                  <c:y val="-0.17271295633500369"/>
                </c:manualLayout>
              </c:layout>
              <c:numFmt formatCode="General" sourceLinked="0"/>
            </c:trendlineLbl>
          </c:trendline>
          <c:xVal>
            <c:numRef>
              <c:f>K!$J$4:$J$9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K!$K$4:$K$9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48</c:v>
                </c:pt>
                <c:pt idx="3">
                  <c:v>62</c:v>
                </c:pt>
                <c:pt idx="4">
                  <c:v>82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72-42B1-8D2F-BECC30F19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04864"/>
        <c:axId val="142197888"/>
      </c:scatterChart>
      <c:valAx>
        <c:axId val="14120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197888"/>
        <c:crosses val="autoZero"/>
        <c:crossBetween val="midCat"/>
      </c:valAx>
      <c:valAx>
        <c:axId val="142197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204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588333373221964"/>
          <c:y val="0.24049382716049386"/>
          <c:w val="0.79650767058373018"/>
          <c:h val="0.66074074074074074"/>
        </c:manualLayout>
      </c:layout>
      <c:scatterChart>
        <c:scatterStyle val="lineMarker"/>
        <c:varyColors val="0"/>
        <c:ser>
          <c:idx val="0"/>
          <c:order val="0"/>
          <c:tx>
            <c:strRef>
              <c:f>B!$M$3</c:f>
              <c:strCache>
                <c:ptCount val="1"/>
                <c:pt idx="0">
                  <c:v>Abs%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099857198701234"/>
                  <c:y val="-0.253263157894736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B!$K$4:$K$9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B!$M$4:$M$9</c:f>
              <c:numCache>
                <c:formatCode>General</c:formatCode>
                <c:ptCount val="6"/>
                <c:pt idx="0">
                  <c:v>1.3029029893418809E-5</c:v>
                </c:pt>
                <c:pt idx="1">
                  <c:v>0.16099987657754888</c:v>
                </c:pt>
                <c:pt idx="2">
                  <c:v>0.31291715539562936</c:v>
                </c:pt>
                <c:pt idx="3">
                  <c:v>0.41601951954396399</c:v>
                </c:pt>
                <c:pt idx="4">
                  <c:v>0.5551124287420619</c:v>
                </c:pt>
                <c:pt idx="5">
                  <c:v>0.66709719431420877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E-458B-9227-53D05F9DE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00015"/>
        <c:axId val="1231999183"/>
      </c:scatterChart>
      <c:valAx>
        <c:axId val="12320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999183"/>
        <c:crosses val="autoZero"/>
        <c:crossBetween val="midCat"/>
      </c:valAx>
      <c:valAx>
        <c:axId val="123199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200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3043890865954919"/>
          <c:y val="5.58139534883720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S!$M$3</c:f>
              <c:strCache>
                <c:ptCount val="1"/>
                <c:pt idx="0">
                  <c:v>Abs%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064197046543558"/>
                  <c:y val="-0.22323530488921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S!$K$4:$K$13</c:f>
              <c:numCache>
                <c:formatCode>General</c:formatCode>
                <c:ptCount val="10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S!$M$4:$M$13</c:f>
              <c:numCache>
                <c:formatCode>General</c:formatCode>
                <c:ptCount val="10"/>
                <c:pt idx="0">
                  <c:v>7.383633819002533E-5</c:v>
                </c:pt>
                <c:pt idx="1">
                  <c:v>1.4012494341879567E-2</c:v>
                </c:pt>
                <c:pt idx="2">
                  <c:v>3.1017666525735565E-2</c:v>
                </c:pt>
                <c:pt idx="3">
                  <c:v>3.2091821095576067E-2</c:v>
                </c:pt>
                <c:pt idx="4">
                  <c:v>4.1622487727291713E-2</c:v>
                </c:pt>
                <c:pt idx="5">
                  <c:v>5.3061636612180996E-2</c:v>
                </c:pt>
                <c:pt idx="6">
                  <c:v>7.0080646721177642E-2</c:v>
                </c:pt>
                <c:pt idx="7">
                  <c:v>9.5479200761658056E-2</c:v>
                </c:pt>
                <c:pt idx="8">
                  <c:v>0.12665614341326936</c:v>
                </c:pt>
                <c:pt idx="9">
                  <c:v>0.17582859034340581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9-4C2B-8B71-5990BD186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533951"/>
        <c:axId val="1349534367"/>
      </c:scatterChart>
      <c:valAx>
        <c:axId val="13495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9534367"/>
        <c:crosses val="autoZero"/>
        <c:crossBetween val="midCat"/>
      </c:valAx>
      <c:valAx>
        <c:axId val="13495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953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81714785651793E-2"/>
          <c:y val="0.17171296296296298"/>
          <c:w val="0.8681758530183727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Abs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909448818897641"/>
                  <c:y val="-5.000364537766112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Lit>
              <c:formatCode>General</c:formatCode>
              <c:ptCount val="26"/>
              <c:pt idx="0">
                <c:v>2.2999999999999998</c:v>
              </c:pt>
              <c:pt idx="1">
                <c:v>2.2000000000000002</c:v>
              </c:pt>
              <c:pt idx="2">
                <c:v>2.2000000000000002</c:v>
              </c:pt>
              <c:pt idx="3">
                <c:v>2.2000000000000002</c:v>
              </c:pt>
              <c:pt idx="4">
                <c:v>2.1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1.9</c:v>
              </c:pt>
              <c:pt idx="9">
                <c:v>1.8</c:v>
              </c:pt>
              <c:pt idx="10">
                <c:v>1.8</c:v>
              </c:pt>
              <c:pt idx="11">
                <c:v>1.8</c:v>
              </c:pt>
              <c:pt idx="12">
                <c:v>1.6</c:v>
              </c:pt>
              <c:pt idx="13">
                <c:v>1.6</c:v>
              </c:pt>
              <c:pt idx="14">
                <c:v>1.6</c:v>
              </c:pt>
              <c:pt idx="15">
                <c:v>1.4</c:v>
              </c:pt>
              <c:pt idx="16">
                <c:v>1.3</c:v>
              </c:pt>
              <c:pt idx="17">
                <c:v>1.2</c:v>
              </c:pt>
              <c:pt idx="18">
                <c:v>1.34</c:v>
              </c:pt>
              <c:pt idx="19">
                <c:v>1.2</c:v>
              </c:pt>
              <c:pt idx="20">
                <c:v>1.2</c:v>
              </c:pt>
              <c:pt idx="21">
                <c:v>1.1000000000000001</c:v>
              </c:pt>
              <c:pt idx="22">
                <c:v>1</c:v>
              </c:pt>
              <c:pt idx="23">
                <c:v>0.9</c:v>
              </c:pt>
              <c:pt idx="24">
                <c:v>0.8</c:v>
              </c:pt>
            </c:numLit>
          </c:xVal>
          <c:yVal>
            <c:numLit>
              <c:formatCode>General</c:formatCode>
              <c:ptCount val="26"/>
              <c:pt idx="0">
                <c:v>0.15365051498428328</c:v>
              </c:pt>
              <c:pt idx="1">
                <c:v>0.14935376481693341</c:v>
              </c:pt>
              <c:pt idx="2">
                <c:v>0.1467764869102377</c:v>
              </c:pt>
              <c:pt idx="3">
                <c:v>0.14523864330636371</c:v>
              </c:pt>
              <c:pt idx="4">
                <c:v>0.13846558914096208</c:v>
              </c:pt>
              <c:pt idx="5">
                <c:v>0.13430394008392943</c:v>
              </c:pt>
              <c:pt idx="6">
                <c:v>0.13243823863281179</c:v>
              </c:pt>
              <c:pt idx="7">
                <c:v>0.13048080206396606</c:v>
              </c:pt>
              <c:pt idx="8">
                <c:v>0.12493873660829991</c:v>
              </c:pt>
              <c:pt idx="9">
                <c:v>0.12057723185645486</c:v>
              </c:pt>
              <c:pt idx="10">
                <c:v>0.11708289615038403</c:v>
              </c:pt>
              <c:pt idx="11">
                <c:v>0.11627044556431931</c:v>
              </c:pt>
              <c:pt idx="12">
                <c:v>0.10513034325474746</c:v>
              </c:pt>
              <c:pt idx="13">
                <c:v>0.10434545018712549</c:v>
              </c:pt>
              <c:pt idx="14">
                <c:v>0.10282392950157382</c:v>
              </c:pt>
              <c:pt idx="15">
                <c:v>8.6101415495849931E-2</c:v>
              </c:pt>
              <c:pt idx="16">
                <c:v>7.9354998593212489E-2</c:v>
              </c:pt>
              <c:pt idx="17">
                <c:v>7.6787077553268634E-2</c:v>
              </c:pt>
              <c:pt idx="18">
                <c:v>7.6238039171299787E-2</c:v>
              </c:pt>
              <c:pt idx="19">
                <c:v>7.5756906652994394E-2</c:v>
              </c:pt>
              <c:pt idx="20">
                <c:v>7.2835025700630052E-2</c:v>
              </c:pt>
              <c:pt idx="21">
                <c:v>6.6022003877691304E-2</c:v>
              </c:pt>
              <c:pt idx="22">
                <c:v>6.2617532686347399E-2</c:v>
              </c:pt>
              <c:pt idx="23">
                <c:v>5.1895257898810998E-2</c:v>
              </c:pt>
              <c:pt idx="24">
                <c:v>4.5236649624489367E-2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BCA-40A2-936A-B7CB87288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157024"/>
        <c:axId val="270158272"/>
      </c:scatterChart>
      <c:valAx>
        <c:axId val="27015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0158272"/>
        <c:crosses val="autoZero"/>
        <c:crossBetween val="midCat"/>
      </c:valAx>
      <c:valAx>
        <c:axId val="27015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015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52220082332123"/>
                  <c:y val="-9.9828721409823767E-2"/>
                </c:manualLayout>
              </c:layout>
              <c:numFmt formatCode="General" sourceLinked="0"/>
            </c:trendlineLbl>
          </c:trendline>
          <c:xVal>
            <c:numRef>
              <c:f>'Ca2+'!$J$4:$J$10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'Ca2+'!$L$4:$L$10</c:f>
              <c:numCache>
                <c:formatCode>General</c:formatCode>
                <c:ptCount val="7"/>
                <c:pt idx="0">
                  <c:v>-2.0000000000000001E-4</c:v>
                </c:pt>
                <c:pt idx="1">
                  <c:v>6.3899999999999998E-2</c:v>
                </c:pt>
                <c:pt idx="2">
                  <c:v>0.1086</c:v>
                </c:pt>
                <c:pt idx="3">
                  <c:v>0.19589999999999999</c:v>
                </c:pt>
                <c:pt idx="4">
                  <c:v>0.36209999999999998</c:v>
                </c:pt>
                <c:pt idx="5">
                  <c:v>0.66300000000000003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F-4B41-A096-DD6D818C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76544"/>
        <c:axId val="142078336"/>
      </c:scatterChart>
      <c:valAx>
        <c:axId val="14207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078336"/>
        <c:crosses val="autoZero"/>
        <c:crossBetween val="midCat"/>
      </c:valAx>
      <c:valAx>
        <c:axId val="14207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0765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56684178821909581"/>
                  <c:y val="-0.13413740929442644"/>
                </c:manualLayout>
              </c:layout>
              <c:numFmt formatCode="General" sourceLinked="0"/>
            </c:trendlineLbl>
          </c:trendline>
          <c:xVal>
            <c:numRef>
              <c:f>Mg²!$J$4:$J$10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Mg²!$L$4:$L$10</c:f>
              <c:numCache>
                <c:formatCode>General</c:formatCode>
                <c:ptCount val="7"/>
                <c:pt idx="0">
                  <c:v>0</c:v>
                </c:pt>
                <c:pt idx="1">
                  <c:v>4.8399999999999999E-2</c:v>
                </c:pt>
                <c:pt idx="2">
                  <c:v>8.3099999999999993E-2</c:v>
                </c:pt>
                <c:pt idx="3">
                  <c:v>0.1497</c:v>
                </c:pt>
                <c:pt idx="4">
                  <c:v>0.26519999999999999</c:v>
                </c:pt>
                <c:pt idx="5">
                  <c:v>0.43659999999999999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7C-49D2-80DF-C39BF8F8B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08800"/>
        <c:axId val="142510336"/>
      </c:scatterChart>
      <c:valAx>
        <c:axId val="14250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510336"/>
        <c:crosses val="autoZero"/>
        <c:crossBetween val="midCat"/>
      </c:valAx>
      <c:valAx>
        <c:axId val="14251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08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53687899589474397"/>
                  <c:y val="-4.3999999999999997E-2"/>
                </c:manualLayout>
              </c:layout>
              <c:numFmt formatCode="General" sourceLinked="0"/>
            </c:trendlineLbl>
          </c:trendline>
          <c:xVal>
            <c:numRef>
              <c:f>Cu!$J$4:$J$9</c:f>
              <c:numCache>
                <c:formatCode>General</c:formatCode>
                <c:ptCount val="6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</c:numCache>
            </c:numRef>
          </c:xVal>
          <c:yVal>
            <c:numRef>
              <c:f>Cu!$K$4:$K$9</c:f>
              <c:numCache>
                <c:formatCode>General</c:formatCode>
                <c:ptCount val="6"/>
                <c:pt idx="0">
                  <c:v>0</c:v>
                </c:pt>
                <c:pt idx="1">
                  <c:v>5.0000000000000001E-3</c:v>
                </c:pt>
                <c:pt idx="2">
                  <c:v>1.11E-2</c:v>
                </c:pt>
                <c:pt idx="3">
                  <c:v>1.6899999999999998E-2</c:v>
                </c:pt>
                <c:pt idx="4">
                  <c:v>2.2200000000000001E-2</c:v>
                </c:pt>
                <c:pt idx="5">
                  <c:v>2.8199999999999999E-2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5-45D9-BB05-FE618DC48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76032"/>
        <c:axId val="142894208"/>
      </c:scatterChart>
      <c:valAx>
        <c:axId val="14287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894208"/>
        <c:crosses val="autoZero"/>
        <c:crossBetween val="midCat"/>
      </c:valAx>
      <c:valAx>
        <c:axId val="142894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876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53952297082965883"/>
                  <c:y val="-5.5059837703773276E-2"/>
                </c:manualLayout>
              </c:layout>
              <c:numFmt formatCode="General" sourceLinked="0"/>
            </c:trendlineLbl>
          </c:trendline>
          <c:xVal>
            <c:numRef>
              <c:f>Fe!$J$4:$J$9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Fe!$K$4:$K$9</c:f>
              <c:numCache>
                <c:formatCode>General</c:formatCode>
                <c:ptCount val="6"/>
                <c:pt idx="0">
                  <c:v>-2.9999999999999997E-4</c:v>
                </c:pt>
                <c:pt idx="1">
                  <c:v>2.2599999999999999E-2</c:v>
                </c:pt>
                <c:pt idx="2">
                  <c:v>4.5600000000000002E-2</c:v>
                </c:pt>
                <c:pt idx="3">
                  <c:v>6.5699999999999995E-2</c:v>
                </c:pt>
                <c:pt idx="4">
                  <c:v>8.5900000000000004E-2</c:v>
                </c:pt>
                <c:pt idx="5">
                  <c:v>0.1052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94-4B4B-8241-476B7886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00736"/>
        <c:axId val="145360000"/>
      </c:scatterChart>
      <c:valAx>
        <c:axId val="14410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360000"/>
        <c:crosses val="autoZero"/>
        <c:crossBetween val="midCat"/>
      </c:valAx>
      <c:valAx>
        <c:axId val="145360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1007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7279581490669825"/>
                  <c:y val="-6.0381556783014066E-2"/>
                </c:manualLayout>
              </c:layout>
              <c:numFmt formatCode="General" sourceLinked="0"/>
            </c:trendlineLbl>
          </c:trendline>
          <c:xVal>
            <c:numRef>
              <c:f>Mn!$J$4:$J$9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Mn!$K$4:$K$9</c:f>
              <c:numCache>
                <c:formatCode>General</c:formatCode>
                <c:ptCount val="6"/>
                <c:pt idx="0">
                  <c:v>-2.9999999999999997E-4</c:v>
                </c:pt>
                <c:pt idx="1">
                  <c:v>1.8200000000000001E-2</c:v>
                </c:pt>
                <c:pt idx="2">
                  <c:v>3.6900000000000002E-2</c:v>
                </c:pt>
                <c:pt idx="3">
                  <c:v>5.5E-2</c:v>
                </c:pt>
                <c:pt idx="4">
                  <c:v>7.22E-2</c:v>
                </c:pt>
                <c:pt idx="5">
                  <c:v>8.9800000000000005E-2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4-4CB6-970C-07C2432BA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49664"/>
        <c:axId val="144051200"/>
      </c:scatterChart>
      <c:valAx>
        <c:axId val="14404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051200"/>
        <c:crosses val="autoZero"/>
        <c:crossBetween val="midCat"/>
      </c:valAx>
      <c:valAx>
        <c:axId val="14405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049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55694687811910859"/>
                  <c:y val="-7.833346074459141E-2"/>
                </c:manualLayout>
              </c:layout>
              <c:numFmt formatCode="General" sourceLinked="0"/>
            </c:trendlineLbl>
          </c:trendline>
          <c:xVal>
            <c:numRef>
              <c:f>Zn!$J$4:$J$9</c:f>
              <c:numCache>
                <c:formatCode>General</c:formatCode>
                <c:ptCount val="6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</c:numCache>
            </c:numRef>
          </c:xVal>
          <c:yVal>
            <c:numRef>
              <c:f>Zn!$K$4:$K$9</c:f>
              <c:numCache>
                <c:formatCode>General</c:formatCode>
                <c:ptCount val="6"/>
                <c:pt idx="0">
                  <c:v>0</c:v>
                </c:pt>
                <c:pt idx="1">
                  <c:v>2.3300000000000001E-2</c:v>
                </c:pt>
                <c:pt idx="2">
                  <c:v>4.6300000000000001E-2</c:v>
                </c:pt>
                <c:pt idx="3">
                  <c:v>6.7100000000000007E-2</c:v>
                </c:pt>
                <c:pt idx="4">
                  <c:v>8.8300000000000003E-2</c:v>
                </c:pt>
                <c:pt idx="5">
                  <c:v>0.1079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9-48BA-B3A9-B5CE674A4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01280"/>
        <c:axId val="151202816"/>
      </c:scatterChart>
      <c:valAx>
        <c:axId val="15120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202816"/>
        <c:crosses val="autoZero"/>
        <c:crossBetween val="midCat"/>
      </c:valAx>
      <c:valAx>
        <c:axId val="15120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201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133349</xdr:colOff>
      <xdr:row>1</xdr:row>
      <xdr:rowOff>66675</xdr:rowOff>
    </xdr:from>
    <xdr:to>
      <xdr:col>19</xdr:col>
      <xdr:colOff>28574</xdr:colOff>
      <xdr:row>9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0</xdr:row>
      <xdr:rowOff>161925</xdr:rowOff>
    </xdr:from>
    <xdr:to>
      <xdr:col>22</xdr:col>
      <xdr:colOff>571500</xdr:colOff>
      <xdr:row>14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431321</xdr:colOff>
      <xdr:row>8</xdr:row>
      <xdr:rowOff>167736</xdr:rowOff>
    </xdr:from>
    <xdr:to>
      <xdr:col>12</xdr:col>
      <xdr:colOff>467264</xdr:colOff>
      <xdr:row>24</xdr:row>
      <xdr:rowOff>35943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F8673016-DCA0-D416-E6F6-594E331EF46E}"/>
            </a:ext>
          </a:extLst>
        </xdr:cNvPr>
        <xdr:cNvCxnSpPr/>
      </xdr:nvCxnSpPr>
      <xdr:spPr>
        <a:xfrm flipH="1">
          <a:off x="13227170" y="1809151"/>
          <a:ext cx="35943" cy="30312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209550</xdr:colOff>
      <xdr:row>0</xdr:row>
      <xdr:rowOff>152400</xdr:rowOff>
    </xdr:from>
    <xdr:to>
      <xdr:col>22</xdr:col>
      <xdr:colOff>514350</xdr:colOff>
      <xdr:row>14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0</xdr:row>
      <xdr:rowOff>200025</xdr:rowOff>
    </xdr:from>
    <xdr:to>
      <xdr:col>16</xdr:col>
      <xdr:colOff>514350</xdr:colOff>
      <xdr:row>9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0</xdr:row>
      <xdr:rowOff>200025</xdr:rowOff>
    </xdr:from>
    <xdr:to>
      <xdr:col>16</xdr:col>
      <xdr:colOff>514350</xdr:colOff>
      <xdr:row>9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12</xdr:row>
      <xdr:rowOff>50800</xdr:rowOff>
    </xdr:from>
    <xdr:to>
      <xdr:col>15</xdr:col>
      <xdr:colOff>571500</xdr:colOff>
      <xdr:row>28</xdr:row>
      <xdr:rowOff>25400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3D25D7FF-C461-B547-6F25-4B7AEAF77E15}"/>
            </a:ext>
          </a:extLst>
        </xdr:cNvPr>
        <xdr:cNvCxnSpPr/>
      </xdr:nvCxnSpPr>
      <xdr:spPr>
        <a:xfrm flipH="1" flipV="1">
          <a:off x="13220700" y="2565400"/>
          <a:ext cx="673100" cy="311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581024</xdr:colOff>
      <xdr:row>0</xdr:row>
      <xdr:rowOff>200025</xdr:rowOff>
    </xdr:from>
    <xdr:to>
      <xdr:col>19</xdr:col>
      <xdr:colOff>57149</xdr:colOff>
      <xdr:row>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590549</xdr:colOff>
      <xdr:row>1</xdr:row>
      <xdr:rowOff>9525</xdr:rowOff>
    </xdr:from>
    <xdr:to>
      <xdr:col>19</xdr:col>
      <xdr:colOff>219074</xdr:colOff>
      <xdr:row>15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276225</xdr:colOff>
      <xdr:row>5</xdr:row>
      <xdr:rowOff>114300</xdr:rowOff>
    </xdr:from>
    <xdr:to>
      <xdr:col>20</xdr:col>
      <xdr:colOff>581025</xdr:colOff>
      <xdr:row>19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114299</xdr:colOff>
      <xdr:row>0</xdr:row>
      <xdr:rowOff>209550</xdr:rowOff>
    </xdr:from>
    <xdr:to>
      <xdr:col>18</xdr:col>
      <xdr:colOff>276225</xdr:colOff>
      <xdr:row>10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1</xdr:row>
      <xdr:rowOff>28574</xdr:rowOff>
    </xdr:from>
    <xdr:to>
      <xdr:col>18</xdr:col>
      <xdr:colOff>47625</xdr:colOff>
      <xdr:row>10</xdr:row>
      <xdr:rowOff>152399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292100</xdr:colOff>
      <xdr:row>3</xdr:row>
      <xdr:rowOff>101600</xdr:rowOff>
    </xdr:from>
    <xdr:to>
      <xdr:col>10</xdr:col>
      <xdr:colOff>635000</xdr:colOff>
      <xdr:row>29</xdr:row>
      <xdr:rowOff>63500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951DF757-D815-F47D-E065-59C99E29C842}"/>
            </a:ext>
          </a:extLst>
        </xdr:cNvPr>
        <xdr:cNvCxnSpPr/>
      </xdr:nvCxnSpPr>
      <xdr:spPr>
        <a:xfrm>
          <a:off x="12585700" y="749300"/>
          <a:ext cx="342900" cy="5143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390525</xdr:colOff>
      <xdr:row>0</xdr:row>
      <xdr:rowOff>180975</xdr:rowOff>
    </xdr:from>
    <xdr:to>
      <xdr:col>18</xdr:col>
      <xdr:colOff>314325</xdr:colOff>
      <xdr:row>11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276225</xdr:colOff>
      <xdr:row>0</xdr:row>
      <xdr:rowOff>123825</xdr:rowOff>
    </xdr:from>
    <xdr:to>
      <xdr:col>18</xdr:col>
      <xdr:colOff>161924</xdr:colOff>
      <xdr:row>11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0</xdr:row>
      <xdr:rowOff>161925</xdr:rowOff>
    </xdr:from>
    <xdr:to>
      <xdr:col>18</xdr:col>
      <xdr:colOff>228600</xdr:colOff>
      <xdr:row>10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0</xdr:row>
      <xdr:rowOff>142875</xdr:rowOff>
    </xdr:from>
    <xdr:to>
      <xdr:col>17</xdr:col>
      <xdr:colOff>419100</xdr:colOff>
      <xdr:row>10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31530</xdr:colOff>
      <xdr:row>1</xdr:row>
      <xdr:rowOff>31531</xdr:rowOff>
    </xdr:from>
    <xdr:to>
      <xdr:col>2</xdr:col>
      <xdr:colOff>222031</xdr:colOff>
      <xdr:row>6</xdr:row>
      <xdr:rowOff>19592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82" t="11539" r="28205" b="6730"/>
        <a:stretch/>
      </xdr:blipFill>
      <xdr:spPr>
        <a:xfrm>
          <a:off x="195754" y="222031"/>
          <a:ext cx="827691" cy="1025958"/>
        </a:xfrm>
        <a:prstGeom prst="rect">
          <a:avLst/>
        </a:prstGeom>
      </xdr:spPr>
    </xdr:pic>
    <xdr:clientData/>
  </xdr:twoCellAnchor>
  <xdr:oneCellAnchor>
    <xdr:from>
      <xdr:col>1</xdr:col>
      <xdr:colOff>38099</xdr:colOff>
      <xdr:row>50</xdr:row>
      <xdr:rowOff>38100</xdr:rowOff>
    </xdr:from>
    <xdr:ext cx="827486" cy="1029858"/>
    <xdr:pic>
      <xdr:nvPicPr>
        <xdr:cNvPr id="4" name="Imagem 3">
          <a:extLst>
            <a:ext uri="{FF2B5EF4-FFF2-40B4-BE49-F238E27FC236}">
              <a16:creationId xmlns:a16="http://schemas.microsoft.com/office/drawing/2014/main" id="{EB21485A-EE13-417D-8821-36E1C6108B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82" t="11539" r="28205" b="6730"/>
        <a:stretch/>
      </xdr:blipFill>
      <xdr:spPr>
        <a:xfrm>
          <a:off x="198833" y="228600"/>
          <a:ext cx="827486" cy="1029858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99</xdr:row>
      <xdr:rowOff>38100</xdr:rowOff>
    </xdr:from>
    <xdr:ext cx="827486" cy="1029858"/>
    <xdr:pic>
      <xdr:nvPicPr>
        <xdr:cNvPr id="6" name="Imagem 5">
          <a:extLst>
            <a:ext uri="{FF2B5EF4-FFF2-40B4-BE49-F238E27FC236}">
              <a16:creationId xmlns:a16="http://schemas.microsoft.com/office/drawing/2014/main" id="{5DCF4B81-ADDD-4325-8334-51532BD0E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82" t="11539" r="28205" b="6730"/>
        <a:stretch/>
      </xdr:blipFill>
      <xdr:spPr>
        <a:xfrm>
          <a:off x="202323" y="9740462"/>
          <a:ext cx="827486" cy="1029858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148</xdr:row>
      <xdr:rowOff>38100</xdr:rowOff>
    </xdr:from>
    <xdr:ext cx="827486" cy="1029858"/>
    <xdr:pic>
      <xdr:nvPicPr>
        <xdr:cNvPr id="8" name="Imagem 7">
          <a:extLst>
            <a:ext uri="{FF2B5EF4-FFF2-40B4-BE49-F238E27FC236}">
              <a16:creationId xmlns:a16="http://schemas.microsoft.com/office/drawing/2014/main" id="{E0F0D149-0F13-4E0E-B205-6906BA1C14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82" t="11539" r="28205" b="6730"/>
        <a:stretch/>
      </xdr:blipFill>
      <xdr:spPr>
        <a:xfrm>
          <a:off x="202323" y="9740462"/>
          <a:ext cx="827486" cy="1029858"/>
        </a:xfrm>
        <a:prstGeom prst="rect">
          <a:avLst/>
        </a:prstGeom>
      </xdr:spPr>
    </xdr:pic>
    <xdr:clientData/>
  </xdr:oneCellAnchor>
  <xdr:twoCellAnchor editAs="oneCell">
    <xdr:from>
      <xdr:col>9</xdr:col>
      <xdr:colOff>147310</xdr:colOff>
      <xdr:row>1</xdr:row>
      <xdr:rowOff>197069</xdr:rowOff>
    </xdr:from>
    <xdr:to>
      <xdr:col>11</xdr:col>
      <xdr:colOff>144517</xdr:colOff>
      <xdr:row>5</xdr:row>
      <xdr:rowOff>111672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902C04-966D-F402-08B5-B2A82E299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0103" y="387569"/>
          <a:ext cx="864311" cy="762000"/>
        </a:xfrm>
        <a:prstGeom prst="rect">
          <a:avLst/>
        </a:prstGeom>
      </xdr:spPr>
    </xdr:pic>
    <xdr:clientData/>
  </xdr:twoCellAnchor>
  <xdr:twoCellAnchor editAs="oneCell">
    <xdr:from>
      <xdr:col>9</xdr:col>
      <xdr:colOff>280003</xdr:colOff>
      <xdr:row>50</xdr:row>
      <xdr:rowOff>172106</xdr:rowOff>
    </xdr:from>
    <xdr:to>
      <xdr:col>11</xdr:col>
      <xdr:colOff>277210</xdr:colOff>
      <xdr:row>54</xdr:row>
      <xdr:rowOff>86709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1A74288-BB67-4E0D-AB57-E03851E56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2796" y="9874468"/>
          <a:ext cx="864311" cy="762000"/>
        </a:xfrm>
        <a:prstGeom prst="rect">
          <a:avLst/>
        </a:prstGeom>
      </xdr:spPr>
    </xdr:pic>
    <xdr:clientData/>
  </xdr:twoCellAnchor>
  <xdr:twoCellAnchor editAs="oneCell">
    <xdr:from>
      <xdr:col>9</xdr:col>
      <xdr:colOff>268180</xdr:colOff>
      <xdr:row>99</xdr:row>
      <xdr:rowOff>193126</xdr:rowOff>
    </xdr:from>
    <xdr:to>
      <xdr:col>11</xdr:col>
      <xdr:colOff>265387</xdr:colOff>
      <xdr:row>103</xdr:row>
      <xdr:rowOff>107729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A6BE082-67B0-4521-9B40-85A63D7B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0973" y="19407350"/>
          <a:ext cx="864311" cy="762000"/>
        </a:xfrm>
        <a:prstGeom prst="rect">
          <a:avLst/>
        </a:prstGeom>
      </xdr:spPr>
    </xdr:pic>
    <xdr:clientData/>
  </xdr:twoCellAnchor>
  <xdr:twoCellAnchor editAs="oneCell">
    <xdr:from>
      <xdr:col>9</xdr:col>
      <xdr:colOff>302340</xdr:colOff>
      <xdr:row>148</xdr:row>
      <xdr:rowOff>214146</xdr:rowOff>
    </xdr:from>
    <xdr:to>
      <xdr:col>11</xdr:col>
      <xdr:colOff>299547</xdr:colOff>
      <xdr:row>152</xdr:row>
      <xdr:rowOff>128749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28F2704-1485-4DB2-B6D7-3BBE3F4C2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5133" y="28940232"/>
          <a:ext cx="864311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asnborges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liasnborges@gmail.com" TargetMode="External"/><Relationship Id="rId1" Type="http://schemas.openxmlformats.org/officeDocument/2006/relationships/hyperlink" Target="mailto:eliasnborges@gmail.com" TargetMode="External"/><Relationship Id="rId6" Type="http://schemas.openxmlformats.org/officeDocument/2006/relationships/hyperlink" Target="mailto:eliasnborges@gmail.com" TargetMode="External"/><Relationship Id="rId5" Type="http://schemas.openxmlformats.org/officeDocument/2006/relationships/hyperlink" Target="mailto:eliasnborges@gmail.com" TargetMode="External"/><Relationship Id="rId4" Type="http://schemas.openxmlformats.org/officeDocument/2006/relationships/hyperlink" Target="mailto:eliasnborg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labas.solo@gmail.com" TargetMode="External"/><Relationship Id="rId2" Type="http://schemas.openxmlformats.org/officeDocument/2006/relationships/hyperlink" Target="mailto:labas.solo@gmail.com" TargetMode="External"/><Relationship Id="rId1" Type="http://schemas.openxmlformats.org/officeDocument/2006/relationships/hyperlink" Target="mailto:labas.solo@gmail.com" TargetMode="External"/><Relationship Id="rId6" Type="http://schemas.openxmlformats.org/officeDocument/2006/relationships/drawing" Target="../drawings/drawing15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mailto:labas.so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3"/>
  <sheetViews>
    <sheetView topLeftCell="B1" zoomScale="114" zoomScaleNormal="180" workbookViewId="0">
      <selection activeCell="B7" sqref="B7"/>
    </sheetView>
  </sheetViews>
  <sheetFormatPr baseColWidth="10" defaultColWidth="0" defaultRowHeight="15" x14ac:dyDescent="0.2"/>
  <cols>
    <col min="1" max="1" width="25.5" style="27" customWidth="1"/>
    <col min="2" max="2" width="34.5" customWidth="1"/>
    <col min="3" max="3" width="52.6640625" customWidth="1"/>
    <col min="4" max="4" width="51" customWidth="1"/>
    <col min="5" max="5" width="26.83203125" customWidth="1"/>
    <col min="6" max="6" width="10.6640625" style="112" bestFit="1" customWidth="1"/>
    <col min="7" max="7" width="12" style="112" customWidth="1"/>
    <col min="8" max="8" width="21" customWidth="1"/>
    <col min="9" max="9" width="9.1640625" customWidth="1"/>
    <col min="10" max="10" width="8.5" customWidth="1"/>
    <col min="11" max="11" width="9.1640625" hidden="1" customWidth="1"/>
    <col min="12" max="12" width="9.5" hidden="1" customWidth="1"/>
    <col min="13" max="13" width="21.83203125" hidden="1" customWidth="1"/>
    <col min="14" max="14" width="23" hidden="1" customWidth="1"/>
    <col min="15" max="15" width="27.6640625" hidden="1" customWidth="1"/>
    <col min="16" max="16" width="25.1640625" hidden="1" customWidth="1"/>
    <col min="17" max="17" width="15.33203125" hidden="1" customWidth="1"/>
    <col min="18" max="19" width="12.33203125" hidden="1" customWidth="1"/>
    <col min="20" max="20" width="15.33203125" hidden="1" customWidth="1"/>
    <col min="21" max="24" width="12.33203125" hidden="1" customWidth="1"/>
    <col min="25" max="16384" width="9.1640625" hidden="1"/>
  </cols>
  <sheetData>
    <row r="1" spans="1:8" x14ac:dyDescent="0.2">
      <c r="A1" s="30" t="s">
        <v>100</v>
      </c>
      <c r="B1" s="30" t="s">
        <v>97</v>
      </c>
      <c r="C1" s="30" t="s">
        <v>159</v>
      </c>
      <c r="D1" s="30" t="s">
        <v>98</v>
      </c>
      <c r="E1" s="30" t="s">
        <v>61</v>
      </c>
      <c r="F1" s="154" t="s">
        <v>62</v>
      </c>
      <c r="G1" s="154" t="s">
        <v>63</v>
      </c>
      <c r="H1" s="30" t="s">
        <v>99</v>
      </c>
    </row>
    <row r="2" spans="1:8" x14ac:dyDescent="0.2">
      <c r="A2" s="105" t="s">
        <v>107</v>
      </c>
      <c r="B2" s="105" t="s">
        <v>107</v>
      </c>
      <c r="C2" s="105" t="s">
        <v>107</v>
      </c>
      <c r="D2" s="105" t="s">
        <v>107</v>
      </c>
      <c r="E2" s="105" t="s">
        <v>107</v>
      </c>
      <c r="F2" s="239" t="s">
        <v>107</v>
      </c>
      <c r="G2" s="239" t="s">
        <v>107</v>
      </c>
      <c r="H2" s="105" t="s">
        <v>107</v>
      </c>
    </row>
    <row r="3" spans="1:8" x14ac:dyDescent="0.2">
      <c r="A3" s="176" t="s">
        <v>147</v>
      </c>
      <c r="B3" s="177" t="s">
        <v>133</v>
      </c>
      <c r="C3" s="240" t="s">
        <v>133</v>
      </c>
      <c r="D3" s="240" t="s">
        <v>133</v>
      </c>
      <c r="E3" s="240" t="s">
        <v>133</v>
      </c>
      <c r="F3" s="241" t="s">
        <v>133</v>
      </c>
      <c r="G3" s="241" t="s">
        <v>133</v>
      </c>
      <c r="H3" s="242" t="s">
        <v>133</v>
      </c>
    </row>
    <row r="4" spans="1:8" x14ac:dyDescent="0.2">
      <c r="A4" s="176" t="s">
        <v>148</v>
      </c>
      <c r="B4" s="177" t="s">
        <v>133</v>
      </c>
      <c r="C4" s="240" t="s">
        <v>133</v>
      </c>
      <c r="D4" s="240" t="s">
        <v>133</v>
      </c>
      <c r="E4" s="240" t="s">
        <v>133</v>
      </c>
      <c r="F4" s="241" t="s">
        <v>133</v>
      </c>
      <c r="G4" s="241" t="s">
        <v>133</v>
      </c>
      <c r="H4" s="242" t="s">
        <v>133</v>
      </c>
    </row>
    <row r="5" spans="1:8" x14ac:dyDescent="0.2">
      <c r="A5" s="176" t="s">
        <v>149</v>
      </c>
      <c r="B5" s="177" t="s">
        <v>161</v>
      </c>
      <c r="C5" s="240" t="s">
        <v>133</v>
      </c>
      <c r="D5" s="240" t="s">
        <v>133</v>
      </c>
      <c r="E5" s="240" t="s">
        <v>147</v>
      </c>
      <c r="F5" s="241" t="s">
        <v>133</v>
      </c>
      <c r="G5" s="241">
        <v>44726</v>
      </c>
      <c r="H5" s="242" t="s">
        <v>133</v>
      </c>
    </row>
    <row r="6" spans="1:8" ht="16" thickBot="1" x14ac:dyDescent="0.25">
      <c r="A6" s="176" t="s">
        <v>150</v>
      </c>
      <c r="B6" s="177" t="s">
        <v>133</v>
      </c>
      <c r="C6" s="240" t="s">
        <v>133</v>
      </c>
      <c r="D6" s="240" t="s">
        <v>133</v>
      </c>
      <c r="E6" s="240" t="s">
        <v>148</v>
      </c>
      <c r="F6" s="241" t="s">
        <v>133</v>
      </c>
      <c r="G6" s="241">
        <v>44726</v>
      </c>
      <c r="H6" s="242" t="s">
        <v>133</v>
      </c>
    </row>
    <row r="7" spans="1:8" ht="17" thickBot="1" x14ac:dyDescent="0.25">
      <c r="A7" s="236" t="s">
        <v>165</v>
      </c>
      <c r="B7" s="237" t="s">
        <v>166</v>
      </c>
      <c r="C7" s="243" t="s">
        <v>167</v>
      </c>
      <c r="D7" s="236" t="s">
        <v>168</v>
      </c>
      <c r="E7" s="244" t="s">
        <v>169</v>
      </c>
      <c r="F7" s="238">
        <v>45866</v>
      </c>
      <c r="G7" s="112">
        <v>45890</v>
      </c>
      <c r="H7" s="242" t="s">
        <v>133</v>
      </c>
    </row>
    <row r="8" spans="1:8" ht="17" thickBot="1" x14ac:dyDescent="0.25">
      <c r="A8" s="236" t="s">
        <v>170</v>
      </c>
      <c r="B8" s="237"/>
      <c r="C8" s="243" t="s">
        <v>167</v>
      </c>
      <c r="D8" s="236" t="s">
        <v>168</v>
      </c>
      <c r="E8" s="245" t="s">
        <v>171</v>
      </c>
      <c r="F8" s="238">
        <v>45866</v>
      </c>
      <c r="G8" s="112">
        <v>45890</v>
      </c>
      <c r="H8" s="242" t="s">
        <v>133</v>
      </c>
    </row>
    <row r="9" spans="1:8" ht="17" thickBot="1" x14ac:dyDescent="0.25">
      <c r="A9" s="236" t="s">
        <v>172</v>
      </c>
      <c r="B9" s="237" t="s">
        <v>173</v>
      </c>
      <c r="C9" s="243" t="s">
        <v>167</v>
      </c>
      <c r="D9" s="236" t="s">
        <v>174</v>
      </c>
      <c r="E9" s="236" t="s">
        <v>175</v>
      </c>
      <c r="F9" s="238">
        <v>45866</v>
      </c>
      <c r="G9" s="112">
        <v>45890</v>
      </c>
      <c r="H9" s="242" t="s">
        <v>133</v>
      </c>
    </row>
    <row r="10" spans="1:8" ht="17" thickBot="1" x14ac:dyDescent="0.25">
      <c r="A10" s="236" t="s">
        <v>176</v>
      </c>
      <c r="B10" s="237"/>
      <c r="C10" s="243" t="s">
        <v>167</v>
      </c>
      <c r="D10" s="236" t="s">
        <v>174</v>
      </c>
      <c r="E10" s="236" t="s">
        <v>177</v>
      </c>
      <c r="F10" s="238">
        <v>45866</v>
      </c>
      <c r="G10" s="112">
        <v>45890</v>
      </c>
      <c r="H10" s="242" t="s">
        <v>133</v>
      </c>
    </row>
    <row r="11" spans="1:8" ht="17" thickBot="1" x14ac:dyDescent="0.25">
      <c r="A11" s="236" t="s">
        <v>178</v>
      </c>
      <c r="B11" s="237"/>
      <c r="C11" s="243" t="s">
        <v>167</v>
      </c>
      <c r="D11" s="236" t="s">
        <v>174</v>
      </c>
      <c r="E11" s="245" t="s">
        <v>179</v>
      </c>
      <c r="F11" s="238">
        <v>45866</v>
      </c>
      <c r="G11" s="112">
        <v>45890</v>
      </c>
      <c r="H11" s="242" t="s">
        <v>133</v>
      </c>
    </row>
    <row r="12" spans="1:8" ht="17" thickBot="1" x14ac:dyDescent="0.25">
      <c r="A12" s="236" t="s">
        <v>180</v>
      </c>
      <c r="B12" s="237"/>
      <c r="C12" s="243" t="s">
        <v>167</v>
      </c>
      <c r="D12" s="236" t="s">
        <v>174</v>
      </c>
      <c r="E12" s="245" t="s">
        <v>181</v>
      </c>
      <c r="F12" s="238">
        <v>45866</v>
      </c>
      <c r="G12" s="112">
        <v>45890</v>
      </c>
      <c r="H12" s="242" t="s">
        <v>133</v>
      </c>
    </row>
    <row r="13" spans="1:8" ht="16" thickBot="1" x14ac:dyDescent="0.25">
      <c r="A13" s="236" t="s">
        <v>182</v>
      </c>
      <c r="B13" s="237" t="s">
        <v>183</v>
      </c>
      <c r="C13" s="246"/>
      <c r="D13" s="236" t="s">
        <v>184</v>
      </c>
      <c r="E13" s="236" t="s">
        <v>191</v>
      </c>
      <c r="F13" s="238">
        <v>45866</v>
      </c>
      <c r="G13" s="112">
        <v>45890</v>
      </c>
      <c r="H13" s="242" t="s">
        <v>133</v>
      </c>
    </row>
    <row r="14" spans="1:8" ht="16" thickBot="1" x14ac:dyDescent="0.25">
      <c r="A14" s="236" t="s">
        <v>185</v>
      </c>
      <c r="B14" s="237"/>
      <c r="C14" s="246"/>
      <c r="D14" s="236" t="s">
        <v>186</v>
      </c>
      <c r="E14" s="236" t="s">
        <v>194</v>
      </c>
      <c r="F14" s="238">
        <v>45866</v>
      </c>
      <c r="G14" s="112">
        <v>45890</v>
      </c>
      <c r="H14" s="242" t="s">
        <v>133</v>
      </c>
    </row>
    <row r="15" spans="1:8" ht="16" thickBot="1" x14ac:dyDescent="0.25">
      <c r="A15" s="236" t="s">
        <v>187</v>
      </c>
      <c r="B15" s="237"/>
      <c r="C15" s="246"/>
      <c r="D15" s="236" t="s">
        <v>188</v>
      </c>
      <c r="E15" s="236" t="s">
        <v>192</v>
      </c>
      <c r="F15" s="238">
        <v>45866</v>
      </c>
      <c r="G15" s="112">
        <v>45890</v>
      </c>
      <c r="H15" s="242" t="s">
        <v>133</v>
      </c>
    </row>
    <row r="16" spans="1:8" ht="16" thickBot="1" x14ac:dyDescent="0.25">
      <c r="A16" s="236" t="s">
        <v>189</v>
      </c>
      <c r="B16" s="237"/>
      <c r="C16" s="246"/>
      <c r="D16" s="236" t="s">
        <v>188</v>
      </c>
      <c r="E16" s="236" t="s">
        <v>193</v>
      </c>
      <c r="F16" s="238">
        <v>45866</v>
      </c>
      <c r="G16" s="112">
        <v>45890</v>
      </c>
      <c r="H16" s="242" t="s">
        <v>133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spans="1:8" x14ac:dyDescent="0.2">
      <c r="A993"/>
      <c r="F993"/>
      <c r="G993"/>
    </row>
    <row r="994" spans="1:8" x14ac:dyDescent="0.2">
      <c r="A994"/>
      <c r="F994"/>
      <c r="G994"/>
    </row>
    <row r="995" spans="1:8" x14ac:dyDescent="0.2">
      <c r="A995"/>
      <c r="F995"/>
      <c r="G995"/>
    </row>
    <row r="996" spans="1:8" x14ac:dyDescent="0.2">
      <c r="A996"/>
      <c r="F996"/>
      <c r="G996"/>
    </row>
    <row r="997" spans="1:8" x14ac:dyDescent="0.2">
      <c r="A997"/>
      <c r="C997" s="6"/>
      <c r="D997" s="6"/>
      <c r="E997" s="6"/>
      <c r="F997" s="113"/>
      <c r="G997" s="113"/>
      <c r="H997" s="6"/>
    </row>
    <row r="998" spans="1:8" x14ac:dyDescent="0.2">
      <c r="A998"/>
      <c r="C998" s="6"/>
      <c r="D998" s="6"/>
      <c r="E998" s="6"/>
      <c r="F998" s="113"/>
      <c r="G998" s="113"/>
      <c r="H998" s="6"/>
    </row>
    <row r="999" spans="1:8" x14ac:dyDescent="0.2">
      <c r="A999" s="28"/>
      <c r="B999" s="6"/>
      <c r="C999" s="6"/>
      <c r="D999" s="6"/>
      <c r="E999" s="6"/>
      <c r="F999" s="113"/>
      <c r="G999" s="113"/>
      <c r="H999" s="6"/>
    </row>
    <row r="1000" spans="1:8" x14ac:dyDescent="0.2">
      <c r="A1000" s="28"/>
      <c r="B1000" s="6"/>
      <c r="C1000" s="6"/>
      <c r="D1000" s="6"/>
      <c r="E1000" s="6"/>
      <c r="F1000" s="113"/>
      <c r="G1000" s="113"/>
      <c r="H1000" s="6"/>
    </row>
    <row r="1001" spans="1:8" x14ac:dyDescent="0.2">
      <c r="A1001" s="28"/>
      <c r="B1001" s="6"/>
      <c r="C1001" s="6"/>
      <c r="D1001" s="6"/>
      <c r="E1001" s="6"/>
      <c r="F1001" s="113"/>
      <c r="G1001" s="113"/>
      <c r="H1001" s="6"/>
    </row>
    <row r="1002" spans="1:8" x14ac:dyDescent="0.2">
      <c r="A1002" s="28"/>
      <c r="B1002" s="6"/>
    </row>
    <row r="1003" spans="1:8" x14ac:dyDescent="0.2">
      <c r="A1003" s="28"/>
      <c r="B1003" s="6"/>
    </row>
  </sheetData>
  <hyperlinks>
    <hyperlink ref="C7" r:id="rId1" display="mailto:eliasnborges@gmail.com" xr:uid="{CB1342F1-19FF-44D9-97D6-A8EEA2DDC23D}"/>
    <hyperlink ref="C8" r:id="rId2" display="mailto:eliasnborges@gmail.com" xr:uid="{37E6A6BC-B664-4276-A729-EF6B8A6F76FF}"/>
    <hyperlink ref="C9" r:id="rId3" display="mailto:eliasnborges@gmail.com" xr:uid="{46795E81-4670-42C2-8A38-1FFC2C037DC4}"/>
    <hyperlink ref="C10" r:id="rId4" display="mailto:eliasnborges@gmail.com" xr:uid="{50698B5E-9D08-4A42-A202-363061294591}"/>
    <hyperlink ref="C11" r:id="rId5" display="mailto:eliasnborges@gmail.com" xr:uid="{094E272B-9933-44D1-B959-E14D6441EF3E}"/>
    <hyperlink ref="C12" r:id="rId6" display="mailto:eliasnborges@gmail.com" xr:uid="{57C9B66B-6F90-4086-A636-557688AEC29B}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7"/>
  <sheetViews>
    <sheetView workbookViewId="0">
      <selection activeCell="C5" sqref="C5"/>
    </sheetView>
  </sheetViews>
  <sheetFormatPr baseColWidth="10" defaultColWidth="9.1640625" defaultRowHeight="15" x14ac:dyDescent="0.2"/>
  <cols>
    <col min="1" max="1" width="9.1640625" style="155"/>
    <col min="2" max="2" width="26.83203125" style="28" customWidth="1"/>
    <col min="3" max="3" width="19.33203125" style="28" customWidth="1"/>
    <col min="4" max="4" width="8.83203125" customWidth="1"/>
    <col min="5" max="16384" width="9.1640625" style="27"/>
  </cols>
  <sheetData>
    <row r="1" spans="1:3" ht="16" x14ac:dyDescent="0.2">
      <c r="A1" s="30" t="s">
        <v>128</v>
      </c>
      <c r="B1" s="29" t="s">
        <v>60</v>
      </c>
      <c r="C1" s="29" t="s">
        <v>5</v>
      </c>
    </row>
    <row r="2" spans="1:3" x14ac:dyDescent="0.2">
      <c r="A2" s="155" t="s">
        <v>107</v>
      </c>
      <c r="B2" s="28" t="str">
        <f>Cadastro!A2</f>
        <v>*</v>
      </c>
      <c r="C2" s="28" t="s">
        <v>107</v>
      </c>
    </row>
    <row r="3" spans="1:3" x14ac:dyDescent="0.2">
      <c r="A3" s="180">
        <v>1</v>
      </c>
      <c r="B3" s="181" t="str">
        <f>Cadastro!A3</f>
        <v>Padrão A</v>
      </c>
      <c r="C3" s="181">
        <v>4.7699999999999996</v>
      </c>
    </row>
    <row r="4" spans="1:3" x14ac:dyDescent="0.2">
      <c r="A4" s="180">
        <v>2</v>
      </c>
      <c r="B4" s="181" t="str">
        <f>Cadastro!A4</f>
        <v>Padrão B</v>
      </c>
      <c r="C4" s="181">
        <v>6.76</v>
      </c>
    </row>
    <row r="5" spans="1:3" x14ac:dyDescent="0.2">
      <c r="A5" s="155">
        <v>3</v>
      </c>
      <c r="B5" s="153" t="str">
        <f>Cadastro!A5</f>
        <v>P. Labas A</v>
      </c>
      <c r="C5" s="153">
        <v>4.8073333333333332</v>
      </c>
    </row>
    <row r="6" spans="1:3" x14ac:dyDescent="0.2">
      <c r="A6" s="155">
        <v>4</v>
      </c>
      <c r="B6" s="153" t="str">
        <f>Cadastro!A6</f>
        <v>P. Labas B</v>
      </c>
      <c r="C6" s="153">
        <v>6.7079069767441855</v>
      </c>
    </row>
    <row r="7" spans="1:3" x14ac:dyDescent="0.2">
      <c r="A7" s="155">
        <v>5</v>
      </c>
      <c r="B7" s="205" t="str">
        <f>Cadastro!A7</f>
        <v>2025/13</v>
      </c>
      <c r="C7" s="153">
        <v>5.8135193798449611</v>
      </c>
    </row>
    <row r="8" spans="1:3" x14ac:dyDescent="0.2">
      <c r="A8" s="155">
        <v>6</v>
      </c>
      <c r="B8" s="205" t="str">
        <f>Cadastro!A8</f>
        <v>2025/14</v>
      </c>
      <c r="C8" s="153">
        <v>6.1302816537467697</v>
      </c>
    </row>
    <row r="9" spans="1:3" x14ac:dyDescent="0.2">
      <c r="A9" s="155">
        <v>7</v>
      </c>
      <c r="B9" s="205" t="str">
        <f>Cadastro!A9</f>
        <v>2025/15</v>
      </c>
      <c r="C9" s="153">
        <v>6.1209651162790699</v>
      </c>
    </row>
    <row r="10" spans="1:3" customFormat="1" x14ac:dyDescent="0.2">
      <c r="A10" s="155">
        <v>8</v>
      </c>
      <c r="B10" s="205" t="str">
        <f>Cadastro!A10</f>
        <v>2025/16</v>
      </c>
      <c r="C10" s="153">
        <v>6.2420801033591724</v>
      </c>
    </row>
    <row r="11" spans="1:3" customFormat="1" x14ac:dyDescent="0.2">
      <c r="A11" s="155">
        <v>9</v>
      </c>
      <c r="B11" s="205" t="str">
        <f>Cadastro!A11</f>
        <v>2025/17</v>
      </c>
      <c r="C11" s="153">
        <v>6.9780865633074933</v>
      </c>
    </row>
    <row r="12" spans="1:3" customFormat="1" x14ac:dyDescent="0.2">
      <c r="A12" s="155">
        <v>10</v>
      </c>
      <c r="B12" s="205" t="str">
        <f>Cadastro!A12</f>
        <v>2025/18</v>
      </c>
      <c r="C12" s="153">
        <v>6.1302816537467697</v>
      </c>
    </row>
    <row r="13" spans="1:3" customFormat="1" x14ac:dyDescent="0.2">
      <c r="A13" s="155">
        <v>11</v>
      </c>
      <c r="B13" s="205" t="str">
        <f>Cadastro!A13</f>
        <v>2025/19</v>
      </c>
      <c r="C13" s="153">
        <v>6.7731227390180866</v>
      </c>
    </row>
    <row r="14" spans="1:3" customFormat="1" x14ac:dyDescent="0.2">
      <c r="A14" s="155">
        <v>12</v>
      </c>
      <c r="B14" s="205" t="str">
        <f>Cadastro!A14</f>
        <v>2025/20</v>
      </c>
      <c r="C14" s="153">
        <v>6.1023320413436686</v>
      </c>
    </row>
    <row r="15" spans="1:3" customFormat="1" x14ac:dyDescent="0.2">
      <c r="A15" s="155">
        <v>13</v>
      </c>
      <c r="B15" s="205" t="str">
        <f>Cadastro!A15</f>
        <v>2025/21</v>
      </c>
      <c r="C15" s="153">
        <v>6.689273901808785</v>
      </c>
    </row>
    <row r="16" spans="1:3" customFormat="1" x14ac:dyDescent="0.2">
      <c r="A16" s="155">
        <v>14</v>
      </c>
      <c r="B16" s="205" t="str">
        <f>Cadastro!A16</f>
        <v>2025/22</v>
      </c>
      <c r="C16" s="153">
        <v>6.7265400516795859</v>
      </c>
    </row>
    <row r="17" spans="1:3" customFormat="1" x14ac:dyDescent="0.2"/>
    <row r="18" spans="1:3" x14ac:dyDescent="0.2">
      <c r="A18"/>
      <c r="B18"/>
      <c r="C18"/>
    </row>
    <row r="19" spans="1:3" x14ac:dyDescent="0.2">
      <c r="A19"/>
      <c r="B19"/>
      <c r="C19"/>
    </row>
    <row r="20" spans="1:3" x14ac:dyDescent="0.2">
      <c r="A20"/>
      <c r="B20"/>
      <c r="C20"/>
    </row>
    <row r="21" spans="1:3" x14ac:dyDescent="0.2">
      <c r="A21"/>
      <c r="B21"/>
      <c r="C21"/>
    </row>
    <row r="22" spans="1:3" x14ac:dyDescent="0.2">
      <c r="A22"/>
      <c r="B22"/>
      <c r="C22"/>
    </row>
    <row r="23" spans="1:3" x14ac:dyDescent="0.2">
      <c r="A23"/>
      <c r="B23"/>
      <c r="C23"/>
    </row>
    <row r="24" spans="1:3" x14ac:dyDescent="0.2">
      <c r="A24"/>
      <c r="B24"/>
      <c r="C24"/>
    </row>
    <row r="25" spans="1:3" x14ac:dyDescent="0.2">
      <c r="A25"/>
      <c r="B25"/>
      <c r="C25"/>
    </row>
    <row r="26" spans="1:3" x14ac:dyDescent="0.2">
      <c r="A26"/>
      <c r="B26"/>
      <c r="C26"/>
    </row>
    <row r="27" spans="1:3" x14ac:dyDescent="0.2">
      <c r="A27"/>
      <c r="B27"/>
      <c r="C27"/>
    </row>
    <row r="28" spans="1:3" x14ac:dyDescent="0.2">
      <c r="A28"/>
      <c r="B28"/>
      <c r="C28"/>
    </row>
    <row r="29" spans="1:3" x14ac:dyDescent="0.2">
      <c r="A29"/>
      <c r="B29"/>
      <c r="C29"/>
    </row>
    <row r="30" spans="1:3" x14ac:dyDescent="0.2">
      <c r="A30"/>
      <c r="B30"/>
      <c r="C30"/>
    </row>
    <row r="31" spans="1:3" x14ac:dyDescent="0.2">
      <c r="A31"/>
      <c r="B31"/>
      <c r="C31"/>
    </row>
    <row r="32" spans="1:3" x14ac:dyDescent="0.2">
      <c r="A32"/>
      <c r="B32"/>
      <c r="C32"/>
    </row>
    <row r="33" spans="1:3" x14ac:dyDescent="0.2">
      <c r="A33"/>
      <c r="B33"/>
      <c r="C33"/>
    </row>
    <row r="34" spans="1:3" x14ac:dyDescent="0.2">
      <c r="A34"/>
      <c r="B34"/>
      <c r="C34"/>
    </row>
    <row r="35" spans="1:3" x14ac:dyDescent="0.2">
      <c r="A35"/>
      <c r="B35"/>
      <c r="C35"/>
    </row>
    <row r="36" spans="1:3" x14ac:dyDescent="0.2">
      <c r="A36"/>
      <c r="B36"/>
      <c r="C36"/>
    </row>
    <row r="37" spans="1:3" x14ac:dyDescent="0.2">
      <c r="A37"/>
      <c r="B37"/>
      <c r="C37"/>
    </row>
    <row r="38" spans="1:3" x14ac:dyDescent="0.2">
      <c r="A38"/>
      <c r="B38"/>
      <c r="C38"/>
    </row>
    <row r="39" spans="1:3" x14ac:dyDescent="0.2">
      <c r="A39"/>
      <c r="B39"/>
      <c r="C39"/>
    </row>
    <row r="40" spans="1:3" x14ac:dyDescent="0.2">
      <c r="A40"/>
      <c r="B40"/>
      <c r="C40"/>
    </row>
    <row r="41" spans="1:3" x14ac:dyDescent="0.2">
      <c r="A41"/>
      <c r="B41"/>
      <c r="C41"/>
    </row>
    <row r="42" spans="1:3" x14ac:dyDescent="0.2">
      <c r="A42"/>
      <c r="B42"/>
      <c r="C42"/>
    </row>
    <row r="43" spans="1:3" x14ac:dyDescent="0.2">
      <c r="A43"/>
      <c r="B43"/>
      <c r="C43"/>
    </row>
    <row r="44" spans="1:3" x14ac:dyDescent="0.2">
      <c r="A44"/>
      <c r="B44"/>
      <c r="C44"/>
    </row>
    <row r="45" spans="1:3" x14ac:dyDescent="0.2">
      <c r="A45"/>
      <c r="B45"/>
      <c r="C45"/>
    </row>
    <row r="46" spans="1:3" x14ac:dyDescent="0.2">
      <c r="A46"/>
      <c r="B46"/>
      <c r="C46"/>
    </row>
    <row r="47" spans="1:3" x14ac:dyDescent="0.2">
      <c r="A47"/>
      <c r="B47"/>
      <c r="C47"/>
    </row>
    <row r="48" spans="1:3" x14ac:dyDescent="0.2">
      <c r="A48"/>
      <c r="B48"/>
      <c r="C48"/>
    </row>
    <row r="49" spans="1:3" x14ac:dyDescent="0.2">
      <c r="A49"/>
      <c r="B49"/>
      <c r="C49"/>
    </row>
    <row r="50" spans="1:3" x14ac:dyDescent="0.2">
      <c r="A50"/>
      <c r="B50"/>
      <c r="C50"/>
    </row>
    <row r="51" spans="1:3" x14ac:dyDescent="0.2">
      <c r="A51"/>
      <c r="B51"/>
      <c r="C51"/>
    </row>
    <row r="52" spans="1:3" x14ac:dyDescent="0.2">
      <c r="A52"/>
      <c r="B52"/>
      <c r="C52"/>
    </row>
    <row r="53" spans="1:3" x14ac:dyDescent="0.2">
      <c r="A53"/>
      <c r="B53"/>
      <c r="C53"/>
    </row>
    <row r="54" spans="1:3" x14ac:dyDescent="0.2">
      <c r="A54"/>
      <c r="B54"/>
      <c r="C54"/>
    </row>
    <row r="55" spans="1:3" x14ac:dyDescent="0.2">
      <c r="A55"/>
      <c r="B55"/>
      <c r="C55"/>
    </row>
    <row r="56" spans="1:3" x14ac:dyDescent="0.2">
      <c r="A56"/>
      <c r="B56"/>
      <c r="C56"/>
    </row>
    <row r="57" spans="1:3" x14ac:dyDescent="0.2">
      <c r="A57"/>
      <c r="B57"/>
      <c r="C57"/>
    </row>
    <row r="58" spans="1:3" x14ac:dyDescent="0.2">
      <c r="A58"/>
      <c r="B58"/>
      <c r="C58"/>
    </row>
    <row r="59" spans="1:3" x14ac:dyDescent="0.2">
      <c r="A59"/>
      <c r="B59"/>
      <c r="C59"/>
    </row>
    <row r="60" spans="1:3" x14ac:dyDescent="0.2">
      <c r="A60"/>
      <c r="B60"/>
      <c r="C60"/>
    </row>
    <row r="61" spans="1:3" x14ac:dyDescent="0.2">
      <c r="A61"/>
      <c r="B61"/>
      <c r="C61"/>
    </row>
    <row r="62" spans="1:3" x14ac:dyDescent="0.2">
      <c r="A62"/>
      <c r="B62"/>
      <c r="C62"/>
    </row>
    <row r="63" spans="1:3" x14ac:dyDescent="0.2">
      <c r="A63"/>
      <c r="B63"/>
      <c r="C63"/>
    </row>
    <row r="64" spans="1:3" x14ac:dyDescent="0.2">
      <c r="A64"/>
      <c r="B64"/>
      <c r="C64"/>
    </row>
    <row r="65" spans="1:3" x14ac:dyDescent="0.2">
      <c r="A65"/>
      <c r="B65"/>
      <c r="C65"/>
    </row>
    <row r="66" spans="1:3" x14ac:dyDescent="0.2">
      <c r="A66"/>
      <c r="B66"/>
      <c r="C66"/>
    </row>
    <row r="67" spans="1:3" x14ac:dyDescent="0.2">
      <c r="A67"/>
      <c r="B67"/>
      <c r="C67"/>
    </row>
    <row r="68" spans="1:3" x14ac:dyDescent="0.2">
      <c r="A68"/>
      <c r="B68"/>
      <c r="C68"/>
    </row>
    <row r="69" spans="1:3" x14ac:dyDescent="0.2">
      <c r="A69"/>
      <c r="B69"/>
      <c r="C69"/>
    </row>
    <row r="70" spans="1:3" x14ac:dyDescent="0.2">
      <c r="A70"/>
      <c r="B70"/>
      <c r="C70"/>
    </row>
    <row r="71" spans="1:3" x14ac:dyDescent="0.2">
      <c r="A71"/>
      <c r="B71"/>
      <c r="C71"/>
    </row>
    <row r="72" spans="1:3" x14ac:dyDescent="0.2">
      <c r="A72"/>
      <c r="B72"/>
      <c r="C72"/>
    </row>
    <row r="73" spans="1:3" x14ac:dyDescent="0.2">
      <c r="A73"/>
      <c r="B73"/>
      <c r="C73"/>
    </row>
    <row r="74" spans="1:3" x14ac:dyDescent="0.2">
      <c r="A74"/>
      <c r="B74"/>
      <c r="C74"/>
    </row>
    <row r="75" spans="1:3" x14ac:dyDescent="0.2">
      <c r="A75"/>
      <c r="B75"/>
      <c r="C75"/>
    </row>
    <row r="76" spans="1:3" x14ac:dyDescent="0.2">
      <c r="A76"/>
      <c r="B76"/>
      <c r="C76"/>
    </row>
    <row r="77" spans="1:3" x14ac:dyDescent="0.2">
      <c r="A77"/>
      <c r="B77"/>
      <c r="C77"/>
    </row>
    <row r="78" spans="1:3" x14ac:dyDescent="0.2">
      <c r="A78"/>
      <c r="B78"/>
      <c r="C78"/>
    </row>
    <row r="79" spans="1:3" x14ac:dyDescent="0.2">
      <c r="A79"/>
      <c r="B79"/>
      <c r="C79"/>
    </row>
    <row r="80" spans="1:3" x14ac:dyDescent="0.2">
      <c r="A80"/>
      <c r="B80"/>
      <c r="C80"/>
    </row>
    <row r="81" spans="1:3" x14ac:dyDescent="0.2">
      <c r="A81"/>
      <c r="B81"/>
      <c r="C81"/>
    </row>
    <row r="82" spans="1:3" x14ac:dyDescent="0.2">
      <c r="A82"/>
      <c r="B82"/>
      <c r="C82"/>
    </row>
    <row r="83" spans="1:3" x14ac:dyDescent="0.2">
      <c r="A83"/>
      <c r="B83"/>
      <c r="C83"/>
    </row>
    <row r="84" spans="1:3" x14ac:dyDescent="0.2">
      <c r="A84"/>
      <c r="B84"/>
      <c r="C84"/>
    </row>
    <row r="85" spans="1:3" x14ac:dyDescent="0.2">
      <c r="A85"/>
      <c r="B85"/>
      <c r="C85"/>
    </row>
    <row r="86" spans="1:3" x14ac:dyDescent="0.2">
      <c r="A86"/>
      <c r="B86"/>
      <c r="C86"/>
    </row>
    <row r="87" spans="1:3" x14ac:dyDescent="0.2">
      <c r="A87"/>
      <c r="B87"/>
      <c r="C87"/>
    </row>
    <row r="88" spans="1:3" x14ac:dyDescent="0.2">
      <c r="A88"/>
      <c r="B88"/>
      <c r="C88"/>
    </row>
    <row r="89" spans="1:3" x14ac:dyDescent="0.2">
      <c r="A89"/>
      <c r="B89"/>
      <c r="C89"/>
    </row>
    <row r="90" spans="1:3" x14ac:dyDescent="0.2">
      <c r="A90"/>
      <c r="B90"/>
      <c r="C90"/>
    </row>
    <row r="91" spans="1:3" x14ac:dyDescent="0.2">
      <c r="A91"/>
      <c r="B91"/>
      <c r="C91"/>
    </row>
    <row r="92" spans="1:3" x14ac:dyDescent="0.2">
      <c r="A92"/>
      <c r="B92"/>
      <c r="C92"/>
    </row>
    <row r="93" spans="1:3" x14ac:dyDescent="0.2">
      <c r="A93"/>
      <c r="B93"/>
      <c r="C93"/>
    </row>
    <row r="94" spans="1:3" x14ac:dyDescent="0.2">
      <c r="A94"/>
      <c r="B94"/>
      <c r="C94"/>
    </row>
    <row r="95" spans="1:3" x14ac:dyDescent="0.2">
      <c r="A95"/>
      <c r="B95"/>
      <c r="C95"/>
    </row>
    <row r="96" spans="1:3" x14ac:dyDescent="0.2">
      <c r="A96"/>
      <c r="B96"/>
      <c r="C96"/>
    </row>
    <row r="97" spans="1:3" x14ac:dyDescent="0.2">
      <c r="A97"/>
      <c r="B97"/>
      <c r="C97"/>
    </row>
    <row r="98" spans="1:3" x14ac:dyDescent="0.2">
      <c r="A98"/>
      <c r="B98"/>
      <c r="C98"/>
    </row>
    <row r="99" spans="1:3" x14ac:dyDescent="0.2">
      <c r="A99"/>
      <c r="B99"/>
      <c r="C99"/>
    </row>
    <row r="100" spans="1:3" x14ac:dyDescent="0.2">
      <c r="A100"/>
      <c r="B100"/>
      <c r="C100"/>
    </row>
    <row r="101" spans="1:3" x14ac:dyDescent="0.2">
      <c r="A101"/>
      <c r="B101"/>
      <c r="C101"/>
    </row>
    <row r="102" spans="1:3" x14ac:dyDescent="0.2">
      <c r="A102"/>
      <c r="B102"/>
      <c r="C102"/>
    </row>
    <row r="103" spans="1:3" x14ac:dyDescent="0.2">
      <c r="A103"/>
      <c r="B103"/>
      <c r="C103"/>
    </row>
    <row r="104" spans="1:3" x14ac:dyDescent="0.2">
      <c r="A104"/>
      <c r="B104"/>
      <c r="C104"/>
    </row>
    <row r="105" spans="1:3" x14ac:dyDescent="0.2">
      <c r="A105"/>
      <c r="B105"/>
      <c r="C105"/>
    </row>
    <row r="106" spans="1:3" x14ac:dyDescent="0.2">
      <c r="A106"/>
      <c r="B106"/>
      <c r="C106"/>
    </row>
    <row r="107" spans="1:3" x14ac:dyDescent="0.2">
      <c r="A107"/>
      <c r="B107"/>
      <c r="C107"/>
    </row>
    <row r="108" spans="1:3" x14ac:dyDescent="0.2">
      <c r="A108"/>
      <c r="B108"/>
      <c r="C108"/>
    </row>
    <row r="109" spans="1:3" x14ac:dyDescent="0.2">
      <c r="A109"/>
      <c r="B109"/>
      <c r="C109"/>
    </row>
    <row r="110" spans="1:3" x14ac:dyDescent="0.2">
      <c r="A110"/>
      <c r="B110"/>
      <c r="C110"/>
    </row>
    <row r="111" spans="1:3" x14ac:dyDescent="0.2">
      <c r="A111"/>
      <c r="B111"/>
      <c r="C111"/>
    </row>
    <row r="112" spans="1:3" x14ac:dyDescent="0.2">
      <c r="A112"/>
      <c r="B112"/>
      <c r="C112"/>
    </row>
    <row r="113" spans="1:3" x14ac:dyDescent="0.2">
      <c r="A113"/>
      <c r="B113"/>
      <c r="C113"/>
    </row>
    <row r="114" spans="1:3" x14ac:dyDescent="0.2">
      <c r="A114"/>
      <c r="B114"/>
      <c r="C114"/>
    </row>
    <row r="115" spans="1:3" x14ac:dyDescent="0.2">
      <c r="A115"/>
      <c r="B115"/>
      <c r="C115"/>
    </row>
    <row r="116" spans="1:3" x14ac:dyDescent="0.2">
      <c r="A116"/>
      <c r="B116"/>
      <c r="C116"/>
    </row>
    <row r="117" spans="1:3" x14ac:dyDescent="0.2">
      <c r="A117"/>
      <c r="B117"/>
      <c r="C117"/>
    </row>
    <row r="118" spans="1:3" x14ac:dyDescent="0.2">
      <c r="A118"/>
      <c r="B118"/>
      <c r="C118"/>
    </row>
    <row r="119" spans="1:3" x14ac:dyDescent="0.2">
      <c r="A119"/>
      <c r="B119"/>
      <c r="C119"/>
    </row>
    <row r="120" spans="1:3" x14ac:dyDescent="0.2">
      <c r="A120"/>
      <c r="B120"/>
      <c r="C120"/>
    </row>
    <row r="121" spans="1:3" x14ac:dyDescent="0.2">
      <c r="A121"/>
      <c r="B121"/>
      <c r="C121"/>
    </row>
    <row r="122" spans="1:3" x14ac:dyDescent="0.2">
      <c r="A122"/>
      <c r="B122"/>
      <c r="C122"/>
    </row>
    <row r="123" spans="1:3" x14ac:dyDescent="0.2">
      <c r="A123"/>
      <c r="B123"/>
      <c r="C123"/>
    </row>
    <row r="124" spans="1:3" x14ac:dyDescent="0.2">
      <c r="A124"/>
      <c r="B124"/>
      <c r="C124"/>
    </row>
    <row r="125" spans="1:3" x14ac:dyDescent="0.2">
      <c r="A125"/>
      <c r="B125"/>
      <c r="C125"/>
    </row>
    <row r="126" spans="1:3" x14ac:dyDescent="0.2">
      <c r="A126"/>
      <c r="B126"/>
      <c r="C126"/>
    </row>
    <row r="127" spans="1:3" x14ac:dyDescent="0.2">
      <c r="A127"/>
      <c r="B127"/>
      <c r="C127"/>
    </row>
    <row r="128" spans="1:3" x14ac:dyDescent="0.2">
      <c r="A128"/>
      <c r="B128"/>
      <c r="C128"/>
    </row>
    <row r="129" spans="1:3" x14ac:dyDescent="0.2">
      <c r="A129"/>
      <c r="B129"/>
      <c r="C129"/>
    </row>
    <row r="130" spans="1:3" x14ac:dyDescent="0.2">
      <c r="A130"/>
      <c r="B130"/>
      <c r="C130"/>
    </row>
    <row r="131" spans="1:3" x14ac:dyDescent="0.2">
      <c r="A131"/>
      <c r="B131"/>
      <c r="C131"/>
    </row>
    <row r="132" spans="1:3" x14ac:dyDescent="0.2">
      <c r="A132"/>
      <c r="B132"/>
      <c r="C132"/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  <c r="B143"/>
      <c r="C143"/>
    </row>
    <row r="144" spans="1:3" x14ac:dyDescent="0.2">
      <c r="A144"/>
      <c r="B144"/>
      <c r="C144"/>
    </row>
    <row r="145" spans="1:3" x14ac:dyDescent="0.2">
      <c r="A145"/>
      <c r="B145"/>
      <c r="C145"/>
    </row>
    <row r="146" spans="1:3" x14ac:dyDescent="0.2">
      <c r="A146"/>
      <c r="B146"/>
      <c r="C146"/>
    </row>
    <row r="147" spans="1:3" x14ac:dyDescent="0.2">
      <c r="A147"/>
      <c r="B147"/>
      <c r="C147"/>
    </row>
    <row r="148" spans="1:3" x14ac:dyDescent="0.2">
      <c r="A148"/>
      <c r="B148"/>
      <c r="C148"/>
    </row>
    <row r="149" spans="1:3" x14ac:dyDescent="0.2">
      <c r="A149"/>
      <c r="B149"/>
      <c r="C149"/>
    </row>
    <row r="150" spans="1:3" x14ac:dyDescent="0.2">
      <c r="A150"/>
      <c r="B150"/>
      <c r="C150"/>
    </row>
    <row r="151" spans="1:3" x14ac:dyDescent="0.2">
      <c r="A151"/>
      <c r="B151"/>
      <c r="C151"/>
    </row>
    <row r="152" spans="1:3" x14ac:dyDescent="0.2">
      <c r="A152"/>
      <c r="B152"/>
      <c r="C152"/>
    </row>
    <row r="153" spans="1:3" x14ac:dyDescent="0.2">
      <c r="A153"/>
      <c r="B153"/>
      <c r="C153"/>
    </row>
    <row r="154" spans="1:3" x14ac:dyDescent="0.2">
      <c r="A154"/>
      <c r="B154"/>
      <c r="C154"/>
    </row>
    <row r="155" spans="1:3" x14ac:dyDescent="0.2">
      <c r="A155"/>
      <c r="B155"/>
      <c r="C155"/>
    </row>
    <row r="156" spans="1:3" x14ac:dyDescent="0.2">
      <c r="A156"/>
      <c r="B156"/>
      <c r="C156"/>
    </row>
    <row r="157" spans="1:3" x14ac:dyDescent="0.2">
      <c r="A157"/>
      <c r="B157"/>
      <c r="C157"/>
    </row>
    <row r="158" spans="1:3" x14ac:dyDescent="0.2">
      <c r="A158"/>
      <c r="B158"/>
      <c r="C158"/>
    </row>
    <row r="159" spans="1:3" x14ac:dyDescent="0.2">
      <c r="A159"/>
      <c r="B159"/>
      <c r="C159"/>
    </row>
    <row r="160" spans="1:3" x14ac:dyDescent="0.2">
      <c r="A160"/>
      <c r="B160"/>
      <c r="C160"/>
    </row>
    <row r="161" spans="1:3" x14ac:dyDescent="0.2">
      <c r="A161"/>
      <c r="B161"/>
      <c r="C161"/>
    </row>
    <row r="162" spans="1:3" x14ac:dyDescent="0.2">
      <c r="A162"/>
      <c r="B162"/>
      <c r="C162"/>
    </row>
    <row r="163" spans="1:3" x14ac:dyDescent="0.2">
      <c r="A163"/>
      <c r="B163"/>
      <c r="C163"/>
    </row>
    <row r="164" spans="1:3" x14ac:dyDescent="0.2">
      <c r="A164"/>
      <c r="B164"/>
      <c r="C164"/>
    </row>
    <row r="165" spans="1:3" x14ac:dyDescent="0.2">
      <c r="A165"/>
      <c r="B165"/>
      <c r="C165"/>
    </row>
    <row r="166" spans="1:3" x14ac:dyDescent="0.2">
      <c r="A166" s="155">
        <v>165</v>
      </c>
      <c r="B166" s="28">
        <f>Cadastro!A168</f>
        <v>0</v>
      </c>
      <c r="C166" s="28">
        <v>6.42</v>
      </c>
    </row>
    <row r="167" spans="1:3" x14ac:dyDescent="0.2">
      <c r="A167" s="155">
        <v>166</v>
      </c>
      <c r="B167" s="28">
        <f>Cadastro!A169</f>
        <v>0</v>
      </c>
      <c r="C167" s="28">
        <v>6.42</v>
      </c>
    </row>
    <row r="168" spans="1:3" x14ac:dyDescent="0.2">
      <c r="A168" s="155">
        <v>167</v>
      </c>
      <c r="B168" s="28">
        <f>Cadastro!A170</f>
        <v>0</v>
      </c>
      <c r="C168" s="28">
        <v>6.42</v>
      </c>
    </row>
    <row r="169" spans="1:3" x14ac:dyDescent="0.2">
      <c r="A169" s="155">
        <v>168</v>
      </c>
      <c r="B169" s="28">
        <f>Cadastro!A171</f>
        <v>0</v>
      </c>
      <c r="C169" s="28">
        <v>6.42</v>
      </c>
    </row>
    <row r="170" spans="1:3" x14ac:dyDescent="0.2">
      <c r="A170" s="155">
        <v>169</v>
      </c>
      <c r="B170" s="28">
        <f>Cadastro!A172</f>
        <v>0</v>
      </c>
      <c r="C170" s="28">
        <v>6.42</v>
      </c>
    </row>
    <row r="171" spans="1:3" x14ac:dyDescent="0.2">
      <c r="A171" s="155">
        <v>170</v>
      </c>
      <c r="B171" s="28">
        <f>Cadastro!A173</f>
        <v>0</v>
      </c>
      <c r="C171" s="28">
        <v>6.42</v>
      </c>
    </row>
    <row r="172" spans="1:3" x14ac:dyDescent="0.2">
      <c r="A172" s="155">
        <v>171</v>
      </c>
      <c r="B172" s="28">
        <f>Cadastro!A174</f>
        <v>0</v>
      </c>
      <c r="C172" s="28">
        <v>6.42</v>
      </c>
    </row>
    <row r="173" spans="1:3" x14ac:dyDescent="0.2">
      <c r="A173" s="155">
        <v>172</v>
      </c>
      <c r="B173" s="28">
        <f>Cadastro!A175</f>
        <v>0</v>
      </c>
      <c r="C173" s="28">
        <v>6.42</v>
      </c>
    </row>
    <row r="174" spans="1:3" x14ac:dyDescent="0.2">
      <c r="A174" s="155">
        <v>173</v>
      </c>
      <c r="B174" s="28">
        <f>Cadastro!A176</f>
        <v>0</v>
      </c>
      <c r="C174" s="28">
        <v>6.42</v>
      </c>
    </row>
    <row r="175" spans="1:3" x14ac:dyDescent="0.2">
      <c r="A175" s="155">
        <v>174</v>
      </c>
      <c r="B175" s="28">
        <f>Cadastro!A177</f>
        <v>0</v>
      </c>
      <c r="C175" s="28">
        <v>6.42</v>
      </c>
    </row>
    <row r="176" spans="1:3" x14ac:dyDescent="0.2">
      <c r="A176" s="155">
        <v>175</v>
      </c>
      <c r="B176" s="28">
        <f>Cadastro!A178</f>
        <v>0</v>
      </c>
      <c r="C176" s="28">
        <v>6.42</v>
      </c>
    </row>
    <row r="177" spans="1:3" x14ac:dyDescent="0.2">
      <c r="A177" s="155">
        <v>176</v>
      </c>
      <c r="B177" s="28">
        <f>Cadastro!A179</f>
        <v>0</v>
      </c>
      <c r="C177" s="28">
        <v>6.42</v>
      </c>
    </row>
    <row r="178" spans="1:3" x14ac:dyDescent="0.2">
      <c r="A178" s="155">
        <v>177</v>
      </c>
      <c r="B178" s="28">
        <f>Cadastro!A180</f>
        <v>0</v>
      </c>
      <c r="C178" s="28">
        <v>6.42</v>
      </c>
    </row>
    <row r="179" spans="1:3" x14ac:dyDescent="0.2">
      <c r="A179" s="155">
        <v>178</v>
      </c>
      <c r="B179" s="28">
        <f>Cadastro!A181</f>
        <v>0</v>
      </c>
      <c r="C179" s="28">
        <v>6.42</v>
      </c>
    </row>
    <row r="180" spans="1:3" x14ac:dyDescent="0.2">
      <c r="A180" s="155">
        <v>179</v>
      </c>
      <c r="B180" s="28">
        <f>Cadastro!A182</f>
        <v>0</v>
      </c>
      <c r="C180" s="28">
        <v>6.42</v>
      </c>
    </row>
    <row r="181" spans="1:3" x14ac:dyDescent="0.2">
      <c r="A181" s="155">
        <v>180</v>
      </c>
      <c r="B181" s="28">
        <f>Cadastro!A183</f>
        <v>0</v>
      </c>
      <c r="C181" s="28">
        <v>6.42</v>
      </c>
    </row>
    <row r="182" spans="1:3" x14ac:dyDescent="0.2">
      <c r="A182" s="155">
        <v>181</v>
      </c>
      <c r="B182" s="28">
        <f>Cadastro!A184</f>
        <v>0</v>
      </c>
      <c r="C182" s="28">
        <v>6.42</v>
      </c>
    </row>
    <row r="183" spans="1:3" x14ac:dyDescent="0.2">
      <c r="A183" s="155">
        <v>182</v>
      </c>
      <c r="B183" s="28">
        <f>Cadastro!A185</f>
        <v>0</v>
      </c>
      <c r="C183" s="28">
        <v>6.42</v>
      </c>
    </row>
    <row r="184" spans="1:3" x14ac:dyDescent="0.2">
      <c r="A184" s="155">
        <v>183</v>
      </c>
      <c r="B184" s="28">
        <f>Cadastro!A186</f>
        <v>0</v>
      </c>
      <c r="C184" s="28">
        <v>6.42</v>
      </c>
    </row>
    <row r="185" spans="1:3" x14ac:dyDescent="0.2">
      <c r="A185" s="155">
        <v>184</v>
      </c>
      <c r="B185" s="28">
        <f>Cadastro!A187</f>
        <v>0</v>
      </c>
      <c r="C185" s="28">
        <v>6.42</v>
      </c>
    </row>
    <row r="186" spans="1:3" x14ac:dyDescent="0.2">
      <c r="A186" s="155">
        <v>185</v>
      </c>
      <c r="B186" s="28">
        <f>Cadastro!A188</f>
        <v>0</v>
      </c>
      <c r="C186" s="28">
        <v>6.42</v>
      </c>
    </row>
    <row r="187" spans="1:3" x14ac:dyDescent="0.2">
      <c r="A187" s="155">
        <v>186</v>
      </c>
      <c r="B187" s="28">
        <f>Cadastro!A189</f>
        <v>0</v>
      </c>
      <c r="C187" s="28">
        <v>6.42</v>
      </c>
    </row>
    <row r="188" spans="1:3" x14ac:dyDescent="0.2">
      <c r="A188" s="155">
        <v>187</v>
      </c>
      <c r="B188" s="28">
        <f>Cadastro!A190</f>
        <v>0</v>
      </c>
      <c r="C188" s="28">
        <v>6.42</v>
      </c>
    </row>
    <row r="189" spans="1:3" x14ac:dyDescent="0.2">
      <c r="A189" s="155">
        <v>188</v>
      </c>
      <c r="B189" s="28">
        <f>Cadastro!A191</f>
        <v>0</v>
      </c>
      <c r="C189" s="28">
        <v>6.42</v>
      </c>
    </row>
    <row r="190" spans="1:3" x14ac:dyDescent="0.2">
      <c r="A190" s="155">
        <v>189</v>
      </c>
      <c r="B190" s="28">
        <f>Cadastro!A192</f>
        <v>0</v>
      </c>
      <c r="C190" s="28">
        <v>6.42</v>
      </c>
    </row>
    <row r="191" spans="1:3" x14ac:dyDescent="0.2">
      <c r="A191" s="155">
        <v>190</v>
      </c>
      <c r="B191" s="28">
        <f>Cadastro!A193</f>
        <v>0</v>
      </c>
      <c r="C191" s="28">
        <v>6.42</v>
      </c>
    </row>
    <row r="192" spans="1:3" x14ac:dyDescent="0.2">
      <c r="A192" s="155">
        <v>191</v>
      </c>
      <c r="B192" s="28">
        <f>Cadastro!A194</f>
        <v>0</v>
      </c>
      <c r="C192" s="28">
        <v>6.42</v>
      </c>
    </row>
    <row r="193" spans="1:3" x14ac:dyDescent="0.2">
      <c r="A193" s="155">
        <v>192</v>
      </c>
      <c r="B193" s="28">
        <f>Cadastro!A195</f>
        <v>0</v>
      </c>
      <c r="C193" s="28">
        <v>6.42</v>
      </c>
    </row>
    <row r="194" spans="1:3" x14ac:dyDescent="0.2">
      <c r="A194" s="155">
        <v>193</v>
      </c>
      <c r="B194" s="28">
        <f>Cadastro!A196</f>
        <v>0</v>
      </c>
      <c r="C194" s="28">
        <v>6.42</v>
      </c>
    </row>
    <row r="195" spans="1:3" x14ac:dyDescent="0.2">
      <c r="A195" s="155">
        <v>194</v>
      </c>
      <c r="B195" s="28">
        <f>Cadastro!A197</f>
        <v>0</v>
      </c>
      <c r="C195" s="28">
        <v>6.42</v>
      </c>
    </row>
    <row r="196" spans="1:3" x14ac:dyDescent="0.2">
      <c r="A196" s="155">
        <v>195</v>
      </c>
      <c r="B196" s="28">
        <f>Cadastro!A198</f>
        <v>0</v>
      </c>
      <c r="C196" s="28">
        <v>6.42</v>
      </c>
    </row>
    <row r="197" spans="1:3" x14ac:dyDescent="0.2">
      <c r="A197" s="155">
        <v>196</v>
      </c>
      <c r="B197" s="28">
        <f>Cadastro!A199</f>
        <v>0</v>
      </c>
      <c r="C197" s="28">
        <v>6.42</v>
      </c>
    </row>
    <row r="198" spans="1:3" x14ac:dyDescent="0.2">
      <c r="A198" s="155">
        <v>197</v>
      </c>
      <c r="B198" s="28">
        <f>Cadastro!A200</f>
        <v>0</v>
      </c>
      <c r="C198" s="28">
        <v>6.42</v>
      </c>
    </row>
    <row r="199" spans="1:3" x14ac:dyDescent="0.2">
      <c r="A199" s="155">
        <v>198</v>
      </c>
      <c r="B199" s="28">
        <f>Cadastro!A201</f>
        <v>0</v>
      </c>
      <c r="C199" s="28">
        <v>6.42</v>
      </c>
    </row>
    <row r="200" spans="1:3" x14ac:dyDescent="0.2">
      <c r="A200" s="155">
        <v>199</v>
      </c>
      <c r="B200" s="28">
        <f>Cadastro!A202</f>
        <v>0</v>
      </c>
      <c r="C200" s="28">
        <v>6.42</v>
      </c>
    </row>
    <row r="201" spans="1:3" x14ac:dyDescent="0.2">
      <c r="A201" s="155">
        <v>200</v>
      </c>
      <c r="B201" s="28">
        <f>Cadastro!A203</f>
        <v>0</v>
      </c>
      <c r="C201" s="28">
        <v>6.42</v>
      </c>
    </row>
    <row r="202" spans="1:3" x14ac:dyDescent="0.2">
      <c r="A202" s="155">
        <v>201</v>
      </c>
      <c r="B202" s="28">
        <f>Cadastro!A204</f>
        <v>0</v>
      </c>
      <c r="C202" s="28">
        <v>6.42</v>
      </c>
    </row>
    <row r="203" spans="1:3" x14ac:dyDescent="0.2">
      <c r="A203" s="155">
        <v>202</v>
      </c>
      <c r="B203" s="28">
        <f>Cadastro!A205</f>
        <v>0</v>
      </c>
      <c r="C203" s="28">
        <v>6.42</v>
      </c>
    </row>
    <row r="204" spans="1:3" x14ac:dyDescent="0.2">
      <c r="A204" s="155">
        <v>203</v>
      </c>
      <c r="B204" s="28">
        <f>Cadastro!A206</f>
        <v>0</v>
      </c>
      <c r="C204" s="28">
        <v>6.42</v>
      </c>
    </row>
    <row r="205" spans="1:3" x14ac:dyDescent="0.2">
      <c r="A205" s="155">
        <v>204</v>
      </c>
      <c r="B205" s="28">
        <f>Cadastro!A207</f>
        <v>0</v>
      </c>
      <c r="C205" s="28">
        <v>6.42</v>
      </c>
    </row>
    <row r="206" spans="1:3" x14ac:dyDescent="0.2">
      <c r="A206" s="155">
        <v>205</v>
      </c>
      <c r="B206" s="28">
        <f>Cadastro!A208</f>
        <v>0</v>
      </c>
      <c r="C206" s="28">
        <v>6.42</v>
      </c>
    </row>
    <row r="207" spans="1:3" x14ac:dyDescent="0.2">
      <c r="A207" s="155">
        <v>206</v>
      </c>
      <c r="B207" s="28">
        <f>Cadastro!A209</f>
        <v>0</v>
      </c>
      <c r="C207" s="28">
        <v>6.42</v>
      </c>
    </row>
    <row r="208" spans="1:3" x14ac:dyDescent="0.2">
      <c r="A208" s="155">
        <v>207</v>
      </c>
      <c r="B208" s="28">
        <f>Cadastro!A210</f>
        <v>0</v>
      </c>
      <c r="C208" s="28">
        <v>6.42</v>
      </c>
    </row>
    <row r="209" spans="1:3" x14ac:dyDescent="0.2">
      <c r="A209" s="155">
        <v>208</v>
      </c>
      <c r="B209" s="28">
        <f>Cadastro!A211</f>
        <v>0</v>
      </c>
      <c r="C209" s="28">
        <v>6.42</v>
      </c>
    </row>
    <row r="210" spans="1:3" x14ac:dyDescent="0.2">
      <c r="A210" s="155">
        <v>209</v>
      </c>
      <c r="B210" s="28">
        <f>Cadastro!A212</f>
        <v>0</v>
      </c>
      <c r="C210" s="28">
        <v>6.42</v>
      </c>
    </row>
    <row r="211" spans="1:3" x14ac:dyDescent="0.2">
      <c r="A211" s="155">
        <v>210</v>
      </c>
      <c r="B211" s="28">
        <f>Cadastro!A213</f>
        <v>0</v>
      </c>
      <c r="C211" s="28">
        <v>6.42</v>
      </c>
    </row>
    <row r="212" spans="1:3" x14ac:dyDescent="0.2">
      <c r="A212" s="155">
        <v>211</v>
      </c>
      <c r="B212" s="28">
        <f>Cadastro!A214</f>
        <v>0</v>
      </c>
      <c r="C212" s="28">
        <v>6.42</v>
      </c>
    </row>
    <row r="213" spans="1:3" x14ac:dyDescent="0.2">
      <c r="A213" s="155">
        <v>212</v>
      </c>
      <c r="B213" s="28">
        <f>Cadastro!A215</f>
        <v>0</v>
      </c>
      <c r="C213" s="28">
        <v>6.42</v>
      </c>
    </row>
    <row r="214" spans="1:3" x14ac:dyDescent="0.2">
      <c r="A214" s="155">
        <v>213</v>
      </c>
      <c r="B214" s="28">
        <f>Cadastro!A216</f>
        <v>0</v>
      </c>
      <c r="C214" s="28">
        <v>6.42</v>
      </c>
    </row>
    <row r="215" spans="1:3" x14ac:dyDescent="0.2">
      <c r="A215" s="155">
        <v>214</v>
      </c>
      <c r="B215" s="28">
        <f>Cadastro!A217</f>
        <v>0</v>
      </c>
      <c r="C215" s="28">
        <v>6.42</v>
      </c>
    </row>
    <row r="216" spans="1:3" x14ac:dyDescent="0.2">
      <c r="A216" s="155">
        <v>215</v>
      </c>
      <c r="B216" s="28">
        <f>Cadastro!A218</f>
        <v>0</v>
      </c>
      <c r="C216" s="28">
        <v>6.42</v>
      </c>
    </row>
    <row r="217" spans="1:3" x14ac:dyDescent="0.2">
      <c r="A217" s="155">
        <v>216</v>
      </c>
      <c r="B217" s="28">
        <f>Cadastro!A219</f>
        <v>0</v>
      </c>
      <c r="C217" s="28">
        <v>6.42</v>
      </c>
    </row>
    <row r="218" spans="1:3" x14ac:dyDescent="0.2">
      <c r="A218" s="155">
        <v>217</v>
      </c>
      <c r="B218" s="28">
        <f>Cadastro!A220</f>
        <v>0</v>
      </c>
      <c r="C218" s="28">
        <v>6.42</v>
      </c>
    </row>
    <row r="219" spans="1:3" x14ac:dyDescent="0.2">
      <c r="A219" s="155">
        <v>218</v>
      </c>
      <c r="B219" s="28">
        <f>Cadastro!A221</f>
        <v>0</v>
      </c>
      <c r="C219" s="28">
        <v>6.42</v>
      </c>
    </row>
    <row r="220" spans="1:3" x14ac:dyDescent="0.2">
      <c r="A220" s="155">
        <v>219</v>
      </c>
      <c r="B220" s="28">
        <f>Cadastro!A222</f>
        <v>0</v>
      </c>
      <c r="C220" s="28">
        <v>6.42</v>
      </c>
    </row>
    <row r="221" spans="1:3" x14ac:dyDescent="0.2">
      <c r="A221" s="155">
        <v>220</v>
      </c>
      <c r="B221" s="28">
        <f>Cadastro!A223</f>
        <v>0</v>
      </c>
      <c r="C221" s="28">
        <v>6.42</v>
      </c>
    </row>
    <row r="222" spans="1:3" x14ac:dyDescent="0.2">
      <c r="A222" s="155">
        <v>221</v>
      </c>
      <c r="B222" s="28">
        <f>Cadastro!A224</f>
        <v>0</v>
      </c>
      <c r="C222" s="28">
        <v>6.42</v>
      </c>
    </row>
    <row r="223" spans="1:3" x14ac:dyDescent="0.2">
      <c r="A223" s="155">
        <v>222</v>
      </c>
      <c r="B223" s="28">
        <f>Cadastro!A225</f>
        <v>0</v>
      </c>
      <c r="C223" s="28">
        <v>6.42</v>
      </c>
    </row>
    <row r="224" spans="1:3" x14ac:dyDescent="0.2">
      <c r="A224" s="155">
        <v>223</v>
      </c>
      <c r="B224" s="28">
        <f>Cadastro!A226</f>
        <v>0</v>
      </c>
      <c r="C224" s="28">
        <v>6.42</v>
      </c>
    </row>
    <row r="225" spans="1:3" x14ac:dyDescent="0.2">
      <c r="A225" s="155">
        <v>224</v>
      </c>
      <c r="B225" s="28">
        <f>Cadastro!A227</f>
        <v>0</v>
      </c>
      <c r="C225" s="28">
        <v>6.42</v>
      </c>
    </row>
    <row r="226" spans="1:3" x14ac:dyDescent="0.2">
      <c r="A226" s="155">
        <v>225</v>
      </c>
      <c r="B226" s="28">
        <f>Cadastro!A228</f>
        <v>0</v>
      </c>
      <c r="C226" s="28">
        <v>6.42</v>
      </c>
    </row>
    <row r="227" spans="1:3" x14ac:dyDescent="0.2">
      <c r="A227" s="155">
        <v>226</v>
      </c>
      <c r="B227" s="28">
        <f>Cadastro!A229</f>
        <v>0</v>
      </c>
      <c r="C227" s="28">
        <v>6.42</v>
      </c>
    </row>
    <row r="228" spans="1:3" x14ac:dyDescent="0.2">
      <c r="A228" s="155">
        <v>227</v>
      </c>
      <c r="B228" s="28">
        <f>Cadastro!A230</f>
        <v>0</v>
      </c>
      <c r="C228" s="28">
        <v>6.42</v>
      </c>
    </row>
    <row r="229" spans="1:3" x14ac:dyDescent="0.2">
      <c r="A229" s="155">
        <v>228</v>
      </c>
      <c r="B229" s="28">
        <f>Cadastro!A231</f>
        <v>0</v>
      </c>
      <c r="C229" s="28">
        <v>6.42</v>
      </c>
    </row>
    <row r="230" spans="1:3" x14ac:dyDescent="0.2">
      <c r="A230" s="155">
        <v>229</v>
      </c>
      <c r="B230" s="28">
        <f>Cadastro!A232</f>
        <v>0</v>
      </c>
      <c r="C230" s="28">
        <v>6.42</v>
      </c>
    </row>
    <row r="231" spans="1:3" x14ac:dyDescent="0.2">
      <c r="A231" s="155">
        <v>230</v>
      </c>
      <c r="B231" s="28">
        <f>Cadastro!A233</f>
        <v>0</v>
      </c>
      <c r="C231" s="28">
        <v>6.42</v>
      </c>
    </row>
    <row r="232" spans="1:3" x14ac:dyDescent="0.2">
      <c r="A232" s="155">
        <v>231</v>
      </c>
      <c r="B232" s="28">
        <f>Cadastro!A234</f>
        <v>0</v>
      </c>
      <c r="C232" s="28">
        <v>6.42</v>
      </c>
    </row>
    <row r="233" spans="1:3" x14ac:dyDescent="0.2">
      <c r="A233" s="155">
        <v>232</v>
      </c>
      <c r="B233" s="28">
        <f>Cadastro!A235</f>
        <v>0</v>
      </c>
      <c r="C233" s="28">
        <v>6.42</v>
      </c>
    </row>
    <row r="234" spans="1:3" x14ac:dyDescent="0.2">
      <c r="A234" s="155">
        <v>233</v>
      </c>
      <c r="B234" s="28">
        <f>Cadastro!A236</f>
        <v>0</v>
      </c>
      <c r="C234" s="28">
        <v>6.42</v>
      </c>
    </row>
    <row r="235" spans="1:3" x14ac:dyDescent="0.2">
      <c r="A235" s="155">
        <v>234</v>
      </c>
      <c r="B235" s="28">
        <f>Cadastro!A237</f>
        <v>0</v>
      </c>
      <c r="C235" s="28">
        <v>6.42</v>
      </c>
    </row>
    <row r="236" spans="1:3" x14ac:dyDescent="0.2">
      <c r="A236" s="155">
        <v>235</v>
      </c>
      <c r="B236" s="28">
        <f>Cadastro!A238</f>
        <v>0</v>
      </c>
      <c r="C236" s="28">
        <v>6.42</v>
      </c>
    </row>
    <row r="237" spans="1:3" x14ac:dyDescent="0.2">
      <c r="A237" s="155">
        <v>236</v>
      </c>
      <c r="B237" s="28">
        <f>Cadastro!A239</f>
        <v>0</v>
      </c>
      <c r="C237" s="28">
        <v>6.42</v>
      </c>
    </row>
    <row r="238" spans="1:3" x14ac:dyDescent="0.2">
      <c r="A238" s="155">
        <v>237</v>
      </c>
      <c r="B238" s="28">
        <f>Cadastro!A240</f>
        <v>0</v>
      </c>
      <c r="C238" s="28">
        <v>6.42</v>
      </c>
    </row>
    <row r="239" spans="1:3" x14ac:dyDescent="0.2">
      <c r="A239" s="155">
        <v>238</v>
      </c>
      <c r="B239" s="28">
        <f>Cadastro!A241</f>
        <v>0</v>
      </c>
      <c r="C239" s="28">
        <v>6.42</v>
      </c>
    </row>
    <row r="240" spans="1:3" x14ac:dyDescent="0.2">
      <c r="A240" s="155">
        <v>239</v>
      </c>
      <c r="B240" s="28">
        <f>Cadastro!A242</f>
        <v>0</v>
      </c>
      <c r="C240" s="28">
        <v>6.42</v>
      </c>
    </row>
    <row r="241" spans="1:3" x14ac:dyDescent="0.2">
      <c r="A241" s="155">
        <v>240</v>
      </c>
      <c r="B241" s="28">
        <f>Cadastro!A243</f>
        <v>0</v>
      </c>
      <c r="C241" s="28">
        <v>6.42</v>
      </c>
    </row>
    <row r="242" spans="1:3" x14ac:dyDescent="0.2">
      <c r="A242" s="155">
        <v>241</v>
      </c>
      <c r="B242" s="28">
        <f>Cadastro!A244</f>
        <v>0</v>
      </c>
      <c r="C242" s="28">
        <v>6.42</v>
      </c>
    </row>
    <row r="243" spans="1:3" x14ac:dyDescent="0.2">
      <c r="A243" s="155">
        <v>242</v>
      </c>
      <c r="B243" s="28">
        <f>Cadastro!A245</f>
        <v>0</v>
      </c>
      <c r="C243" s="28">
        <v>6.42</v>
      </c>
    </row>
    <row r="244" spans="1:3" x14ac:dyDescent="0.2">
      <c r="A244" s="155">
        <v>243</v>
      </c>
      <c r="B244" s="28">
        <f>Cadastro!A246</f>
        <v>0</v>
      </c>
      <c r="C244" s="28">
        <v>6.42</v>
      </c>
    </row>
    <row r="245" spans="1:3" x14ac:dyDescent="0.2">
      <c r="A245" s="155">
        <v>244</v>
      </c>
      <c r="B245" s="28">
        <f>Cadastro!A247</f>
        <v>0</v>
      </c>
      <c r="C245" s="28">
        <v>6.42</v>
      </c>
    </row>
    <row r="246" spans="1:3" x14ac:dyDescent="0.2">
      <c r="A246" s="155">
        <v>245</v>
      </c>
      <c r="B246" s="28">
        <f>Cadastro!A248</f>
        <v>0</v>
      </c>
      <c r="C246" s="28">
        <v>6.42</v>
      </c>
    </row>
    <row r="247" spans="1:3" x14ac:dyDescent="0.2">
      <c r="A247" s="155">
        <v>246</v>
      </c>
      <c r="B247" s="28">
        <f>Cadastro!A249</f>
        <v>0</v>
      </c>
      <c r="C247" s="28">
        <v>6.42</v>
      </c>
    </row>
    <row r="248" spans="1:3" x14ac:dyDescent="0.2">
      <c r="A248" s="155">
        <v>247</v>
      </c>
      <c r="B248" s="28">
        <f>Cadastro!A250</f>
        <v>0</v>
      </c>
      <c r="C248" s="28">
        <v>6.42</v>
      </c>
    </row>
    <row r="249" spans="1:3" x14ac:dyDescent="0.2">
      <c r="A249" s="155">
        <v>248</v>
      </c>
      <c r="B249" s="28">
        <f>Cadastro!A251</f>
        <v>0</v>
      </c>
      <c r="C249" s="28">
        <v>6.42</v>
      </c>
    </row>
    <row r="250" spans="1:3" x14ac:dyDescent="0.2">
      <c r="A250" s="155">
        <v>249</v>
      </c>
      <c r="B250" s="28">
        <f>Cadastro!A252</f>
        <v>0</v>
      </c>
      <c r="C250" s="28">
        <v>6.42</v>
      </c>
    </row>
    <row r="251" spans="1:3" x14ac:dyDescent="0.2">
      <c r="A251" s="155">
        <v>250</v>
      </c>
      <c r="B251" s="28">
        <f>Cadastro!A253</f>
        <v>0</v>
      </c>
      <c r="C251" s="28">
        <v>6.42</v>
      </c>
    </row>
    <row r="252" spans="1:3" x14ac:dyDescent="0.2">
      <c r="A252" s="155">
        <v>251</v>
      </c>
      <c r="B252" s="28">
        <f>Cadastro!A254</f>
        <v>0</v>
      </c>
      <c r="C252" s="28">
        <v>6.42</v>
      </c>
    </row>
    <row r="253" spans="1:3" x14ac:dyDescent="0.2">
      <c r="A253" s="155">
        <v>252</v>
      </c>
      <c r="B253" s="28">
        <f>Cadastro!A255</f>
        <v>0</v>
      </c>
      <c r="C253" s="28">
        <v>6.42</v>
      </c>
    </row>
    <row r="254" spans="1:3" x14ac:dyDescent="0.2">
      <c r="A254" s="155">
        <v>253</v>
      </c>
      <c r="B254" s="28">
        <f>Cadastro!A256</f>
        <v>0</v>
      </c>
      <c r="C254" s="28">
        <v>6.42</v>
      </c>
    </row>
    <row r="255" spans="1:3" x14ac:dyDescent="0.2">
      <c r="A255" s="155">
        <v>254</v>
      </c>
      <c r="B255" s="28">
        <f>Cadastro!A257</f>
        <v>0</v>
      </c>
      <c r="C255" s="28">
        <v>6.42</v>
      </c>
    </row>
    <row r="256" spans="1:3" x14ac:dyDescent="0.2">
      <c r="A256" s="155">
        <v>255</v>
      </c>
      <c r="B256" s="28">
        <f>Cadastro!A258</f>
        <v>0</v>
      </c>
      <c r="C256" s="28">
        <v>6.42</v>
      </c>
    </row>
    <row r="257" spans="1:3" x14ac:dyDescent="0.2">
      <c r="A257" s="155">
        <v>256</v>
      </c>
      <c r="B257" s="28">
        <f>Cadastro!A259</f>
        <v>0</v>
      </c>
      <c r="C257" s="28">
        <v>6.42</v>
      </c>
    </row>
    <row r="258" spans="1:3" x14ac:dyDescent="0.2">
      <c r="A258" s="155">
        <v>257</v>
      </c>
      <c r="B258" s="28">
        <f>Cadastro!A260</f>
        <v>0</v>
      </c>
      <c r="C258" s="28">
        <v>6.42</v>
      </c>
    </row>
    <row r="259" spans="1:3" x14ac:dyDescent="0.2">
      <c r="A259" s="155">
        <v>258</v>
      </c>
      <c r="B259" s="28">
        <f>Cadastro!A261</f>
        <v>0</v>
      </c>
      <c r="C259" s="28">
        <v>6.42</v>
      </c>
    </row>
    <row r="260" spans="1:3" x14ac:dyDescent="0.2">
      <c r="A260" s="155">
        <v>259</v>
      </c>
      <c r="B260" s="28">
        <f>Cadastro!A262</f>
        <v>0</v>
      </c>
      <c r="C260" s="28">
        <v>6.42</v>
      </c>
    </row>
    <row r="261" spans="1:3" x14ac:dyDescent="0.2">
      <c r="A261" s="155">
        <v>260</v>
      </c>
      <c r="B261" s="28">
        <f>Cadastro!A263</f>
        <v>0</v>
      </c>
      <c r="C261" s="28">
        <v>6.42</v>
      </c>
    </row>
    <row r="262" spans="1:3" x14ac:dyDescent="0.2">
      <c r="A262" s="155">
        <v>261</v>
      </c>
      <c r="B262" s="28">
        <f>Cadastro!A264</f>
        <v>0</v>
      </c>
      <c r="C262" s="28">
        <v>6.42</v>
      </c>
    </row>
    <row r="263" spans="1:3" x14ac:dyDescent="0.2">
      <c r="A263" s="155">
        <v>262</v>
      </c>
      <c r="B263" s="28">
        <f>Cadastro!A265</f>
        <v>0</v>
      </c>
      <c r="C263" s="28">
        <v>6.42</v>
      </c>
    </row>
    <row r="264" spans="1:3" x14ac:dyDescent="0.2">
      <c r="A264" s="155">
        <v>263</v>
      </c>
      <c r="B264" s="28">
        <f>Cadastro!A266</f>
        <v>0</v>
      </c>
      <c r="C264" s="28">
        <v>6.42</v>
      </c>
    </row>
    <row r="265" spans="1:3" x14ac:dyDescent="0.2">
      <c r="A265" s="155">
        <v>264</v>
      </c>
      <c r="B265" s="28">
        <f>Cadastro!A267</f>
        <v>0</v>
      </c>
      <c r="C265" s="28">
        <v>6.42</v>
      </c>
    </row>
    <row r="266" spans="1:3" x14ac:dyDescent="0.2">
      <c r="A266" s="155">
        <v>265</v>
      </c>
      <c r="B266" s="28">
        <f>Cadastro!A268</f>
        <v>0</v>
      </c>
      <c r="C266" s="28">
        <v>6.42</v>
      </c>
    </row>
    <row r="267" spans="1:3" x14ac:dyDescent="0.2">
      <c r="A267" s="155">
        <v>266</v>
      </c>
      <c r="B267" s="28">
        <f>Cadastro!A269</f>
        <v>0</v>
      </c>
      <c r="C267" s="28">
        <v>6.42</v>
      </c>
    </row>
    <row r="268" spans="1:3" x14ac:dyDescent="0.2">
      <c r="A268" s="155">
        <v>267</v>
      </c>
      <c r="B268" s="28">
        <f>Cadastro!A270</f>
        <v>0</v>
      </c>
      <c r="C268" s="28">
        <v>6.42</v>
      </c>
    </row>
    <row r="269" spans="1:3" x14ac:dyDescent="0.2">
      <c r="A269" s="155">
        <v>268</v>
      </c>
      <c r="B269" s="28">
        <f>Cadastro!A271</f>
        <v>0</v>
      </c>
      <c r="C269" s="28">
        <v>6.42</v>
      </c>
    </row>
    <row r="270" spans="1:3" x14ac:dyDescent="0.2">
      <c r="A270" s="155">
        <v>269</v>
      </c>
      <c r="B270" s="28">
        <f>Cadastro!A272</f>
        <v>0</v>
      </c>
      <c r="C270" s="28">
        <v>6.42</v>
      </c>
    </row>
    <row r="271" spans="1:3" x14ac:dyDescent="0.2">
      <c r="A271" s="155">
        <v>270</v>
      </c>
      <c r="B271" s="28">
        <f>Cadastro!A273</f>
        <v>0</v>
      </c>
      <c r="C271" s="28">
        <v>6.42</v>
      </c>
    </row>
    <row r="272" spans="1:3" x14ac:dyDescent="0.2">
      <c r="A272" s="155">
        <v>271</v>
      </c>
      <c r="B272" s="28">
        <f>Cadastro!A274</f>
        <v>0</v>
      </c>
      <c r="C272" s="28">
        <v>6.42</v>
      </c>
    </row>
    <row r="273" spans="1:3" x14ac:dyDescent="0.2">
      <c r="A273" s="155">
        <v>272</v>
      </c>
      <c r="B273" s="28">
        <f>Cadastro!A275</f>
        <v>0</v>
      </c>
      <c r="C273" s="28">
        <v>6.42</v>
      </c>
    </row>
    <row r="274" spans="1:3" x14ac:dyDescent="0.2">
      <c r="A274" s="155">
        <v>273</v>
      </c>
      <c r="B274" s="28">
        <f>Cadastro!A276</f>
        <v>0</v>
      </c>
      <c r="C274" s="28">
        <v>6.42</v>
      </c>
    </row>
    <row r="275" spans="1:3" x14ac:dyDescent="0.2">
      <c r="A275" s="155">
        <v>274</v>
      </c>
      <c r="B275" s="28">
        <f>Cadastro!A277</f>
        <v>0</v>
      </c>
      <c r="C275" s="28">
        <v>6.42</v>
      </c>
    </row>
    <row r="276" spans="1:3" x14ac:dyDescent="0.2">
      <c r="A276" s="155">
        <v>275</v>
      </c>
      <c r="B276" s="28">
        <f>Cadastro!A278</f>
        <v>0</v>
      </c>
      <c r="C276" s="28">
        <v>6.42</v>
      </c>
    </row>
    <row r="277" spans="1:3" x14ac:dyDescent="0.2">
      <c r="A277" s="155">
        <v>276</v>
      </c>
      <c r="B277" s="28">
        <f>Cadastro!A279</f>
        <v>0</v>
      </c>
      <c r="C277" s="28">
        <v>6.42</v>
      </c>
    </row>
    <row r="278" spans="1:3" x14ac:dyDescent="0.2">
      <c r="A278" s="155">
        <v>277</v>
      </c>
      <c r="B278" s="28">
        <f>Cadastro!A280</f>
        <v>0</v>
      </c>
      <c r="C278" s="28">
        <v>6.42</v>
      </c>
    </row>
    <row r="279" spans="1:3" x14ac:dyDescent="0.2">
      <c r="A279" s="155">
        <v>278</v>
      </c>
      <c r="B279" s="28">
        <f>Cadastro!A281</f>
        <v>0</v>
      </c>
      <c r="C279" s="28">
        <v>6.42</v>
      </c>
    </row>
    <row r="280" spans="1:3" x14ac:dyDescent="0.2">
      <c r="A280" s="155">
        <v>279</v>
      </c>
      <c r="B280" s="28">
        <f>Cadastro!A282</f>
        <v>0</v>
      </c>
      <c r="C280" s="28">
        <v>6.42</v>
      </c>
    </row>
    <row r="281" spans="1:3" x14ac:dyDescent="0.2">
      <c r="A281" s="155">
        <v>280</v>
      </c>
      <c r="B281" s="28">
        <f>Cadastro!A283</f>
        <v>0</v>
      </c>
      <c r="C281" s="28">
        <v>6.42</v>
      </c>
    </row>
    <row r="282" spans="1:3" x14ac:dyDescent="0.2">
      <c r="A282" s="155">
        <v>281</v>
      </c>
      <c r="B282" s="28">
        <f>Cadastro!A284</f>
        <v>0</v>
      </c>
      <c r="C282" s="28">
        <v>6.42</v>
      </c>
    </row>
    <row r="283" spans="1:3" x14ac:dyDescent="0.2">
      <c r="A283" s="155">
        <v>282</v>
      </c>
      <c r="B283" s="28">
        <f>Cadastro!A285</f>
        <v>0</v>
      </c>
      <c r="C283" s="28">
        <v>6.42</v>
      </c>
    </row>
    <row r="284" spans="1:3" x14ac:dyDescent="0.2">
      <c r="A284" s="155">
        <v>283</v>
      </c>
      <c r="B284" s="28">
        <f>Cadastro!A286</f>
        <v>0</v>
      </c>
      <c r="C284" s="28">
        <v>6.42</v>
      </c>
    </row>
    <row r="285" spans="1:3" x14ac:dyDescent="0.2">
      <c r="A285" s="155">
        <v>284</v>
      </c>
      <c r="B285" s="28">
        <f>Cadastro!A287</f>
        <v>0</v>
      </c>
      <c r="C285" s="28">
        <v>6.42</v>
      </c>
    </row>
    <row r="286" spans="1:3" x14ac:dyDescent="0.2">
      <c r="A286" s="155">
        <v>285</v>
      </c>
      <c r="B286" s="28">
        <f>Cadastro!A288</f>
        <v>0</v>
      </c>
      <c r="C286" s="28">
        <v>6.42</v>
      </c>
    </row>
    <row r="287" spans="1:3" x14ac:dyDescent="0.2">
      <c r="A287" s="155">
        <v>286</v>
      </c>
      <c r="B287" s="28">
        <f>Cadastro!A289</f>
        <v>0</v>
      </c>
      <c r="C287" s="28">
        <v>6.42</v>
      </c>
    </row>
    <row r="288" spans="1:3" x14ac:dyDescent="0.2">
      <c r="A288" s="155">
        <v>287</v>
      </c>
      <c r="B288" s="28">
        <f>Cadastro!A290</f>
        <v>0</v>
      </c>
      <c r="C288" s="28">
        <v>6.42</v>
      </c>
    </row>
    <row r="289" spans="1:3" x14ac:dyDescent="0.2">
      <c r="A289" s="155">
        <v>288</v>
      </c>
      <c r="B289" s="28">
        <f>Cadastro!A291</f>
        <v>0</v>
      </c>
      <c r="C289" s="28">
        <v>6.42</v>
      </c>
    </row>
    <row r="290" spans="1:3" x14ac:dyDescent="0.2">
      <c r="A290" s="155">
        <v>289</v>
      </c>
      <c r="B290" s="28">
        <f>Cadastro!A292</f>
        <v>0</v>
      </c>
      <c r="C290" s="28">
        <v>6.42</v>
      </c>
    </row>
    <row r="291" spans="1:3" x14ac:dyDescent="0.2">
      <c r="A291" s="155">
        <v>290</v>
      </c>
      <c r="B291" s="28">
        <f>Cadastro!A293</f>
        <v>0</v>
      </c>
      <c r="C291" s="28">
        <v>6.42</v>
      </c>
    </row>
    <row r="292" spans="1:3" x14ac:dyDescent="0.2">
      <c r="A292" s="155">
        <v>291</v>
      </c>
      <c r="B292" s="28">
        <f>Cadastro!A294</f>
        <v>0</v>
      </c>
      <c r="C292" s="28">
        <v>6.42</v>
      </c>
    </row>
    <row r="293" spans="1:3" x14ac:dyDescent="0.2">
      <c r="A293" s="155">
        <v>292</v>
      </c>
      <c r="B293" s="28">
        <f>Cadastro!A295</f>
        <v>0</v>
      </c>
      <c r="C293" s="28">
        <v>6.42</v>
      </c>
    </row>
    <row r="294" spans="1:3" x14ac:dyDescent="0.2">
      <c r="A294" s="155">
        <v>293</v>
      </c>
      <c r="B294" s="28">
        <f>Cadastro!A296</f>
        <v>0</v>
      </c>
      <c r="C294" s="28">
        <v>6.42</v>
      </c>
    </row>
    <row r="295" spans="1:3" x14ac:dyDescent="0.2">
      <c r="A295" s="155">
        <v>294</v>
      </c>
      <c r="B295" s="28">
        <f>Cadastro!A297</f>
        <v>0</v>
      </c>
      <c r="C295" s="28">
        <v>6.42</v>
      </c>
    </row>
    <row r="296" spans="1:3" x14ac:dyDescent="0.2">
      <c r="A296" s="155">
        <v>295</v>
      </c>
      <c r="B296" s="28">
        <f>Cadastro!A298</f>
        <v>0</v>
      </c>
      <c r="C296" s="28">
        <v>6.42</v>
      </c>
    </row>
    <row r="297" spans="1:3" x14ac:dyDescent="0.2">
      <c r="A297" s="155">
        <v>296</v>
      </c>
      <c r="B297" s="28">
        <f>Cadastro!A299</f>
        <v>0</v>
      </c>
      <c r="C297" s="28">
        <v>6.42</v>
      </c>
    </row>
    <row r="298" spans="1:3" x14ac:dyDescent="0.2">
      <c r="A298" s="155">
        <v>297</v>
      </c>
      <c r="B298" s="28">
        <f>Cadastro!A300</f>
        <v>0</v>
      </c>
      <c r="C298" s="28">
        <v>6.42</v>
      </c>
    </row>
    <row r="299" spans="1:3" x14ac:dyDescent="0.2">
      <c r="A299" s="155">
        <v>298</v>
      </c>
      <c r="B299" s="28">
        <f>Cadastro!A301</f>
        <v>0</v>
      </c>
      <c r="C299" s="28">
        <v>6.42</v>
      </c>
    </row>
    <row r="300" spans="1:3" x14ac:dyDescent="0.2">
      <c r="A300" s="155">
        <v>299</v>
      </c>
      <c r="B300" s="28">
        <f>Cadastro!A302</f>
        <v>0</v>
      </c>
      <c r="C300" s="28">
        <v>6.42</v>
      </c>
    </row>
    <row r="301" spans="1:3" x14ac:dyDescent="0.2">
      <c r="A301" s="155">
        <v>300</v>
      </c>
      <c r="B301" s="28">
        <f>Cadastro!A303</f>
        <v>0</v>
      </c>
      <c r="C301" s="28">
        <v>6.42</v>
      </c>
    </row>
    <row r="302" spans="1:3" x14ac:dyDescent="0.2">
      <c r="A302" s="155">
        <v>301</v>
      </c>
      <c r="B302" s="28">
        <f>Cadastro!A304</f>
        <v>0</v>
      </c>
      <c r="C302" s="28">
        <v>6.42</v>
      </c>
    </row>
    <row r="303" spans="1:3" x14ac:dyDescent="0.2">
      <c r="A303" s="155">
        <v>302</v>
      </c>
      <c r="B303" s="28">
        <f>Cadastro!A305</f>
        <v>0</v>
      </c>
      <c r="C303" s="28">
        <v>6.42</v>
      </c>
    </row>
    <row r="304" spans="1:3" x14ac:dyDescent="0.2">
      <c r="A304" s="155">
        <v>303</v>
      </c>
      <c r="B304" s="28">
        <f>Cadastro!A306</f>
        <v>0</v>
      </c>
      <c r="C304" s="28">
        <v>6.42</v>
      </c>
    </row>
    <row r="305" spans="1:3" x14ac:dyDescent="0.2">
      <c r="A305" s="155">
        <v>304</v>
      </c>
      <c r="B305" s="28">
        <f>Cadastro!A307</f>
        <v>0</v>
      </c>
      <c r="C305" s="28">
        <v>6.42</v>
      </c>
    </row>
    <row r="306" spans="1:3" x14ac:dyDescent="0.2">
      <c r="A306" s="155">
        <v>305</v>
      </c>
      <c r="B306" s="28">
        <f>Cadastro!A308</f>
        <v>0</v>
      </c>
      <c r="C306" s="28">
        <v>6.42</v>
      </c>
    </row>
    <row r="307" spans="1:3" x14ac:dyDescent="0.2">
      <c r="A307" s="155">
        <v>306</v>
      </c>
      <c r="B307" s="28">
        <f>Cadastro!A309</f>
        <v>0</v>
      </c>
      <c r="C307" s="28">
        <v>6.42</v>
      </c>
    </row>
    <row r="308" spans="1:3" x14ac:dyDescent="0.2">
      <c r="A308" s="155">
        <v>307</v>
      </c>
      <c r="B308" s="28">
        <f>Cadastro!A310</f>
        <v>0</v>
      </c>
      <c r="C308" s="28">
        <v>6.42</v>
      </c>
    </row>
    <row r="309" spans="1:3" x14ac:dyDescent="0.2">
      <c r="A309" s="155">
        <v>308</v>
      </c>
      <c r="B309" s="28">
        <f>Cadastro!A311</f>
        <v>0</v>
      </c>
      <c r="C309" s="28">
        <v>6.42</v>
      </c>
    </row>
    <row r="310" spans="1:3" x14ac:dyDescent="0.2">
      <c r="A310" s="155">
        <v>309</v>
      </c>
      <c r="B310" s="28">
        <f>Cadastro!A312</f>
        <v>0</v>
      </c>
      <c r="C310" s="28">
        <v>6.42</v>
      </c>
    </row>
    <row r="311" spans="1:3" x14ac:dyDescent="0.2">
      <c r="A311" s="155">
        <v>310</v>
      </c>
      <c r="B311" s="28">
        <f>Cadastro!A313</f>
        <v>0</v>
      </c>
      <c r="C311" s="28">
        <v>6.42</v>
      </c>
    </row>
    <row r="312" spans="1:3" x14ac:dyDescent="0.2">
      <c r="A312" s="155">
        <v>311</v>
      </c>
      <c r="B312" s="28">
        <f>Cadastro!A314</f>
        <v>0</v>
      </c>
      <c r="C312" s="28">
        <v>6.42</v>
      </c>
    </row>
    <row r="313" spans="1:3" x14ac:dyDescent="0.2">
      <c r="A313" s="155">
        <v>312</v>
      </c>
      <c r="B313" s="28">
        <f>Cadastro!A315</f>
        <v>0</v>
      </c>
      <c r="C313" s="28">
        <v>6.42</v>
      </c>
    </row>
    <row r="314" spans="1:3" x14ac:dyDescent="0.2">
      <c r="A314" s="155">
        <v>313</v>
      </c>
      <c r="B314" s="28">
        <f>Cadastro!A316</f>
        <v>0</v>
      </c>
      <c r="C314" s="28">
        <v>6.42</v>
      </c>
    </row>
    <row r="315" spans="1:3" x14ac:dyDescent="0.2">
      <c r="A315" s="155">
        <v>314</v>
      </c>
      <c r="B315" s="28">
        <f>Cadastro!A317</f>
        <v>0</v>
      </c>
      <c r="C315" s="28">
        <v>6.42</v>
      </c>
    </row>
    <row r="316" spans="1:3" x14ac:dyDescent="0.2">
      <c r="A316" s="155">
        <v>315</v>
      </c>
      <c r="B316" s="28">
        <f>Cadastro!A318</f>
        <v>0</v>
      </c>
      <c r="C316" s="28">
        <v>6.42</v>
      </c>
    </row>
    <row r="317" spans="1:3" x14ac:dyDescent="0.2">
      <c r="A317" s="155">
        <v>316</v>
      </c>
      <c r="B317" s="28">
        <f>Cadastro!A319</f>
        <v>0</v>
      </c>
      <c r="C317" s="28">
        <v>6.42</v>
      </c>
    </row>
  </sheetData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D32" sqref="D32"/>
    </sheetView>
  </sheetViews>
  <sheetFormatPr baseColWidth="10" defaultColWidth="8.83203125" defaultRowHeight="15" x14ac:dyDescent="0.2"/>
  <cols>
    <col min="1" max="1" width="16" customWidth="1"/>
    <col min="2" max="2" width="29.5" customWidth="1"/>
  </cols>
  <sheetData>
    <row r="1" spans="1:4" ht="16" x14ac:dyDescent="0.2">
      <c r="A1" s="30" t="s">
        <v>128</v>
      </c>
      <c r="B1" s="29" t="s">
        <v>60</v>
      </c>
      <c r="C1" s="30" t="s">
        <v>65</v>
      </c>
      <c r="D1" s="189"/>
    </row>
    <row r="2" spans="1:4" x14ac:dyDescent="0.2">
      <c r="A2" s="155" t="s">
        <v>107</v>
      </c>
      <c r="B2" s="28" t="str">
        <f>Cadastro!A2</f>
        <v>*</v>
      </c>
      <c r="C2" s="28" t="s">
        <v>107</v>
      </c>
      <c r="D2" s="188"/>
    </row>
    <row r="3" spans="1:4" x14ac:dyDescent="0.2">
      <c r="A3" s="180">
        <v>1</v>
      </c>
      <c r="B3" s="180" t="str">
        <f>Cadastro!A3</f>
        <v>Padrão A</v>
      </c>
      <c r="C3" s="180" t="s">
        <v>107</v>
      </c>
      <c r="D3" s="188"/>
    </row>
    <row r="4" spans="1:4" x14ac:dyDescent="0.2">
      <c r="A4" s="180">
        <v>2</v>
      </c>
      <c r="B4" s="180" t="str">
        <f>Cadastro!A4</f>
        <v>Padrão B</v>
      </c>
      <c r="C4" s="180" t="s">
        <v>107</v>
      </c>
      <c r="D4" s="188"/>
    </row>
    <row r="5" spans="1:4" x14ac:dyDescent="0.2">
      <c r="A5" s="28">
        <v>3</v>
      </c>
      <c r="B5" s="28" t="str">
        <f>Cadastro!A5</f>
        <v>P. Labas A</v>
      </c>
      <c r="C5" s="28" t="s">
        <v>107</v>
      </c>
      <c r="D5" s="209"/>
    </row>
    <row r="6" spans="1:4" x14ac:dyDescent="0.2">
      <c r="A6" s="28">
        <v>4</v>
      </c>
      <c r="B6" s="28" t="str">
        <f>Cadastro!A6</f>
        <v>P. Labas B</v>
      </c>
      <c r="C6" s="28" t="s">
        <v>107</v>
      </c>
      <c r="D6" s="209"/>
    </row>
    <row r="7" spans="1:4" x14ac:dyDescent="0.2">
      <c r="A7" s="28">
        <v>5</v>
      </c>
      <c r="B7" s="28" t="str">
        <f>Cadastro!A7</f>
        <v>2025/13</v>
      </c>
      <c r="C7" s="28" t="s">
        <v>107</v>
      </c>
      <c r="D7" s="209"/>
    </row>
    <row r="8" spans="1:4" x14ac:dyDescent="0.2">
      <c r="A8" s="28">
        <v>6</v>
      </c>
      <c r="B8" s="28" t="str">
        <f>Cadastro!A8</f>
        <v>2025/14</v>
      </c>
      <c r="C8" s="28" t="s">
        <v>107</v>
      </c>
      <c r="D8" s="209"/>
    </row>
    <row r="9" spans="1:4" x14ac:dyDescent="0.2">
      <c r="A9" s="28">
        <v>7</v>
      </c>
      <c r="B9" s="28" t="str">
        <f>Cadastro!A9</f>
        <v>2025/15</v>
      </c>
      <c r="C9" s="28" t="s">
        <v>107</v>
      </c>
      <c r="D9" s="209"/>
    </row>
    <row r="10" spans="1:4" x14ac:dyDescent="0.2">
      <c r="A10" s="28">
        <v>8</v>
      </c>
      <c r="B10" s="28" t="str">
        <f>Cadastro!A10</f>
        <v>2025/16</v>
      </c>
      <c r="C10" s="28" t="s">
        <v>107</v>
      </c>
      <c r="D10" s="209"/>
    </row>
    <row r="11" spans="1:4" x14ac:dyDescent="0.2">
      <c r="A11" s="28">
        <v>9</v>
      </c>
      <c r="B11" s="28" t="str">
        <f>Cadastro!A11</f>
        <v>2025/17</v>
      </c>
      <c r="C11" s="28" t="s">
        <v>107</v>
      </c>
      <c r="D11" s="209"/>
    </row>
    <row r="12" spans="1:4" x14ac:dyDescent="0.2">
      <c r="A12" s="28">
        <v>10</v>
      </c>
      <c r="B12" s="28" t="str">
        <f>Cadastro!A12</f>
        <v>2025/18</v>
      </c>
      <c r="C12" s="28" t="s">
        <v>107</v>
      </c>
      <c r="D12" s="209"/>
    </row>
    <row r="13" spans="1:4" x14ac:dyDescent="0.2">
      <c r="A13" s="28">
        <v>11</v>
      </c>
      <c r="B13" s="28" t="str">
        <f>Cadastro!A13</f>
        <v>2025/19</v>
      </c>
      <c r="C13" s="28" t="s">
        <v>107</v>
      </c>
      <c r="D13" s="209"/>
    </row>
    <row r="14" spans="1:4" x14ac:dyDescent="0.2">
      <c r="A14" s="28">
        <v>12</v>
      </c>
      <c r="B14" s="28" t="str">
        <f>Cadastro!A14</f>
        <v>2025/20</v>
      </c>
      <c r="C14" s="28" t="s">
        <v>107</v>
      </c>
      <c r="D14" s="209"/>
    </row>
    <row r="15" spans="1:4" x14ac:dyDescent="0.2">
      <c r="A15" s="28">
        <v>13</v>
      </c>
      <c r="B15" s="28" t="str">
        <f>Cadastro!A15</f>
        <v>2025/21</v>
      </c>
      <c r="C15" s="28" t="s">
        <v>107</v>
      </c>
      <c r="D15" s="209"/>
    </row>
    <row r="16" spans="1:4" x14ac:dyDescent="0.2">
      <c r="A16" s="28">
        <v>14</v>
      </c>
      <c r="B16" s="28" t="str">
        <f>Cadastro!A16</f>
        <v>2025/22</v>
      </c>
      <c r="C16" s="28" t="s">
        <v>107</v>
      </c>
      <c r="D16" s="209"/>
    </row>
    <row r="17" spans="1:4" x14ac:dyDescent="0.2">
      <c r="A17" s="28">
        <v>15</v>
      </c>
      <c r="B17" s="28">
        <f>Cadastro!A17</f>
        <v>0</v>
      </c>
      <c r="C17" s="28" t="s">
        <v>107</v>
      </c>
      <c r="D17" s="209"/>
    </row>
    <row r="18" spans="1:4" x14ac:dyDescent="0.2">
      <c r="A18" s="28">
        <v>16</v>
      </c>
      <c r="B18" s="28">
        <f>Cadastro!A18</f>
        <v>0</v>
      </c>
      <c r="C18" s="28" t="s">
        <v>107</v>
      </c>
      <c r="D18" s="20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6" customWidth="1"/>
    <col min="2" max="2" width="32.5" customWidth="1"/>
    <col min="3" max="3" width="12" customWidth="1"/>
  </cols>
  <sheetData>
    <row r="1" spans="1:4" ht="16" x14ac:dyDescent="0.2">
      <c r="A1" s="30" t="s">
        <v>128</v>
      </c>
      <c r="B1" s="29" t="s">
        <v>60</v>
      </c>
      <c r="C1" s="30" t="s">
        <v>66</v>
      </c>
      <c r="D1" s="189"/>
    </row>
    <row r="2" spans="1:4" x14ac:dyDescent="0.2">
      <c r="A2" s="155" t="s">
        <v>107</v>
      </c>
      <c r="B2" s="28" t="str">
        <f>Cadastro!A2</f>
        <v>*</v>
      </c>
      <c r="C2" s="28" t="s">
        <v>107</v>
      </c>
      <c r="D2" s="188"/>
    </row>
    <row r="3" spans="1:4" x14ac:dyDescent="0.2">
      <c r="A3" s="180">
        <v>1</v>
      </c>
      <c r="B3" s="180" t="str">
        <f>Cadastro!A3</f>
        <v>Padrão A</v>
      </c>
      <c r="C3" s="180" t="s">
        <v>107</v>
      </c>
      <c r="D3" s="188"/>
    </row>
    <row r="4" spans="1:4" x14ac:dyDescent="0.2">
      <c r="A4" s="180">
        <v>2</v>
      </c>
      <c r="B4" s="180" t="str">
        <f>Cadastro!A4</f>
        <v>Padrão B</v>
      </c>
      <c r="C4" s="180" t="s">
        <v>107</v>
      </c>
      <c r="D4" s="188"/>
    </row>
    <row r="5" spans="1:4" x14ac:dyDescent="0.2">
      <c r="A5" s="28">
        <v>3</v>
      </c>
      <c r="B5" s="28" t="str">
        <f>Cadastro!A5</f>
        <v>P. Labas A</v>
      </c>
      <c r="C5" s="28" t="s">
        <v>107</v>
      </c>
      <c r="D5" s="209"/>
    </row>
    <row r="6" spans="1:4" x14ac:dyDescent="0.2">
      <c r="A6" s="28">
        <v>4</v>
      </c>
      <c r="B6" s="28" t="str">
        <f>Cadastro!A6</f>
        <v>P. Labas B</v>
      </c>
      <c r="C6" s="28" t="s">
        <v>107</v>
      </c>
      <c r="D6" s="209"/>
    </row>
    <row r="7" spans="1:4" x14ac:dyDescent="0.2">
      <c r="A7" s="28">
        <v>5</v>
      </c>
      <c r="B7" s="28" t="str">
        <f>Cadastro!A7</f>
        <v>2025/13</v>
      </c>
      <c r="C7" s="28" t="s">
        <v>107</v>
      </c>
      <c r="D7" s="209"/>
    </row>
    <row r="8" spans="1:4" x14ac:dyDescent="0.2">
      <c r="A8" s="28">
        <v>6</v>
      </c>
      <c r="B8" s="28" t="str">
        <f>Cadastro!A8</f>
        <v>2025/14</v>
      </c>
      <c r="C8" s="28" t="s">
        <v>107</v>
      </c>
      <c r="D8" s="209"/>
    </row>
    <row r="9" spans="1:4" x14ac:dyDescent="0.2">
      <c r="A9" s="28">
        <v>7</v>
      </c>
      <c r="B9" s="28" t="str">
        <f>Cadastro!A9</f>
        <v>2025/15</v>
      </c>
      <c r="C9" s="28" t="s">
        <v>107</v>
      </c>
      <c r="D9" s="209"/>
    </row>
    <row r="10" spans="1:4" x14ac:dyDescent="0.2">
      <c r="A10" s="28">
        <v>8</v>
      </c>
      <c r="B10" s="28" t="str">
        <f>Cadastro!A10</f>
        <v>2025/16</v>
      </c>
      <c r="C10" s="28" t="s">
        <v>107</v>
      </c>
      <c r="D10" s="209"/>
    </row>
    <row r="11" spans="1:4" x14ac:dyDescent="0.2">
      <c r="A11" s="28">
        <v>9</v>
      </c>
      <c r="B11" s="28" t="str">
        <f>Cadastro!A11</f>
        <v>2025/17</v>
      </c>
      <c r="C11" s="28" t="s">
        <v>107</v>
      </c>
      <c r="D11" s="209"/>
    </row>
    <row r="12" spans="1:4" x14ac:dyDescent="0.2">
      <c r="A12" s="28">
        <v>10</v>
      </c>
      <c r="B12" s="28" t="str">
        <f>Cadastro!A12</f>
        <v>2025/18</v>
      </c>
      <c r="C12" s="28" t="s">
        <v>107</v>
      </c>
      <c r="D12" s="209"/>
    </row>
    <row r="13" spans="1:4" x14ac:dyDescent="0.2">
      <c r="A13" s="28">
        <v>11</v>
      </c>
      <c r="B13" s="28" t="str">
        <f>Cadastro!A13</f>
        <v>2025/19</v>
      </c>
      <c r="C13" s="28" t="s">
        <v>107</v>
      </c>
      <c r="D13" s="209"/>
    </row>
    <row r="14" spans="1:4" x14ac:dyDescent="0.2">
      <c r="A14" s="28">
        <v>12</v>
      </c>
      <c r="B14" s="28" t="str">
        <f>Cadastro!A14</f>
        <v>2025/20</v>
      </c>
      <c r="C14" s="28" t="s">
        <v>107</v>
      </c>
      <c r="D14" s="209"/>
    </row>
    <row r="15" spans="1:4" x14ac:dyDescent="0.2">
      <c r="A15" s="28">
        <v>13</v>
      </c>
      <c r="B15" s="28" t="str">
        <f>Cadastro!A15</f>
        <v>2025/21</v>
      </c>
      <c r="C15" s="28" t="s">
        <v>107</v>
      </c>
      <c r="D15" s="209"/>
    </row>
    <row r="16" spans="1:4" x14ac:dyDescent="0.2">
      <c r="A16" s="28">
        <v>14</v>
      </c>
      <c r="B16" s="28" t="str">
        <f>Cadastro!A16</f>
        <v>2025/22</v>
      </c>
      <c r="C16" s="28" t="s">
        <v>107</v>
      </c>
      <c r="D16" s="209"/>
    </row>
    <row r="17" spans="1:4" x14ac:dyDescent="0.2">
      <c r="A17" s="28">
        <v>15</v>
      </c>
      <c r="B17" s="28">
        <f>Cadastro!A17</f>
        <v>0</v>
      </c>
      <c r="C17" s="28" t="s">
        <v>107</v>
      </c>
      <c r="D17" s="209"/>
    </row>
    <row r="18" spans="1:4" x14ac:dyDescent="0.2">
      <c r="A18" s="28">
        <v>16</v>
      </c>
      <c r="B18" s="28">
        <f>Cadastro!A18</f>
        <v>0</v>
      </c>
      <c r="C18" s="28" t="s">
        <v>107</v>
      </c>
      <c r="D18" s="209"/>
    </row>
    <row r="19" spans="1:4" x14ac:dyDescent="0.2">
      <c r="A19" s="28">
        <v>17</v>
      </c>
      <c r="B19" s="28">
        <f>Cadastro!A19</f>
        <v>0</v>
      </c>
      <c r="C19" s="28" t="s">
        <v>107</v>
      </c>
      <c r="D19" s="209"/>
    </row>
    <row r="20" spans="1:4" x14ac:dyDescent="0.2">
      <c r="A20" s="28">
        <v>18</v>
      </c>
      <c r="B20" s="28">
        <f>Cadastro!A20</f>
        <v>0</v>
      </c>
      <c r="C20" s="28" t="s">
        <v>107</v>
      </c>
      <c r="D20" s="20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"/>
  <sheetViews>
    <sheetView workbookViewId="0">
      <selection activeCell="H16" sqref="H16"/>
    </sheetView>
  </sheetViews>
  <sheetFormatPr baseColWidth="10" defaultColWidth="8.83203125" defaultRowHeight="15" x14ac:dyDescent="0.2"/>
  <cols>
    <col min="2" max="2" width="9.83203125" bestFit="1" customWidth="1"/>
    <col min="3" max="3" width="12.83203125" bestFit="1" customWidth="1"/>
    <col min="4" max="4" width="15.1640625" bestFit="1" customWidth="1"/>
    <col min="5" max="5" width="12.6640625" bestFit="1" customWidth="1"/>
    <col min="6" max="6" width="9.83203125" bestFit="1" customWidth="1"/>
    <col min="7" max="7" width="13.6640625" bestFit="1" customWidth="1"/>
    <col min="8" max="8" width="22.5" bestFit="1" customWidth="1"/>
    <col min="9" max="9" width="22.5" customWidth="1"/>
  </cols>
  <sheetData>
    <row r="1" spans="1:15" s="1" customFormat="1" ht="17" thickBot="1" x14ac:dyDescent="0.25">
      <c r="A1" s="155"/>
      <c r="B1" s="300" t="s">
        <v>69</v>
      </c>
      <c r="C1" s="300"/>
      <c r="D1" s="300"/>
      <c r="E1" s="300"/>
      <c r="F1" s="300"/>
      <c r="G1" s="300"/>
      <c r="H1" s="300"/>
      <c r="I1"/>
    </row>
    <row r="2" spans="1:15" s="1" customFormat="1" ht="16" x14ac:dyDescent="0.2">
      <c r="A2" s="30" t="s">
        <v>128</v>
      </c>
      <c r="B2" s="210" t="s">
        <v>39</v>
      </c>
      <c r="C2" s="210" t="s">
        <v>47</v>
      </c>
      <c r="D2" s="210" t="s">
        <v>41</v>
      </c>
      <c r="E2" s="210" t="s">
        <v>42</v>
      </c>
      <c r="F2" s="210" t="s">
        <v>68</v>
      </c>
      <c r="G2" s="210" t="s">
        <v>67</v>
      </c>
      <c r="H2" s="210" t="s">
        <v>48</v>
      </c>
      <c r="I2"/>
      <c r="K2" s="297" t="s">
        <v>45</v>
      </c>
      <c r="L2" s="298"/>
      <c r="M2" s="298"/>
      <c r="N2" s="299"/>
    </row>
    <row r="3" spans="1:15" s="1" customFormat="1" ht="16" x14ac:dyDescent="0.2">
      <c r="A3" s="155" t="s">
        <v>107</v>
      </c>
      <c r="B3" s="211" t="str">
        <f>Cadastro!A2</f>
        <v>*</v>
      </c>
      <c r="C3" s="212"/>
      <c r="D3" s="212"/>
      <c r="E3" s="213"/>
      <c r="F3" s="213" t="s">
        <v>107</v>
      </c>
      <c r="G3" s="212" t="s">
        <v>107</v>
      </c>
      <c r="H3" s="214" t="s">
        <v>107</v>
      </c>
      <c r="I3"/>
      <c r="K3" s="69" t="s">
        <v>71</v>
      </c>
      <c r="L3" s="65" t="s">
        <v>81</v>
      </c>
      <c r="M3" s="65" t="s">
        <v>82</v>
      </c>
      <c r="N3" s="70" t="s">
        <v>53</v>
      </c>
    </row>
    <row r="4" spans="1:15" s="1" customFormat="1" ht="16" x14ac:dyDescent="0.2">
      <c r="A4" s="197">
        <v>0</v>
      </c>
      <c r="B4" s="197" t="str">
        <f>Cadastro!A3</f>
        <v>Padrão A</v>
      </c>
      <c r="C4" s="215">
        <v>5.0000000000000001E-3</v>
      </c>
      <c r="D4" s="198">
        <v>50</v>
      </c>
      <c r="E4" s="198">
        <v>2</v>
      </c>
      <c r="F4" s="181" t="s">
        <v>133</v>
      </c>
      <c r="G4" s="198" t="s">
        <v>133</v>
      </c>
      <c r="H4" s="198">
        <v>0.3</v>
      </c>
      <c r="I4"/>
      <c r="K4" s="71">
        <v>0</v>
      </c>
      <c r="L4" s="66">
        <v>100</v>
      </c>
      <c r="M4" s="66">
        <f>2-LOG(L4)</f>
        <v>0</v>
      </c>
      <c r="N4" s="72">
        <f>K4*M4</f>
        <v>0</v>
      </c>
    </row>
    <row r="5" spans="1:15" s="1" customFormat="1" ht="16" x14ac:dyDescent="0.2">
      <c r="A5" s="197">
        <v>0</v>
      </c>
      <c r="B5" s="197" t="str">
        <f>Cadastro!A4</f>
        <v>Padrão B</v>
      </c>
      <c r="C5" s="215">
        <v>5.0000000000000001E-3</v>
      </c>
      <c r="D5" s="198">
        <v>50</v>
      </c>
      <c r="E5" s="198">
        <v>2</v>
      </c>
      <c r="F5" s="181" t="s">
        <v>133</v>
      </c>
      <c r="G5" s="198" t="s">
        <v>133</v>
      </c>
      <c r="H5" s="198">
        <v>5.7</v>
      </c>
      <c r="I5"/>
      <c r="K5" s="71">
        <v>0.4</v>
      </c>
      <c r="L5" s="66">
        <v>51.1</v>
      </c>
      <c r="M5" s="66">
        <f t="shared" ref="M5:M9" si="0">2-LOG(L5)</f>
        <v>0.29157909986528718</v>
      </c>
      <c r="N5" s="72">
        <f t="shared" ref="N5:N9" si="1">K5*M5</f>
        <v>0.11663163994611488</v>
      </c>
    </row>
    <row r="6" spans="1:15" s="1" customFormat="1" ht="16" x14ac:dyDescent="0.2">
      <c r="A6" s="194">
        <v>0</v>
      </c>
      <c r="B6" s="194" t="str">
        <f>Cadastro!A5</f>
        <v>P. Labas A</v>
      </c>
      <c r="C6" s="216">
        <v>5.0000000000000001E-3</v>
      </c>
      <c r="D6" s="195">
        <v>50</v>
      </c>
      <c r="E6" s="217">
        <v>2</v>
      </c>
      <c r="F6" s="195">
        <v>96.4</v>
      </c>
      <c r="G6" s="195">
        <f t="shared" ref="G6:G8" si="2">2-LOG(F6)</f>
        <v>1.5922966097169144E-2</v>
      </c>
      <c r="H6" s="196">
        <f>((G6-N19)/N$16)*E6*D6/1000/C6</f>
        <v>0.57159491217614677</v>
      </c>
      <c r="I6"/>
      <c r="K6" s="71">
        <v>0.8</v>
      </c>
      <c r="L6" s="66">
        <v>35.700000000000003</v>
      </c>
      <c r="M6" s="66">
        <f t="shared" si="0"/>
        <v>0.44733178388780681</v>
      </c>
      <c r="N6" s="72">
        <f t="shared" si="1"/>
        <v>0.35786542711024549</v>
      </c>
    </row>
    <row r="7" spans="1:15" s="1" customFormat="1" ht="16" x14ac:dyDescent="0.2">
      <c r="A7" s="194">
        <v>0</v>
      </c>
      <c r="B7" s="194" t="str">
        <f>Cadastro!A6</f>
        <v>P. Labas B</v>
      </c>
      <c r="C7" s="216">
        <v>5.0000000000000001E-3</v>
      </c>
      <c r="D7" s="195">
        <v>50</v>
      </c>
      <c r="E7" s="217">
        <v>2</v>
      </c>
      <c r="F7" s="195">
        <v>78.400000000000006</v>
      </c>
      <c r="G7" s="195">
        <f t="shared" si="2"/>
        <v>0.10568393731556158</v>
      </c>
      <c r="H7" s="196">
        <f>((G7-N20)/N$16)*E7*D7/1000/C7</f>
        <v>3.7937907108310358</v>
      </c>
      <c r="I7"/>
      <c r="K7" s="71">
        <v>1.2</v>
      </c>
      <c r="L7" s="66">
        <v>23</v>
      </c>
      <c r="M7" s="66">
        <f t="shared" si="0"/>
        <v>0.63827216398240716</v>
      </c>
      <c r="N7" s="72">
        <f t="shared" si="1"/>
        <v>0.76592659677888852</v>
      </c>
    </row>
    <row r="8" spans="1:15" s="1" customFormat="1" ht="16" x14ac:dyDescent="0.2">
      <c r="A8" s="194">
        <v>1</v>
      </c>
      <c r="B8" s="194" t="str">
        <f>Cadastro!A7</f>
        <v>2025/13</v>
      </c>
      <c r="C8" s="216">
        <v>5.0000000000000001E-3</v>
      </c>
      <c r="D8" s="195">
        <v>50</v>
      </c>
      <c r="E8" s="217">
        <v>20</v>
      </c>
      <c r="F8" s="195">
        <v>41.5</v>
      </c>
      <c r="G8" s="195">
        <f t="shared" si="2"/>
        <v>0.38195190328790729</v>
      </c>
      <c r="H8" s="196">
        <f>((G8-N21)/N$16)*E8*D8/1000/C8</f>
        <v>137.11124126187624</v>
      </c>
      <c r="I8"/>
      <c r="K8" s="71">
        <v>1.6</v>
      </c>
      <c r="L8" s="66">
        <v>12.5</v>
      </c>
      <c r="M8" s="66">
        <f t="shared" si="0"/>
        <v>0.90308998699194354</v>
      </c>
      <c r="N8" s="72">
        <f t="shared" si="1"/>
        <v>1.4449439791871097</v>
      </c>
    </row>
    <row r="9" spans="1:15" s="1" customFormat="1" ht="16" x14ac:dyDescent="0.2">
      <c r="A9" s="194">
        <v>2</v>
      </c>
      <c r="B9" s="194" t="str">
        <f>Cadastro!A8</f>
        <v>2025/14</v>
      </c>
      <c r="C9" s="216">
        <v>5.0000000000000001E-3</v>
      </c>
      <c r="D9" s="195">
        <v>50</v>
      </c>
      <c r="E9" s="217">
        <v>20</v>
      </c>
      <c r="F9" s="195">
        <v>44</v>
      </c>
      <c r="G9" s="195">
        <f>2-LOG(F9)</f>
        <v>0.35654732351381258</v>
      </c>
      <c r="H9" s="196">
        <f>((G9-N22)/N$16)*E9*D9/1000/C9</f>
        <v>127.99162846095018</v>
      </c>
      <c r="I9"/>
      <c r="K9" s="71">
        <v>2</v>
      </c>
      <c r="L9" s="66">
        <v>7</v>
      </c>
      <c r="M9" s="66">
        <f t="shared" si="0"/>
        <v>1.1549019599857431</v>
      </c>
      <c r="N9" s="72">
        <f t="shared" si="1"/>
        <v>2.3098039199714862</v>
      </c>
    </row>
    <row r="10" spans="1:15" s="1" customFormat="1" ht="17" thickBot="1" x14ac:dyDescent="0.25">
      <c r="A10" s="194">
        <v>3</v>
      </c>
      <c r="B10" s="194" t="str">
        <f>Cadastro!A9</f>
        <v>2025/15</v>
      </c>
      <c r="C10" s="216">
        <v>5.0000000000000001E-3</v>
      </c>
      <c r="D10" s="195">
        <v>50</v>
      </c>
      <c r="E10" s="217">
        <v>20</v>
      </c>
      <c r="F10" s="195">
        <v>31.7</v>
      </c>
      <c r="G10" s="195">
        <f t="shared" ref="G10:G17" si="3">2-LOG(F10)</f>
        <v>0.49894073778224857</v>
      </c>
      <c r="H10" s="196">
        <f>((G10-N23)/N$16)*E10*D10/1000/C10</f>
        <v>179.10732551546971</v>
      </c>
      <c r="I10"/>
      <c r="K10"/>
      <c r="L10"/>
      <c r="M10" s="67" t="s">
        <v>54</v>
      </c>
      <c r="N10" s="68">
        <f>SUM(N4:N9)</f>
        <v>4.9951715629938445</v>
      </c>
    </row>
    <row r="11" spans="1:15" s="1" customFormat="1" ht="17" thickBot="1" x14ac:dyDescent="0.25">
      <c r="A11" s="194">
        <v>4</v>
      </c>
      <c r="B11" s="194" t="str">
        <f>Cadastro!A10</f>
        <v>2025/16</v>
      </c>
      <c r="C11" s="216">
        <v>5.0000000000000001E-3</v>
      </c>
      <c r="D11" s="195">
        <v>50</v>
      </c>
      <c r="E11" s="217">
        <v>20</v>
      </c>
      <c r="F11" s="195">
        <v>33</v>
      </c>
      <c r="G11" s="195">
        <f t="shared" si="3"/>
        <v>0.48148606012211248</v>
      </c>
      <c r="H11" s="196">
        <f t="shared" ref="H11:H17" si="4">((G11-N24)/N$16)*E11*D11/1000/C11</f>
        <v>172.84153000769544</v>
      </c>
      <c r="I11"/>
    </row>
    <row r="12" spans="1:15" s="1" customFormat="1" ht="16" x14ac:dyDescent="0.2">
      <c r="A12" s="194">
        <v>5</v>
      </c>
      <c r="B12" s="194" t="str">
        <f>Cadastro!A11</f>
        <v>2025/17</v>
      </c>
      <c r="C12" s="216">
        <v>5.0000000000000001E-3</v>
      </c>
      <c r="D12" s="195">
        <v>50</v>
      </c>
      <c r="E12" s="217">
        <v>20</v>
      </c>
      <c r="F12" s="195">
        <v>24.7</v>
      </c>
      <c r="G12" s="195">
        <f t="shared" si="3"/>
        <v>0.6073030467403342</v>
      </c>
      <c r="H12" s="196">
        <f t="shared" si="4"/>
        <v>218.00670148230878</v>
      </c>
      <c r="I12"/>
      <c r="K12" s="36" t="s">
        <v>49</v>
      </c>
      <c r="L12" s="37"/>
      <c r="M12" s="38">
        <f>SUM(K4:K9)</f>
        <v>6</v>
      </c>
      <c r="N12" s="37" t="s">
        <v>55</v>
      </c>
      <c r="O12" s="39">
        <f>N10</f>
        <v>4.9951715629938445</v>
      </c>
    </row>
    <row r="13" spans="1:15" s="1" customFormat="1" ht="16" x14ac:dyDescent="0.2">
      <c r="A13" s="194">
        <v>6</v>
      </c>
      <c r="B13" s="194" t="str">
        <f>Cadastro!A12</f>
        <v>2025/18</v>
      </c>
      <c r="C13" s="216">
        <v>5.0000000000000001E-3</v>
      </c>
      <c r="D13" s="195">
        <v>50</v>
      </c>
      <c r="E13" s="217">
        <v>20</v>
      </c>
      <c r="F13" s="195">
        <v>27.4</v>
      </c>
      <c r="G13" s="195">
        <f t="shared" si="3"/>
        <v>0.56224943717961207</v>
      </c>
      <c r="H13" s="196">
        <f t="shared" si="4"/>
        <v>201.83357529279954</v>
      </c>
      <c r="I13"/>
      <c r="K13" s="40" t="s">
        <v>50</v>
      </c>
      <c r="L13" s="41"/>
      <c r="M13" s="42">
        <f>K4^2+K5^2+K6^2+K7^2+K8^2+K9^2</f>
        <v>8.8000000000000007</v>
      </c>
      <c r="N13" s="41" t="s">
        <v>57</v>
      </c>
      <c r="O13" s="43">
        <f>AVERAGE(M4:M9)</f>
        <v>0.57252916578553126</v>
      </c>
    </row>
    <row r="14" spans="1:15" ht="16" x14ac:dyDescent="0.2">
      <c r="A14" s="194">
        <v>7</v>
      </c>
      <c r="B14" s="194" t="str">
        <f>Cadastro!A13</f>
        <v>2025/19</v>
      </c>
      <c r="C14" s="216">
        <v>5.0000000000000001E-3</v>
      </c>
      <c r="D14" s="195">
        <v>50</v>
      </c>
      <c r="E14" s="217">
        <v>2</v>
      </c>
      <c r="F14" s="195">
        <v>75.3</v>
      </c>
      <c r="G14" s="195">
        <f t="shared" si="3"/>
        <v>0.12320502379929943</v>
      </c>
      <c r="H14" s="196">
        <f t="shared" si="4"/>
        <v>4.422754173340909</v>
      </c>
      <c r="K14" s="172" t="s">
        <v>51</v>
      </c>
      <c r="L14" s="158"/>
      <c r="M14" s="7">
        <f>SUM(K4:K9)^2</f>
        <v>36</v>
      </c>
      <c r="N14" s="159" t="s">
        <v>59</v>
      </c>
      <c r="O14" s="173">
        <f>AVERAGE(K4:K9)</f>
        <v>1</v>
      </c>
    </row>
    <row r="15" spans="1:15" s="1" customFormat="1" ht="16" x14ac:dyDescent="0.2">
      <c r="A15" s="194">
        <v>8</v>
      </c>
      <c r="B15" s="194" t="str">
        <f>Cadastro!A14</f>
        <v>2025/20</v>
      </c>
      <c r="C15" s="216">
        <v>5.0000000000000001E-3</v>
      </c>
      <c r="D15" s="195">
        <v>50</v>
      </c>
      <c r="E15" s="217">
        <v>2</v>
      </c>
      <c r="F15" s="195">
        <v>88.6</v>
      </c>
      <c r="G15" s="195">
        <f t="shared" si="3"/>
        <v>5.2566278112949227E-2</v>
      </c>
      <c r="H15" s="196">
        <f t="shared" si="4"/>
        <v>1.8869987499841465</v>
      </c>
      <c r="I15"/>
      <c r="K15" s="58" t="s">
        <v>52</v>
      </c>
      <c r="L15" s="54"/>
      <c r="M15" s="52">
        <f>SUM(M4:M9)</f>
        <v>3.4351749947131878</v>
      </c>
      <c r="N15" s="52"/>
      <c r="O15" s="59"/>
    </row>
    <row r="16" spans="1:15" s="1" customFormat="1" ht="16" x14ac:dyDescent="0.2">
      <c r="A16" s="194">
        <v>9</v>
      </c>
      <c r="B16" s="194" t="str">
        <f>Cadastro!A15</f>
        <v>2025/21</v>
      </c>
      <c r="C16" s="216">
        <v>5.0000000000000001E-3</v>
      </c>
      <c r="D16" s="195">
        <v>50</v>
      </c>
      <c r="E16" s="217">
        <v>2</v>
      </c>
      <c r="F16" s="195">
        <v>61.2</v>
      </c>
      <c r="G16" s="195">
        <f t="shared" si="3"/>
        <v>0.21324857785443885</v>
      </c>
      <c r="H16" s="196">
        <f t="shared" si="4"/>
        <v>7.655093993578661</v>
      </c>
      <c r="I16"/>
      <c r="K16" s="45"/>
      <c r="L16" s="42"/>
      <c r="M16" s="53" t="s">
        <v>56</v>
      </c>
      <c r="N16" s="56">
        <f>(O12-(M12*M15/6))/((M13-(M14/6)))</f>
        <v>0.5571416315288058</v>
      </c>
      <c r="O16" s="43"/>
    </row>
    <row r="17" spans="1:15" s="1" customFormat="1" ht="17" thickBot="1" x14ac:dyDescent="0.25">
      <c r="A17" s="194">
        <v>10</v>
      </c>
      <c r="B17" s="194" t="str">
        <f>Cadastro!A16</f>
        <v>2025/22</v>
      </c>
      <c r="C17" s="216">
        <v>5.0000000000000001E-3</v>
      </c>
      <c r="D17" s="195">
        <v>50</v>
      </c>
      <c r="E17" s="217">
        <v>2</v>
      </c>
      <c r="F17" s="195">
        <v>63</v>
      </c>
      <c r="G17" s="195">
        <f t="shared" si="3"/>
        <v>0.20065945054641832</v>
      </c>
      <c r="H17" s="196">
        <f t="shared" si="4"/>
        <v>7.2031756088951902</v>
      </c>
      <c r="I17"/>
      <c r="K17" s="46"/>
      <c r="L17" s="47"/>
      <c r="M17" s="60" t="s">
        <v>58</v>
      </c>
      <c r="N17" s="62">
        <f>O13-(N16*O14)</f>
        <v>1.5387534256725455E-2</v>
      </c>
      <c r="O17" s="48"/>
    </row>
    <row r="18" spans="1:15" s="1" customFormat="1" x14ac:dyDescent="0.2">
      <c r="A18"/>
      <c r="B18"/>
      <c r="C18"/>
      <c r="D18"/>
      <c r="E18"/>
      <c r="F18"/>
      <c r="G18"/>
      <c r="H18"/>
      <c r="I18"/>
    </row>
  </sheetData>
  <mergeCells count="2">
    <mergeCell ref="K2:N2"/>
    <mergeCell ref="B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7"/>
  <sheetViews>
    <sheetView topLeftCell="B1" zoomScale="106" workbookViewId="0">
      <selection activeCell="F10" sqref="F10"/>
    </sheetView>
  </sheetViews>
  <sheetFormatPr baseColWidth="10" defaultColWidth="8.83203125" defaultRowHeight="15" x14ac:dyDescent="0.2"/>
  <cols>
    <col min="2" max="5" width="16" customWidth="1"/>
    <col min="6" max="6" width="9.83203125" bestFit="1" customWidth="1"/>
    <col min="7" max="7" width="13.6640625" bestFit="1" customWidth="1"/>
    <col min="8" max="8" width="22.5" bestFit="1" customWidth="1"/>
    <col min="9" max="9" width="22.5" customWidth="1"/>
    <col min="13" max="13" width="11.83203125" bestFit="1" customWidth="1"/>
  </cols>
  <sheetData>
    <row r="1" spans="1:15" s="1" customFormat="1" ht="17" thickBot="1" x14ac:dyDescent="0.25">
      <c r="A1" s="206"/>
      <c r="B1" s="301" t="s">
        <v>84</v>
      </c>
      <c r="C1" s="301"/>
      <c r="D1" s="301"/>
      <c r="E1" s="301"/>
      <c r="F1" s="301"/>
      <c r="G1" s="301"/>
      <c r="H1" s="302"/>
      <c r="I1" s="218"/>
    </row>
    <row r="2" spans="1:15" s="1" customFormat="1" ht="16" x14ac:dyDescent="0.2">
      <c r="A2" s="219" t="s">
        <v>128</v>
      </c>
      <c r="B2" s="211" t="s">
        <v>39</v>
      </c>
      <c r="C2" s="211" t="s">
        <v>129</v>
      </c>
      <c r="D2" s="211" t="s">
        <v>130</v>
      </c>
      <c r="E2" s="211" t="s">
        <v>42</v>
      </c>
      <c r="F2" s="211" t="s">
        <v>68</v>
      </c>
      <c r="G2" s="220" t="s">
        <v>67</v>
      </c>
      <c r="H2" s="220" t="s">
        <v>83</v>
      </c>
      <c r="I2" s="221"/>
      <c r="K2" s="297" t="s">
        <v>45</v>
      </c>
      <c r="L2" s="298"/>
      <c r="M2" s="298"/>
      <c r="N2" s="299"/>
    </row>
    <row r="3" spans="1:15" s="1" customFormat="1" ht="16" x14ac:dyDescent="0.2">
      <c r="A3" s="155" t="s">
        <v>107</v>
      </c>
      <c r="B3" s="194" t="str">
        <f>Cadastro!A2</f>
        <v>*</v>
      </c>
      <c r="C3" s="202">
        <v>7.4999999999999997E-3</v>
      </c>
      <c r="D3" s="217">
        <v>75</v>
      </c>
      <c r="E3" s="217">
        <v>50</v>
      </c>
      <c r="F3" s="217" t="s">
        <v>107</v>
      </c>
      <c r="G3" s="195" t="s">
        <v>107</v>
      </c>
      <c r="H3" s="222" t="s">
        <v>107</v>
      </c>
      <c r="I3" s="188"/>
      <c r="K3" s="69" t="s">
        <v>71</v>
      </c>
      <c r="L3" s="65" t="s">
        <v>81</v>
      </c>
      <c r="M3" s="65" t="s">
        <v>82</v>
      </c>
      <c r="N3" s="70" t="s">
        <v>53</v>
      </c>
    </row>
    <row r="4" spans="1:15" s="1" customFormat="1" ht="16" x14ac:dyDescent="0.2">
      <c r="A4" s="180">
        <v>1</v>
      </c>
      <c r="B4" s="197" t="str">
        <f>Cadastro!A3</f>
        <v>Padrão A</v>
      </c>
      <c r="C4" s="201">
        <v>7.4999999999999997E-3</v>
      </c>
      <c r="D4" s="198">
        <v>75</v>
      </c>
      <c r="E4" s="198">
        <v>50</v>
      </c>
      <c r="F4" s="198" t="s">
        <v>133</v>
      </c>
      <c r="G4" s="198" t="e">
        <f>2-LOG(F4)</f>
        <v>#VALUE!</v>
      </c>
      <c r="H4" s="198">
        <v>33</v>
      </c>
      <c r="I4" s="188"/>
      <c r="K4" s="96">
        <v>0</v>
      </c>
      <c r="L4">
        <v>99.983999999999995</v>
      </c>
      <c r="M4" s="264">
        <f>2-LOG(L4)</f>
        <v>6.9492676666893516E-5</v>
      </c>
      <c r="N4" s="97">
        <f>K4*M4</f>
        <v>0</v>
      </c>
    </row>
    <row r="5" spans="1:15" s="1" customFormat="1" ht="16" x14ac:dyDescent="0.2">
      <c r="A5" s="180">
        <v>2</v>
      </c>
      <c r="B5" s="197" t="str">
        <f>Cadastro!A4</f>
        <v>Padrão B</v>
      </c>
      <c r="C5" s="201">
        <v>7.4999999999999997E-3</v>
      </c>
      <c r="D5" s="198">
        <v>75</v>
      </c>
      <c r="E5" s="198">
        <v>50</v>
      </c>
      <c r="F5" s="198" t="s">
        <v>107</v>
      </c>
      <c r="G5" s="198" t="e">
        <f t="shared" ref="G5:G12" si="0">2-LOG(F5)</f>
        <v>#VALUE!</v>
      </c>
      <c r="H5" s="198">
        <v>22</v>
      </c>
      <c r="I5" s="188"/>
      <c r="K5" s="96">
        <v>0.3</v>
      </c>
      <c r="L5">
        <v>69.055999999999997</v>
      </c>
      <c r="M5" s="264">
        <f t="shared" ref="M5:M9" si="1">2-LOG(L5)</f>
        <v>0.16079858133320224</v>
      </c>
      <c r="N5" s="97">
        <f t="shared" ref="N5:N9" si="2">K5*M5</f>
        <v>4.8239574399960669E-2</v>
      </c>
    </row>
    <row r="6" spans="1:15" s="1" customFormat="1" ht="16" x14ac:dyDescent="0.2">
      <c r="A6" s="155">
        <v>3</v>
      </c>
      <c r="B6" s="194" t="str">
        <f>Cadastro!A5</f>
        <v>P. Labas A</v>
      </c>
      <c r="C6" s="202">
        <v>7.4999999999999997E-3</v>
      </c>
      <c r="D6" s="217">
        <v>75</v>
      </c>
      <c r="E6" s="217">
        <v>50</v>
      </c>
      <c r="F6" s="217">
        <v>40</v>
      </c>
      <c r="G6" s="195">
        <f t="shared" si="0"/>
        <v>0.39794000867203771</v>
      </c>
      <c r="H6" s="222">
        <f t="shared" ref="H6:H12" si="3">(G6-N$17)/N$16*E6</f>
        <v>39.792952020177871</v>
      </c>
      <c r="I6" s="191"/>
      <c r="K6" s="96">
        <v>0.6</v>
      </c>
      <c r="L6">
        <v>49.174999999999997</v>
      </c>
      <c r="M6" s="264">
        <f t="shared" si="1"/>
        <v>0.30825563140862577</v>
      </c>
      <c r="N6" s="97">
        <f t="shared" si="2"/>
        <v>0.18495337884517546</v>
      </c>
    </row>
    <row r="7" spans="1:15" s="1" customFormat="1" ht="16" x14ac:dyDescent="0.2">
      <c r="A7" s="155">
        <v>4</v>
      </c>
      <c r="B7" s="194" t="str">
        <f>Cadastro!A6</f>
        <v>P. Labas B</v>
      </c>
      <c r="C7" s="202">
        <v>7.4999999999999997E-3</v>
      </c>
      <c r="D7" s="217">
        <v>75</v>
      </c>
      <c r="E7" s="217">
        <v>50</v>
      </c>
      <c r="F7" s="217" t="s">
        <v>107</v>
      </c>
      <c r="G7" s="195" t="e">
        <f t="shared" si="0"/>
        <v>#VALUE!</v>
      </c>
      <c r="H7" s="222" t="e">
        <f t="shared" si="3"/>
        <v>#VALUE!</v>
      </c>
      <c r="I7" s="191"/>
      <c r="K7" s="96">
        <v>0.9</v>
      </c>
      <c r="L7">
        <v>43.68</v>
      </c>
      <c r="M7" s="264">
        <f t="shared" si="1"/>
        <v>0.35971737030331918</v>
      </c>
      <c r="N7" s="97">
        <f t="shared" si="2"/>
        <v>0.32374563327298728</v>
      </c>
    </row>
    <row r="8" spans="1:15" s="1" customFormat="1" ht="16" x14ac:dyDescent="0.2">
      <c r="A8" s="155">
        <v>5</v>
      </c>
      <c r="B8" s="194" t="str">
        <f>Cadastro!A7</f>
        <v>2025/13</v>
      </c>
      <c r="C8" s="202">
        <v>7.4999999999999997E-3</v>
      </c>
      <c r="D8" s="217">
        <v>75</v>
      </c>
      <c r="E8" s="217">
        <v>50</v>
      </c>
      <c r="F8" s="217" t="s">
        <v>107</v>
      </c>
      <c r="G8" s="195" t="e">
        <f t="shared" si="0"/>
        <v>#VALUE!</v>
      </c>
      <c r="H8" s="222" t="e">
        <f t="shared" si="3"/>
        <v>#VALUE!</v>
      </c>
      <c r="I8" s="191"/>
      <c r="K8" s="96">
        <v>1.2</v>
      </c>
      <c r="L8">
        <v>23.036999999999999</v>
      </c>
      <c r="M8" s="264">
        <f t="shared" si="1"/>
        <v>0.63757407769136965</v>
      </c>
      <c r="N8" s="97">
        <f t="shared" si="2"/>
        <v>0.76508889322964357</v>
      </c>
    </row>
    <row r="9" spans="1:15" s="1" customFormat="1" ht="17" thickBot="1" x14ac:dyDescent="0.25">
      <c r="A9" s="155">
        <v>6</v>
      </c>
      <c r="B9" s="194" t="str">
        <f>Cadastro!A8</f>
        <v>2025/14</v>
      </c>
      <c r="C9" s="202">
        <v>7.4999999999999997E-3</v>
      </c>
      <c r="D9" s="217">
        <v>75</v>
      </c>
      <c r="E9" s="217">
        <v>50</v>
      </c>
      <c r="F9" s="217">
        <v>30</v>
      </c>
      <c r="G9" s="195">
        <f t="shared" si="0"/>
        <v>0.52287874528033762</v>
      </c>
      <c r="H9" s="222">
        <f t="shared" si="3"/>
        <v>51.979629194748597</v>
      </c>
      <c r="I9" s="191"/>
      <c r="K9" s="98">
        <v>1.5</v>
      </c>
      <c r="L9" s="103">
        <v>16.588999999999999</v>
      </c>
      <c r="M9" s="264">
        <f t="shared" si="1"/>
        <v>0.78017979285276251</v>
      </c>
      <c r="N9" s="100">
        <f t="shared" si="2"/>
        <v>1.1702696892791438</v>
      </c>
    </row>
    <row r="10" spans="1:15" s="1" customFormat="1" ht="17" thickBot="1" x14ac:dyDescent="0.25">
      <c r="A10" s="155">
        <v>7</v>
      </c>
      <c r="B10" s="194" t="str">
        <f>Cadastro!A9</f>
        <v>2025/15</v>
      </c>
      <c r="C10" s="202">
        <v>7.4999999999999997E-3</v>
      </c>
      <c r="D10" s="217">
        <v>75</v>
      </c>
      <c r="E10" s="217">
        <v>50</v>
      </c>
      <c r="F10" s="217">
        <v>40</v>
      </c>
      <c r="G10" s="195">
        <f t="shared" si="0"/>
        <v>0.39794000867203771</v>
      </c>
      <c r="H10" s="222">
        <f>(G10-N$17)/N$16*E10</f>
        <v>39.792952020177871</v>
      </c>
      <c r="I10" s="191"/>
      <c r="K10"/>
      <c r="L10"/>
      <c r="M10" s="67" t="s">
        <v>54</v>
      </c>
      <c r="N10" s="68">
        <f>SUM(N4:N9)</f>
        <v>2.4922971690269105</v>
      </c>
    </row>
    <row r="11" spans="1:15" s="1" customFormat="1" ht="17" thickBot="1" x14ac:dyDescent="0.25">
      <c r="A11" s="155">
        <v>8</v>
      </c>
      <c r="B11" s="194" t="str">
        <f>Cadastro!A10</f>
        <v>2025/16</v>
      </c>
      <c r="C11" s="202">
        <v>7.4999999999999997E-3</v>
      </c>
      <c r="D11" s="217">
        <v>75</v>
      </c>
      <c r="E11" s="217">
        <v>50</v>
      </c>
      <c r="F11" s="217">
        <v>51.262999999999998</v>
      </c>
      <c r="G11" s="195">
        <f t="shared" si="0"/>
        <v>0.29019598173894878</v>
      </c>
      <c r="H11" s="222">
        <f t="shared" si="3"/>
        <v>29.283467857244695</v>
      </c>
      <c r="I11" s="191"/>
    </row>
    <row r="12" spans="1:15" s="1" customFormat="1" ht="16" x14ac:dyDescent="0.2">
      <c r="A12" s="155">
        <v>9</v>
      </c>
      <c r="B12" s="194" t="str">
        <f>Cadastro!A11</f>
        <v>2025/17</v>
      </c>
      <c r="C12" s="202">
        <v>7.4999999999999997E-3</v>
      </c>
      <c r="D12" s="217">
        <v>75</v>
      </c>
      <c r="E12" s="217">
        <v>50</v>
      </c>
      <c r="F12" s="217">
        <v>61.037999999999997</v>
      </c>
      <c r="G12" s="195">
        <f t="shared" si="0"/>
        <v>0.21439970511860773</v>
      </c>
      <c r="H12" s="222">
        <f t="shared" si="3"/>
        <v>21.890206333378799</v>
      </c>
      <c r="I12" s="191"/>
      <c r="K12" s="36" t="s">
        <v>49</v>
      </c>
      <c r="L12" s="37"/>
      <c r="M12" s="38">
        <f>SUM(K4:K9)</f>
        <v>4.5</v>
      </c>
      <c r="N12" s="37" t="s">
        <v>55</v>
      </c>
      <c r="O12" s="39">
        <f>N10</f>
        <v>2.4922971690269105</v>
      </c>
    </row>
    <row r="13" spans="1:15" s="1" customFormat="1" x14ac:dyDescent="0.2">
      <c r="A13" s="148">
        <v>10</v>
      </c>
      <c r="B13"/>
      <c r="C13"/>
      <c r="D13"/>
      <c r="E13"/>
      <c r="F13"/>
      <c r="G13"/>
      <c r="H13"/>
      <c r="I13"/>
      <c r="K13" s="40" t="s">
        <v>50</v>
      </c>
      <c r="L13" s="41"/>
      <c r="M13" s="42">
        <f>K4^2+K5^2+K6^2+K7^2+K8^2+K9^2</f>
        <v>4.95</v>
      </c>
      <c r="N13" s="41" t="s">
        <v>57</v>
      </c>
      <c r="O13" s="43">
        <f>AVERAGE(M4:M9)</f>
        <v>0.37443249104432441</v>
      </c>
    </row>
    <row r="14" spans="1:15" s="1" customFormat="1" x14ac:dyDescent="0.2">
      <c r="A14" s="148">
        <v>11</v>
      </c>
      <c r="B14"/>
      <c r="C14"/>
      <c r="D14"/>
      <c r="E14"/>
      <c r="F14"/>
      <c r="G14"/>
      <c r="H14"/>
      <c r="I14"/>
      <c r="K14" s="40" t="s">
        <v>51</v>
      </c>
      <c r="L14" s="41"/>
      <c r="M14" s="42">
        <f>SUM(K4:K9)^2</f>
        <v>20.25</v>
      </c>
      <c r="N14" s="44" t="s">
        <v>59</v>
      </c>
      <c r="O14" s="43">
        <f>AVERAGE(K4:K9)</f>
        <v>0.75</v>
      </c>
    </row>
    <row r="15" spans="1:15" s="1" customFormat="1" x14ac:dyDescent="0.2">
      <c r="A15" s="148">
        <v>12</v>
      </c>
      <c r="B15"/>
      <c r="C15"/>
      <c r="D15"/>
      <c r="E15"/>
      <c r="F15"/>
      <c r="G15"/>
      <c r="H15"/>
      <c r="I15"/>
      <c r="K15" s="58" t="s">
        <v>52</v>
      </c>
      <c r="L15" s="54"/>
      <c r="M15" s="52">
        <f>SUM(M4:M9)</f>
        <v>2.2465949462659465</v>
      </c>
      <c r="N15" s="52"/>
      <c r="O15" s="59"/>
    </row>
    <row r="16" spans="1:15" s="1" customFormat="1" x14ac:dyDescent="0.2">
      <c r="A16"/>
      <c r="B16"/>
      <c r="C16"/>
      <c r="D16"/>
      <c r="E16"/>
      <c r="F16"/>
      <c r="G16"/>
      <c r="H16"/>
      <c r="I16"/>
      <c r="K16" s="45"/>
      <c r="L16" s="42"/>
      <c r="M16" s="53" t="s">
        <v>56</v>
      </c>
      <c r="N16" s="51">
        <f>(O12-(M12*M15/6))/((M13-(M14/6)))</f>
        <v>0.51260378369996862</v>
      </c>
      <c r="O16" s="43"/>
    </row>
    <row r="17" spans="1:15" s="1" customFormat="1" ht="16" thickBot="1" x14ac:dyDescent="0.25">
      <c r="A17"/>
      <c r="B17"/>
      <c r="C17"/>
      <c r="D17"/>
      <c r="E17"/>
      <c r="F17"/>
      <c r="G17"/>
      <c r="H17"/>
      <c r="I17"/>
      <c r="K17" s="46"/>
      <c r="L17" s="47"/>
      <c r="M17" s="60" t="s">
        <v>58</v>
      </c>
      <c r="N17" s="61">
        <f>O13-(N16*O14)</f>
        <v>-1.0020346730652052E-2</v>
      </c>
      <c r="O17" s="48"/>
    </row>
    <row r="18" spans="1:15" s="1" customFormat="1" x14ac:dyDescent="0.2">
      <c r="A18"/>
      <c r="B18"/>
      <c r="C18"/>
      <c r="D18"/>
      <c r="E18"/>
      <c r="F18"/>
      <c r="G18"/>
      <c r="H18"/>
      <c r="I18"/>
    </row>
    <row r="26" spans="1:15" x14ac:dyDescent="0.2">
      <c r="M26" t="s">
        <v>221</v>
      </c>
    </row>
    <row r="27" spans="1:15" x14ac:dyDescent="0.2">
      <c r="M27" t="s">
        <v>222</v>
      </c>
    </row>
  </sheetData>
  <mergeCells count="2">
    <mergeCell ref="B1:H1"/>
    <mergeCell ref="K2:N2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"/>
  <sheetViews>
    <sheetView zoomScale="92" zoomScaleNormal="81" workbookViewId="0">
      <selection activeCell="F10" sqref="F10"/>
    </sheetView>
  </sheetViews>
  <sheetFormatPr baseColWidth="10" defaultColWidth="8.83203125" defaultRowHeight="15" x14ac:dyDescent="0.2"/>
  <cols>
    <col min="2" max="2" width="9.83203125" bestFit="1" customWidth="1"/>
    <col min="3" max="3" width="12.83203125" bestFit="1" customWidth="1"/>
    <col min="4" max="4" width="15.1640625" bestFit="1" customWidth="1"/>
    <col min="5" max="5" width="12.6640625" bestFit="1" customWidth="1"/>
    <col min="6" max="6" width="9.83203125" bestFit="1" customWidth="1"/>
    <col min="7" max="7" width="13.6640625" bestFit="1" customWidth="1"/>
    <col min="8" max="8" width="22.5" bestFit="1" customWidth="1"/>
    <col min="9" max="9" width="22.5" customWidth="1"/>
    <col min="12" max="12" width="9.5" bestFit="1" customWidth="1"/>
  </cols>
  <sheetData>
    <row r="1" spans="1:15" s="1" customFormat="1" ht="17" thickBot="1" x14ac:dyDescent="0.25">
      <c r="A1" s="148"/>
      <c r="B1" s="303" t="s">
        <v>93</v>
      </c>
      <c r="C1" s="304"/>
      <c r="D1" s="304"/>
      <c r="E1" s="304"/>
      <c r="F1" s="304"/>
      <c r="G1" s="304"/>
      <c r="H1" s="305"/>
      <c r="I1" s="187"/>
    </row>
    <row r="2" spans="1:15" s="1" customFormat="1" ht="16" x14ac:dyDescent="0.2">
      <c r="A2" s="105" t="s">
        <v>128</v>
      </c>
      <c r="B2" s="31" t="s">
        <v>39</v>
      </c>
      <c r="C2" s="31" t="s">
        <v>47</v>
      </c>
      <c r="D2" s="31" t="s">
        <v>41</v>
      </c>
      <c r="E2" s="31" t="s">
        <v>42</v>
      </c>
      <c r="F2" s="31" t="s">
        <v>68</v>
      </c>
      <c r="G2" s="31" t="s">
        <v>67</v>
      </c>
      <c r="H2" s="31" t="s">
        <v>48</v>
      </c>
      <c r="I2" s="189"/>
      <c r="K2" s="306" t="s">
        <v>45</v>
      </c>
      <c r="L2" s="307"/>
      <c r="M2" s="307"/>
      <c r="N2" s="308"/>
    </row>
    <row r="3" spans="1:15" s="1" customFormat="1" ht="16" x14ac:dyDescent="0.2">
      <c r="A3" s="155" t="s">
        <v>107</v>
      </c>
      <c r="B3" s="194" t="str">
        <f>Cadastro!A2</f>
        <v>*</v>
      </c>
      <c r="C3" s="195"/>
      <c r="D3" s="195"/>
      <c r="E3" s="195"/>
      <c r="F3" s="195"/>
      <c r="G3" s="195"/>
      <c r="H3" s="196" t="s">
        <v>107</v>
      </c>
      <c r="I3" s="188"/>
      <c r="K3" s="81" t="s">
        <v>71</v>
      </c>
      <c r="L3" s="82" t="s">
        <v>72</v>
      </c>
      <c r="M3" s="82" t="s">
        <v>70</v>
      </c>
      <c r="N3" s="83" t="s">
        <v>53</v>
      </c>
    </row>
    <row r="4" spans="1:15" s="1" customFormat="1" ht="16" x14ac:dyDescent="0.2">
      <c r="A4" s="180">
        <v>1</v>
      </c>
      <c r="B4" s="197" t="str">
        <f>Cadastro!A3</f>
        <v>Padrão A</v>
      </c>
      <c r="C4" s="201">
        <v>2.5000000000000001E-3</v>
      </c>
      <c r="D4" s="198">
        <v>50</v>
      </c>
      <c r="E4" s="198">
        <v>1</v>
      </c>
      <c r="F4" s="198" t="s">
        <v>107</v>
      </c>
      <c r="G4" s="198" t="e">
        <f t="shared" ref="G4:G15" si="0">2-LOG(F4)</f>
        <v>#VALUE!</v>
      </c>
      <c r="H4" s="198" t="e">
        <f t="shared" ref="H4:H8" si="1">((G4-N$20)/N$19)*E4*D4/1000/C4</f>
        <v>#VALUE!</v>
      </c>
      <c r="I4" s="188"/>
      <c r="K4" s="76">
        <v>0</v>
      </c>
      <c r="L4" s="151">
        <v>99.116669999999999</v>
      </c>
      <c r="M4" s="149">
        <f>2-LOG(L4)</f>
        <v>3.8532972788685171E-3</v>
      </c>
      <c r="N4" s="77">
        <f>K4*M4</f>
        <v>0</v>
      </c>
    </row>
    <row r="5" spans="1:15" s="1" customFormat="1" ht="16" x14ac:dyDescent="0.2">
      <c r="A5" s="180">
        <v>2</v>
      </c>
      <c r="B5" s="197" t="str">
        <f>Cadastro!A4</f>
        <v>Padrão B</v>
      </c>
      <c r="C5" s="201">
        <v>2.5000000000000001E-3</v>
      </c>
      <c r="D5" s="198">
        <v>50</v>
      </c>
      <c r="E5" s="198">
        <v>1</v>
      </c>
      <c r="F5" s="198" t="s">
        <v>107</v>
      </c>
      <c r="G5" s="198" t="e">
        <f t="shared" si="0"/>
        <v>#VALUE!</v>
      </c>
      <c r="H5" s="198" t="e">
        <f t="shared" si="1"/>
        <v>#VALUE!</v>
      </c>
      <c r="I5" s="188"/>
      <c r="K5" s="76">
        <v>0.8</v>
      </c>
      <c r="L5" s="151">
        <v>93.174999999999997</v>
      </c>
      <c r="M5" s="149">
        <f t="shared" ref="M5:M12" si="2">2-LOG(L5)</f>
        <v>3.0700598574122662E-2</v>
      </c>
      <c r="N5" s="77">
        <f t="shared" ref="N5:N12" si="3">K5*M5</f>
        <v>2.4560478859298129E-2</v>
      </c>
    </row>
    <row r="6" spans="1:15" s="1" customFormat="1" ht="16" x14ac:dyDescent="0.2">
      <c r="A6" s="155">
        <v>3</v>
      </c>
      <c r="B6" s="194" t="str">
        <f>Cadastro!A5</f>
        <v>P. Labas A</v>
      </c>
      <c r="C6" s="202">
        <v>2.5000000000000001E-3</v>
      </c>
      <c r="D6" s="195">
        <v>50</v>
      </c>
      <c r="E6" s="195">
        <v>1</v>
      </c>
      <c r="F6" s="195" t="s">
        <v>107</v>
      </c>
      <c r="G6" s="195" t="e">
        <f t="shared" si="0"/>
        <v>#VALUE!</v>
      </c>
      <c r="H6" s="196" t="e">
        <f t="shared" si="1"/>
        <v>#VALUE!</v>
      </c>
      <c r="I6" s="191"/>
      <c r="K6" s="76">
        <v>1.6</v>
      </c>
      <c r="L6" s="151">
        <v>87.3</v>
      </c>
      <c r="M6" s="149">
        <f t="shared" si="2"/>
        <v>5.8985756294430258E-2</v>
      </c>
      <c r="N6" s="77">
        <f t="shared" si="3"/>
        <v>9.4377210071088416E-2</v>
      </c>
    </row>
    <row r="7" spans="1:15" s="1" customFormat="1" ht="16" x14ac:dyDescent="0.2">
      <c r="A7" s="155">
        <v>4</v>
      </c>
      <c r="B7" s="194" t="str">
        <f>Cadastro!A6</f>
        <v>P. Labas B</v>
      </c>
      <c r="C7" s="202">
        <v>2.5000000000000001E-3</v>
      </c>
      <c r="D7" s="195">
        <v>50</v>
      </c>
      <c r="E7" s="195">
        <v>1</v>
      </c>
      <c r="F7" s="195" t="s">
        <v>107</v>
      </c>
      <c r="G7" s="195" t="e">
        <f t="shared" si="0"/>
        <v>#VALUE!</v>
      </c>
      <c r="H7" s="196" t="e">
        <f t="shared" si="1"/>
        <v>#VALUE!</v>
      </c>
      <c r="I7" s="191"/>
      <c r="K7" s="76">
        <v>2.4</v>
      </c>
      <c r="L7" s="151">
        <v>82.2</v>
      </c>
      <c r="M7" s="149">
        <f t="shared" si="2"/>
        <v>8.5128182459949686E-2</v>
      </c>
      <c r="N7" s="77">
        <f t="shared" si="3"/>
        <v>0.20430763790387924</v>
      </c>
    </row>
    <row r="8" spans="1:15" s="1" customFormat="1" ht="16" x14ac:dyDescent="0.2">
      <c r="A8" s="155">
        <v>5</v>
      </c>
      <c r="B8" s="194" t="str">
        <f>Cadastro!A7</f>
        <v>2025/13</v>
      </c>
      <c r="C8" s="202">
        <v>2.5000000000000001E-3</v>
      </c>
      <c r="D8" s="195">
        <v>50</v>
      </c>
      <c r="E8" s="195">
        <v>1</v>
      </c>
      <c r="F8" s="195">
        <v>40</v>
      </c>
      <c r="G8" s="195">
        <f t="shared" si="0"/>
        <v>0.39794000867203771</v>
      </c>
      <c r="H8" s="196">
        <f t="shared" si="1"/>
        <v>219.04024612348874</v>
      </c>
      <c r="I8" s="191"/>
      <c r="K8" s="76">
        <v>3.2</v>
      </c>
      <c r="L8" s="151">
        <v>76.5</v>
      </c>
      <c r="M8" s="149">
        <f t="shared" si="2"/>
        <v>0.11633856484638239</v>
      </c>
      <c r="N8" s="77">
        <f t="shared" si="3"/>
        <v>0.37228340750842365</v>
      </c>
    </row>
    <row r="9" spans="1:15" s="1" customFormat="1" ht="16" x14ac:dyDescent="0.2">
      <c r="A9" s="155">
        <v>6</v>
      </c>
      <c r="B9" s="194" t="str">
        <f>Cadastro!A8</f>
        <v>2025/14</v>
      </c>
      <c r="C9" s="202">
        <v>2.5000000000000001E-3</v>
      </c>
      <c r="D9" s="195">
        <v>50</v>
      </c>
      <c r="E9" s="195">
        <v>1</v>
      </c>
      <c r="F9" s="195">
        <v>30</v>
      </c>
      <c r="G9" s="195">
        <f t="shared" si="0"/>
        <v>0.52287874528033762</v>
      </c>
      <c r="H9" s="196">
        <f t="shared" ref="H9:H15" si="4">((G9-N$20)/N$19)*E9*D9/1000/C9</f>
        <v>287.92271685672625</v>
      </c>
      <c r="I9" s="191"/>
      <c r="K9" s="76">
        <v>4</v>
      </c>
      <c r="L9" s="151">
        <v>72.424999999999997</v>
      </c>
      <c r="M9" s="149">
        <f t="shared" si="2"/>
        <v>0.14011149612420071</v>
      </c>
      <c r="N9" s="77">
        <f t="shared" si="3"/>
        <v>0.56044598449680283</v>
      </c>
    </row>
    <row r="10" spans="1:15" s="1" customFormat="1" ht="16" x14ac:dyDescent="0.2">
      <c r="A10" s="155">
        <v>7</v>
      </c>
      <c r="B10" s="194" t="str">
        <f>Cadastro!A9</f>
        <v>2025/15</v>
      </c>
      <c r="C10" s="202">
        <v>2.5000000000000001E-3</v>
      </c>
      <c r="D10" s="195">
        <v>50</v>
      </c>
      <c r="E10" s="195">
        <v>1</v>
      </c>
      <c r="F10" s="195" t="s">
        <v>107</v>
      </c>
      <c r="G10" s="195" t="e">
        <f t="shared" si="0"/>
        <v>#VALUE!</v>
      </c>
      <c r="H10" s="196" t="e">
        <f t="shared" si="4"/>
        <v>#VALUE!</v>
      </c>
      <c r="I10" s="191"/>
      <c r="K10" s="76">
        <v>4.8</v>
      </c>
      <c r="L10" s="151">
        <v>67.75</v>
      </c>
      <c r="M10" s="149">
        <f t="shared" si="2"/>
        <v>0.16909070045355667</v>
      </c>
      <c r="N10" s="77">
        <f t="shared" si="3"/>
        <v>0.811635362177072</v>
      </c>
    </row>
    <row r="11" spans="1:15" s="1" customFormat="1" ht="16" x14ac:dyDescent="0.2">
      <c r="A11" s="155">
        <v>8</v>
      </c>
      <c r="B11" s="194" t="str">
        <f>Cadastro!A10</f>
        <v>2025/16</v>
      </c>
      <c r="C11" s="202">
        <v>2.5000000000000001E-3</v>
      </c>
      <c r="D11" s="195">
        <v>50</v>
      </c>
      <c r="E11" s="195">
        <v>1</v>
      </c>
      <c r="F11" s="195" t="s">
        <v>107</v>
      </c>
      <c r="G11" s="195" t="e">
        <f t="shared" si="0"/>
        <v>#VALUE!</v>
      </c>
      <c r="H11" s="196" t="e">
        <f t="shared" si="4"/>
        <v>#VALUE!</v>
      </c>
      <c r="I11" s="191"/>
      <c r="K11" s="76">
        <v>5.6</v>
      </c>
      <c r="L11" s="151">
        <v>61.4</v>
      </c>
      <c r="M11" s="149">
        <f t="shared" si="2"/>
        <v>0.21183162885883222</v>
      </c>
      <c r="N11" s="77">
        <f t="shared" si="3"/>
        <v>1.1862571216094604</v>
      </c>
    </row>
    <row r="12" spans="1:15" s="1" customFormat="1" ht="17" thickBot="1" x14ac:dyDescent="0.25">
      <c r="A12" s="155">
        <v>9</v>
      </c>
      <c r="B12" s="194" t="str">
        <f>Cadastro!A11</f>
        <v>2025/17</v>
      </c>
      <c r="C12" s="202">
        <v>2.5000000000000001E-3</v>
      </c>
      <c r="D12" s="195">
        <v>50</v>
      </c>
      <c r="E12" s="195">
        <v>1</v>
      </c>
      <c r="F12" s="195" t="s">
        <v>107</v>
      </c>
      <c r="G12" s="195" t="e">
        <f t="shared" si="0"/>
        <v>#VALUE!</v>
      </c>
      <c r="H12" s="196" t="e">
        <f t="shared" si="4"/>
        <v>#VALUE!</v>
      </c>
      <c r="I12" s="191"/>
      <c r="K12" s="78">
        <v>6.4</v>
      </c>
      <c r="L12" s="152">
        <v>58.274999999999999</v>
      </c>
      <c r="M12" s="150">
        <f t="shared" si="2"/>
        <v>0.23451771780738562</v>
      </c>
      <c r="N12" s="79">
        <f t="shared" si="3"/>
        <v>1.5009133939672681</v>
      </c>
    </row>
    <row r="13" spans="1:15" s="1" customFormat="1" ht="17" thickBot="1" x14ac:dyDescent="0.25">
      <c r="A13" s="155">
        <v>10</v>
      </c>
      <c r="B13" s="194" t="str">
        <f>Cadastro!A12</f>
        <v>2025/18</v>
      </c>
      <c r="C13" s="202">
        <v>2.5000000000000001E-3</v>
      </c>
      <c r="D13" s="195">
        <v>50</v>
      </c>
      <c r="E13" s="195">
        <v>1</v>
      </c>
      <c r="F13" s="195" t="s">
        <v>107</v>
      </c>
      <c r="G13" s="195" t="e">
        <f t="shared" si="0"/>
        <v>#VALUE!</v>
      </c>
      <c r="H13" s="196" t="e">
        <f t="shared" si="4"/>
        <v>#VALUE!</v>
      </c>
      <c r="I13" s="191"/>
      <c r="K13"/>
      <c r="L13"/>
      <c r="M13" s="80" t="s">
        <v>54</v>
      </c>
      <c r="N13" s="68">
        <f>SUM(N4:N12)</f>
        <v>4.7547805965932932</v>
      </c>
    </row>
    <row r="14" spans="1:15" s="1" customFormat="1" ht="17" thickBot="1" x14ac:dyDescent="0.25">
      <c r="A14" s="155">
        <v>11</v>
      </c>
      <c r="B14" s="194" t="str">
        <f>Cadastro!A13</f>
        <v>2025/19</v>
      </c>
      <c r="C14" s="202">
        <v>2.5000000000000001E-3</v>
      </c>
      <c r="D14" s="195">
        <v>50</v>
      </c>
      <c r="E14" s="195">
        <v>1</v>
      </c>
      <c r="F14" s="195" t="s">
        <v>107</v>
      </c>
      <c r="G14" s="195" t="e">
        <f t="shared" si="0"/>
        <v>#VALUE!</v>
      </c>
      <c r="H14" s="196" t="e">
        <f t="shared" si="4"/>
        <v>#VALUE!</v>
      </c>
      <c r="I14" s="191"/>
    </row>
    <row r="15" spans="1:15" s="1" customFormat="1" ht="16" x14ac:dyDescent="0.2">
      <c r="A15" s="155">
        <v>12</v>
      </c>
      <c r="B15" s="194" t="str">
        <f>Cadastro!A14</f>
        <v>2025/20</v>
      </c>
      <c r="C15" s="202">
        <v>2.5000000000000001E-3</v>
      </c>
      <c r="D15" s="195">
        <v>50</v>
      </c>
      <c r="E15" s="195">
        <v>1</v>
      </c>
      <c r="F15" s="195" t="s">
        <v>107</v>
      </c>
      <c r="G15" s="195" t="e">
        <f t="shared" si="0"/>
        <v>#VALUE!</v>
      </c>
      <c r="H15" s="196" t="e">
        <f t="shared" si="4"/>
        <v>#VALUE!</v>
      </c>
      <c r="I15" s="191"/>
      <c r="K15" s="36" t="s">
        <v>49</v>
      </c>
      <c r="L15" s="37"/>
      <c r="M15" s="38">
        <f>SUM(K4:K12)</f>
        <v>28.799999999999997</v>
      </c>
      <c r="N15" s="37" t="s">
        <v>55</v>
      </c>
      <c r="O15" s="39">
        <f>N13</f>
        <v>4.7547805965932932</v>
      </c>
    </row>
    <row r="16" spans="1:15" s="1" customFormat="1" x14ac:dyDescent="0.2">
      <c r="A16"/>
      <c r="B16"/>
      <c r="C16"/>
      <c r="D16"/>
      <c r="E16"/>
      <c r="F16"/>
      <c r="G16"/>
      <c r="H16"/>
      <c r="I16"/>
      <c r="K16" s="40" t="s">
        <v>50</v>
      </c>
      <c r="L16" s="41"/>
      <c r="M16" s="42">
        <f>K4^2+K5^2+K6^2+K7^2+K8^2+K9^2+K10^2+K11^2+K12^2</f>
        <v>130.56</v>
      </c>
      <c r="N16" s="41" t="s">
        <v>57</v>
      </c>
      <c r="O16" s="43">
        <f>AVERAGE(M4:M12)</f>
        <v>0.11672866029974764</v>
      </c>
    </row>
    <row r="17" spans="1:15" s="1" customFormat="1" x14ac:dyDescent="0.2">
      <c r="A17"/>
      <c r="B17"/>
      <c r="C17"/>
      <c r="D17"/>
      <c r="E17"/>
      <c r="F17"/>
      <c r="G17"/>
      <c r="H17"/>
      <c r="I17"/>
      <c r="K17" s="40" t="s">
        <v>51</v>
      </c>
      <c r="L17" s="41"/>
      <c r="M17" s="42">
        <f>SUM(K4:K12)^2</f>
        <v>829.43999999999983</v>
      </c>
      <c r="N17" s="44" t="s">
        <v>59</v>
      </c>
      <c r="O17" s="43">
        <f>AVERAGE(K4:K12)</f>
        <v>3.1999999999999997</v>
      </c>
    </row>
    <row r="18" spans="1:15" s="1" customFormat="1" x14ac:dyDescent="0.2">
      <c r="A18"/>
      <c r="B18"/>
      <c r="C18"/>
      <c r="D18"/>
      <c r="E18"/>
      <c r="F18"/>
      <c r="G18"/>
      <c r="H18"/>
      <c r="I18"/>
      <c r="K18" s="58" t="s">
        <v>52</v>
      </c>
      <c r="L18" s="54"/>
      <c r="M18" s="52">
        <f>SUM(M4:M12)</f>
        <v>1.0505579426977287</v>
      </c>
      <c r="N18" s="52"/>
      <c r="O18" s="59"/>
    </row>
    <row r="19" spans="1:15" s="1" customFormat="1" x14ac:dyDescent="0.2">
      <c r="A19"/>
      <c r="B19"/>
      <c r="C19"/>
      <c r="D19"/>
      <c r="E19"/>
      <c r="F19"/>
      <c r="G19"/>
      <c r="H19"/>
      <c r="I19"/>
      <c r="K19" s="45"/>
      <c r="L19" s="42"/>
      <c r="M19" s="53" t="s">
        <v>56</v>
      </c>
      <c r="N19" s="55">
        <f>(O15-(M15*M18/9))/((M16-(M17/9)))</f>
        <v>3.6275916144806269E-2</v>
      </c>
      <c r="O19" s="43"/>
    </row>
    <row r="20" spans="1:15" s="1" customFormat="1" ht="16" thickBot="1" x14ac:dyDescent="0.25">
      <c r="A20"/>
      <c r="B20"/>
      <c r="C20"/>
      <c r="D20"/>
      <c r="E20"/>
      <c r="F20"/>
      <c r="G20"/>
      <c r="H20"/>
      <c r="I20"/>
      <c r="K20" s="46"/>
      <c r="L20" s="47"/>
      <c r="M20" s="60" t="s">
        <v>58</v>
      </c>
      <c r="N20" s="63">
        <f>O16-(N19*O17)</f>
        <v>6.4572863636758182E-4</v>
      </c>
      <c r="O20" s="48"/>
    </row>
    <row r="21" spans="1:15" s="1" customFormat="1" x14ac:dyDescent="0.2">
      <c r="A21"/>
      <c r="B21"/>
      <c r="C21"/>
      <c r="D21"/>
      <c r="E21"/>
      <c r="F21"/>
      <c r="G21"/>
      <c r="H21"/>
      <c r="I21"/>
    </row>
  </sheetData>
  <mergeCells count="2">
    <mergeCell ref="B1:H1"/>
    <mergeCell ref="K2:N2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9"/>
  <sheetViews>
    <sheetView workbookViewId="0">
      <selection activeCell="A9" sqref="A9:XFD9"/>
    </sheetView>
  </sheetViews>
  <sheetFormatPr baseColWidth="10" defaultColWidth="8.83203125" defaultRowHeight="15" x14ac:dyDescent="0.2"/>
  <cols>
    <col min="2" max="2" width="16.6640625" customWidth="1"/>
    <col min="3" max="3" width="12.1640625" bestFit="1" customWidth="1"/>
    <col min="4" max="4" width="14.6640625" bestFit="1" customWidth="1"/>
    <col min="5" max="5" width="12.1640625" bestFit="1" customWidth="1"/>
    <col min="6" max="6" width="12.6640625" bestFit="1" customWidth="1"/>
    <col min="7" max="7" width="21.83203125" bestFit="1" customWidth="1"/>
    <col min="8" max="8" width="21.83203125" customWidth="1"/>
  </cols>
  <sheetData>
    <row r="1" spans="1:13" s="1" customFormat="1" ht="20" thickBot="1" x14ac:dyDescent="0.3">
      <c r="A1" s="148"/>
      <c r="B1" s="312" t="s">
        <v>38</v>
      </c>
      <c r="C1" s="312"/>
      <c r="D1" s="312"/>
      <c r="E1" s="312"/>
      <c r="F1" s="312"/>
      <c r="G1" s="312"/>
      <c r="H1"/>
      <c r="I1"/>
    </row>
    <row r="2" spans="1:13" s="1" customFormat="1" x14ac:dyDescent="0.2">
      <c r="A2" s="105" t="s">
        <v>128</v>
      </c>
      <c r="B2" s="82" t="s">
        <v>39</v>
      </c>
      <c r="C2" s="82" t="s">
        <v>47</v>
      </c>
      <c r="D2" s="82" t="s">
        <v>41</v>
      </c>
      <c r="E2" s="82" t="s">
        <v>42</v>
      </c>
      <c r="F2" s="82" t="s">
        <v>43</v>
      </c>
      <c r="G2" s="156" t="s">
        <v>44</v>
      </c>
      <c r="H2"/>
      <c r="I2"/>
      <c r="J2" s="309" t="s">
        <v>45</v>
      </c>
      <c r="K2" s="310"/>
      <c r="L2" s="311"/>
    </row>
    <row r="3" spans="1:13" s="1" customFormat="1" ht="16" x14ac:dyDescent="0.2">
      <c r="A3" s="194" t="s">
        <v>107</v>
      </c>
      <c r="B3" s="194" t="str">
        <f>Cadastro!A2</f>
        <v>*</v>
      </c>
      <c r="C3" s="217"/>
      <c r="D3" s="217"/>
      <c r="E3" s="217"/>
      <c r="F3" s="195" t="s">
        <v>107</v>
      </c>
      <c r="G3" s="196" t="s">
        <v>107</v>
      </c>
      <c r="H3"/>
      <c r="I3"/>
      <c r="J3" s="86" t="s">
        <v>46</v>
      </c>
      <c r="K3" s="64" t="s">
        <v>40</v>
      </c>
      <c r="L3" s="87" t="s">
        <v>53</v>
      </c>
    </row>
    <row r="4" spans="1:13" s="1" customFormat="1" ht="16" x14ac:dyDescent="0.2">
      <c r="A4" s="197">
        <v>0</v>
      </c>
      <c r="B4" s="197" t="str">
        <f>Cadastro!A3</f>
        <v>Padrão A</v>
      </c>
      <c r="C4" s="215">
        <v>5.0000000000000001E-3</v>
      </c>
      <c r="D4" s="198">
        <v>50</v>
      </c>
      <c r="E4" s="198">
        <v>1</v>
      </c>
      <c r="F4" s="198" t="s">
        <v>133</v>
      </c>
      <c r="G4" s="198">
        <v>7</v>
      </c>
      <c r="H4"/>
      <c r="I4"/>
      <c r="J4" s="88">
        <v>0</v>
      </c>
      <c r="K4" s="32">
        <v>0</v>
      </c>
      <c r="L4" s="89">
        <f>J4*K4</f>
        <v>0</v>
      </c>
    </row>
    <row r="5" spans="1:13" s="1" customFormat="1" ht="16" x14ac:dyDescent="0.2">
      <c r="A5" s="197">
        <v>0</v>
      </c>
      <c r="B5" s="197" t="str">
        <f>Cadastro!A4</f>
        <v>Padrão B</v>
      </c>
      <c r="C5" s="215">
        <v>5.0000000000000001E-3</v>
      </c>
      <c r="D5" s="198">
        <v>50</v>
      </c>
      <c r="E5" s="198">
        <v>1</v>
      </c>
      <c r="F5" s="198" t="s">
        <v>133</v>
      </c>
      <c r="G5" s="198">
        <v>50</v>
      </c>
      <c r="H5"/>
      <c r="I5"/>
      <c r="J5" s="88">
        <v>4</v>
      </c>
      <c r="K5" s="32">
        <v>18</v>
      </c>
      <c r="L5" s="89">
        <f t="shared" ref="L5:L9" si="0">J5*K5</f>
        <v>72</v>
      </c>
    </row>
    <row r="6" spans="1:13" s="1" customFormat="1" ht="16" x14ac:dyDescent="0.2">
      <c r="A6" s="194">
        <v>0</v>
      </c>
      <c r="B6" s="194" t="str">
        <f>Cadastro!A5</f>
        <v>P. Labas A</v>
      </c>
      <c r="C6" s="231">
        <v>5.0000000000000001E-3</v>
      </c>
      <c r="D6" s="217">
        <v>50</v>
      </c>
      <c r="E6" s="217">
        <v>1</v>
      </c>
      <c r="F6" s="195">
        <v>2</v>
      </c>
      <c r="G6" s="196">
        <f>((F6-L$17)/L$16)*E6*D6/1000/C6</f>
        <v>1.5108593012275822</v>
      </c>
      <c r="H6"/>
      <c r="I6"/>
      <c r="J6" s="88">
        <v>8</v>
      </c>
      <c r="K6" s="32">
        <v>48</v>
      </c>
      <c r="L6" s="89">
        <f t="shared" si="0"/>
        <v>384</v>
      </c>
    </row>
    <row r="7" spans="1:13" s="1" customFormat="1" ht="16" x14ac:dyDescent="0.2">
      <c r="A7" s="194">
        <v>0</v>
      </c>
      <c r="B7" s="194" t="str">
        <f>Cadastro!A6</f>
        <v>P. Labas B</v>
      </c>
      <c r="C7" s="231">
        <v>5.0000000000000001E-3</v>
      </c>
      <c r="D7" s="217">
        <v>50</v>
      </c>
      <c r="E7" s="217">
        <v>1</v>
      </c>
      <c r="F7" s="195">
        <v>20</v>
      </c>
      <c r="G7" s="196">
        <f t="shared" ref="G7:G17" si="1">((F7-L$17)/L$16)*E7*D7/1000/C7</f>
        <v>37.204910292728997</v>
      </c>
      <c r="H7"/>
      <c r="I7"/>
      <c r="J7" s="88">
        <v>12</v>
      </c>
      <c r="K7" s="32">
        <v>62</v>
      </c>
      <c r="L7" s="89">
        <f t="shared" si="0"/>
        <v>744</v>
      </c>
    </row>
    <row r="8" spans="1:13" s="1" customFormat="1" ht="16" x14ac:dyDescent="0.2">
      <c r="A8" s="194">
        <v>1</v>
      </c>
      <c r="B8" s="194" t="str">
        <f>Cadastro!A7</f>
        <v>2025/13</v>
      </c>
      <c r="C8" s="231">
        <v>5.0000000000000001E-3</v>
      </c>
      <c r="D8" s="217">
        <v>50</v>
      </c>
      <c r="E8" s="217">
        <v>1</v>
      </c>
      <c r="F8" s="195">
        <v>27</v>
      </c>
      <c r="G8" s="196">
        <f t="shared" si="1"/>
        <v>51.085930122757325</v>
      </c>
      <c r="H8"/>
      <c r="I8"/>
      <c r="J8" s="88">
        <v>16</v>
      </c>
      <c r="K8" s="32">
        <v>82</v>
      </c>
      <c r="L8" s="89">
        <f t="shared" si="0"/>
        <v>1312</v>
      </c>
    </row>
    <row r="9" spans="1:13" s="1" customFormat="1" ht="17" thickBot="1" x14ac:dyDescent="0.25">
      <c r="A9" s="194">
        <v>2</v>
      </c>
      <c r="B9" s="194" t="str">
        <f>Cadastro!A8</f>
        <v>2025/14</v>
      </c>
      <c r="C9" s="231">
        <v>5.0000000000000001E-3</v>
      </c>
      <c r="D9" s="217">
        <v>50</v>
      </c>
      <c r="E9" s="217">
        <v>1</v>
      </c>
      <c r="F9" s="195">
        <v>34</v>
      </c>
      <c r="G9" s="196">
        <f t="shared" si="1"/>
        <v>64.966949952785654</v>
      </c>
      <c r="H9"/>
      <c r="I9"/>
      <c r="J9" s="90">
        <v>20</v>
      </c>
      <c r="K9" s="91">
        <v>100</v>
      </c>
      <c r="L9" s="92">
        <f t="shared" si="0"/>
        <v>2000</v>
      </c>
    </row>
    <row r="10" spans="1:13" s="1" customFormat="1" ht="17" thickBot="1" x14ac:dyDescent="0.25">
      <c r="A10" s="194">
        <v>3</v>
      </c>
      <c r="B10" s="194" t="str">
        <f>Cadastro!A9</f>
        <v>2025/15</v>
      </c>
      <c r="C10" s="231">
        <v>5.0000000000000001E-3</v>
      </c>
      <c r="D10" s="217">
        <v>50</v>
      </c>
      <c r="E10" s="217">
        <v>1</v>
      </c>
      <c r="F10" s="195">
        <v>18</v>
      </c>
      <c r="G10" s="196">
        <f t="shared" si="1"/>
        <v>33.238904627006612</v>
      </c>
      <c r="H10"/>
      <c r="I10"/>
      <c r="J10"/>
      <c r="K10" s="80" t="s">
        <v>54</v>
      </c>
      <c r="L10" s="68">
        <f>SUM(L4:L9)</f>
        <v>4512</v>
      </c>
    </row>
    <row r="11" spans="1:13" s="1" customFormat="1" ht="17" thickBot="1" x14ac:dyDescent="0.25">
      <c r="A11" s="194">
        <v>4</v>
      </c>
      <c r="B11" s="194" t="str">
        <f>Cadastro!A10</f>
        <v>2025/16</v>
      </c>
      <c r="C11" s="231">
        <v>5.0000000000000001E-3</v>
      </c>
      <c r="D11" s="217">
        <v>50</v>
      </c>
      <c r="E11" s="217">
        <v>1</v>
      </c>
      <c r="F11" s="195">
        <v>62</v>
      </c>
      <c r="G11" s="196">
        <f t="shared" si="1"/>
        <v>120.49102927289898</v>
      </c>
      <c r="H11"/>
      <c r="I11"/>
    </row>
    <row r="12" spans="1:13" s="1" customFormat="1" ht="16" x14ac:dyDescent="0.2">
      <c r="A12" s="194">
        <v>5</v>
      </c>
      <c r="B12" s="194" t="str">
        <f>Cadastro!A11</f>
        <v>2025/17</v>
      </c>
      <c r="C12" s="231">
        <v>5.0000000000000001E-3</v>
      </c>
      <c r="D12" s="217">
        <v>50</v>
      </c>
      <c r="E12" s="217">
        <v>1</v>
      </c>
      <c r="F12" s="195">
        <v>78</v>
      </c>
      <c r="G12" s="196">
        <f t="shared" si="1"/>
        <v>152.21907459867799</v>
      </c>
      <c r="H12"/>
      <c r="I12"/>
      <c r="J12" s="36" t="s">
        <v>49</v>
      </c>
      <c r="K12" s="38">
        <f>SUM(J4:J9)</f>
        <v>60</v>
      </c>
      <c r="L12" s="37" t="s">
        <v>55</v>
      </c>
      <c r="M12" s="39">
        <f>L10</f>
        <v>4512</v>
      </c>
    </row>
    <row r="13" spans="1:13" s="1" customFormat="1" ht="16" x14ac:dyDescent="0.2">
      <c r="A13" s="194">
        <v>6</v>
      </c>
      <c r="B13" s="194" t="str">
        <f>Cadastro!A12</f>
        <v>2025/18</v>
      </c>
      <c r="C13" s="231">
        <v>5.0000000000000001E-3</v>
      </c>
      <c r="D13" s="217">
        <v>50</v>
      </c>
      <c r="E13" s="217">
        <v>1</v>
      </c>
      <c r="F13" s="195">
        <v>23</v>
      </c>
      <c r="G13" s="196">
        <f t="shared" si="1"/>
        <v>43.15391879131257</v>
      </c>
      <c r="H13"/>
      <c r="I13"/>
      <c r="J13" s="40" t="s">
        <v>50</v>
      </c>
      <c r="K13" s="42">
        <f>J4^2+J5^2+J6^2+J7^2+J8^2+J9^2</f>
        <v>880</v>
      </c>
      <c r="L13" s="41" t="s">
        <v>57</v>
      </c>
      <c r="M13" s="43">
        <f>AVERAGE(K4:K9)</f>
        <v>51.666666666666664</v>
      </c>
    </row>
    <row r="14" spans="1:13" ht="16" x14ac:dyDescent="0.2">
      <c r="A14" s="194">
        <v>7</v>
      </c>
      <c r="B14" s="194" t="str">
        <f>Cadastro!A13</f>
        <v>2025/19</v>
      </c>
      <c r="C14" s="231">
        <v>5.0000000000000001E-3</v>
      </c>
      <c r="D14" s="217">
        <v>50</v>
      </c>
      <c r="E14" s="217">
        <v>1</v>
      </c>
      <c r="F14" s="195">
        <v>53</v>
      </c>
      <c r="G14" s="196">
        <f t="shared" si="1"/>
        <v>102.64400377714826</v>
      </c>
      <c r="J14" s="40" t="s">
        <v>51</v>
      </c>
      <c r="K14" s="42">
        <f>SUM(J4:J9)^2</f>
        <v>3600</v>
      </c>
      <c r="L14" s="44" t="s">
        <v>59</v>
      </c>
      <c r="M14" s="43">
        <f>AVERAGE(J4:J9)</f>
        <v>10</v>
      </c>
    </row>
    <row r="15" spans="1:13" ht="16" x14ac:dyDescent="0.2">
      <c r="A15" s="194">
        <v>8</v>
      </c>
      <c r="B15" s="194" t="str">
        <f>Cadastro!A14</f>
        <v>2025/20</v>
      </c>
      <c r="C15" s="231">
        <v>5.0000000000000001E-3</v>
      </c>
      <c r="D15" s="217">
        <v>50</v>
      </c>
      <c r="E15" s="217">
        <v>1</v>
      </c>
      <c r="F15" s="195">
        <v>48</v>
      </c>
      <c r="G15" s="196">
        <f t="shared" si="1"/>
        <v>92.728989612842327</v>
      </c>
      <c r="J15" s="58" t="s">
        <v>52</v>
      </c>
      <c r="K15" s="52">
        <f>SUM(K4:K9)</f>
        <v>310</v>
      </c>
      <c r="L15" s="52"/>
      <c r="M15" s="59"/>
    </row>
    <row r="16" spans="1:13" s="1" customFormat="1" ht="16" x14ac:dyDescent="0.2">
      <c r="A16" s="194">
        <v>9</v>
      </c>
      <c r="B16" s="194" t="str">
        <f>Cadastro!A15</f>
        <v>2025/21</v>
      </c>
      <c r="C16" s="231">
        <v>5.0000000000000001E-3</v>
      </c>
      <c r="D16" s="217">
        <v>50</v>
      </c>
      <c r="E16" s="217">
        <v>1</v>
      </c>
      <c r="F16" s="195">
        <v>35</v>
      </c>
      <c r="G16" s="196">
        <f t="shared" si="1"/>
        <v>66.949952785646843</v>
      </c>
      <c r="H16"/>
      <c r="I16"/>
      <c r="J16" s="45"/>
      <c r="K16" s="49" t="s">
        <v>56</v>
      </c>
      <c r="L16" s="57">
        <f>(M12-(K12*K15/6))/((K13-(K14/6)))</f>
        <v>5.0428571428571427</v>
      </c>
      <c r="M16" s="43"/>
    </row>
    <row r="17" spans="1:13" s="1" customFormat="1" ht="17" thickBot="1" x14ac:dyDescent="0.25">
      <c r="A17" s="194">
        <v>10</v>
      </c>
      <c r="B17" s="194" t="str">
        <f>Cadastro!A16</f>
        <v>2025/22</v>
      </c>
      <c r="C17" s="231">
        <v>5.0000000000000001E-3</v>
      </c>
      <c r="D17" s="217">
        <v>50</v>
      </c>
      <c r="E17" s="217">
        <v>1</v>
      </c>
      <c r="F17" s="195">
        <v>30</v>
      </c>
      <c r="G17" s="196">
        <f t="shared" si="1"/>
        <v>57.034938621340892</v>
      </c>
      <c r="H17"/>
      <c r="I17"/>
      <c r="J17" s="46"/>
      <c r="K17" s="60" t="s">
        <v>58</v>
      </c>
      <c r="L17" s="62">
        <f>M13-(L16*M14)</f>
        <v>1.2380952380952337</v>
      </c>
      <c r="M17" s="48"/>
    </row>
    <row r="18" spans="1:13" s="1" customFormat="1" x14ac:dyDescent="0.2">
      <c r="A18"/>
      <c r="B18"/>
      <c r="C18"/>
      <c r="D18"/>
      <c r="E18"/>
      <c r="F18"/>
      <c r="G18"/>
      <c r="H18"/>
      <c r="I18"/>
    </row>
    <row r="19" spans="1:13" s="1" customFormat="1" x14ac:dyDescent="0.2">
      <c r="A19"/>
      <c r="B19"/>
      <c r="C19"/>
      <c r="D19"/>
      <c r="E19"/>
      <c r="F19"/>
      <c r="G19"/>
      <c r="H19"/>
      <c r="I19"/>
    </row>
  </sheetData>
  <mergeCells count="2">
    <mergeCell ref="J2:L2"/>
    <mergeCell ref="B1:G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"/>
  <sheetViews>
    <sheetView workbookViewId="0">
      <selection activeCell="F10" sqref="F10"/>
    </sheetView>
  </sheetViews>
  <sheetFormatPr baseColWidth="10" defaultColWidth="8.83203125" defaultRowHeight="15" x14ac:dyDescent="0.2"/>
  <cols>
    <col min="3" max="3" width="12.1640625" bestFit="1" customWidth="1"/>
    <col min="4" max="4" width="14.6640625" bestFit="1" customWidth="1"/>
    <col min="5" max="5" width="12.1640625" bestFit="1" customWidth="1"/>
    <col min="6" max="6" width="12.6640625" bestFit="1" customWidth="1"/>
    <col min="7" max="7" width="21.83203125" bestFit="1" customWidth="1"/>
    <col min="8" max="8" width="21.83203125" customWidth="1"/>
  </cols>
  <sheetData>
    <row r="1" spans="1:13" s="1" customFormat="1" ht="19" x14ac:dyDescent="0.25">
      <c r="A1" s="148"/>
      <c r="B1" s="312" t="s">
        <v>94</v>
      </c>
      <c r="C1" s="312"/>
      <c r="D1" s="312"/>
      <c r="E1" s="312"/>
      <c r="F1" s="312"/>
      <c r="G1" s="312"/>
      <c r="H1" s="186"/>
    </row>
    <row r="2" spans="1:13" s="1" customFormat="1" x14ac:dyDescent="0.2">
      <c r="A2" s="105" t="s">
        <v>128</v>
      </c>
      <c r="B2" s="35" t="s">
        <v>39</v>
      </c>
      <c r="C2" s="35" t="s">
        <v>47</v>
      </c>
      <c r="D2" s="35" t="s">
        <v>41</v>
      </c>
      <c r="E2" s="35" t="s">
        <v>42</v>
      </c>
      <c r="F2" s="35" t="s">
        <v>43</v>
      </c>
      <c r="G2" s="35" t="s">
        <v>73</v>
      </c>
      <c r="H2" s="190"/>
      <c r="J2" s="313" t="s">
        <v>45</v>
      </c>
      <c r="K2" s="314"/>
      <c r="L2" s="315"/>
    </row>
    <row r="3" spans="1:13" s="1" customFormat="1" ht="17" thickBot="1" x14ac:dyDescent="0.25">
      <c r="A3" s="194" t="s">
        <v>107</v>
      </c>
      <c r="B3" s="211" t="str">
        <f>Cadastro!A2</f>
        <v>*</v>
      </c>
      <c r="C3" s="213"/>
      <c r="D3" s="213"/>
      <c r="E3" s="213"/>
      <c r="F3" s="212"/>
      <c r="G3" s="214" t="s">
        <v>107</v>
      </c>
      <c r="H3" s="191"/>
      <c r="J3" s="34" t="s">
        <v>74</v>
      </c>
      <c r="K3" s="65" t="s">
        <v>40</v>
      </c>
      <c r="L3" s="101" t="s">
        <v>53</v>
      </c>
    </row>
    <row r="4" spans="1:13" s="1" customFormat="1" ht="16" x14ac:dyDescent="0.2">
      <c r="A4" s="197">
        <v>1</v>
      </c>
      <c r="B4" s="226" t="str">
        <f>Cadastro!A3</f>
        <v>Padrão A</v>
      </c>
      <c r="C4" s="227">
        <v>5.0000000000000001E-3</v>
      </c>
      <c r="D4" s="228">
        <v>50</v>
      </c>
      <c r="E4" s="228">
        <v>1</v>
      </c>
      <c r="F4" s="228"/>
      <c r="G4" s="228">
        <v>0</v>
      </c>
      <c r="H4" s="191"/>
      <c r="J4" s="93">
        <v>0</v>
      </c>
      <c r="K4" s="94">
        <v>0</v>
      </c>
      <c r="L4" s="95">
        <f>J4*K4</f>
        <v>0</v>
      </c>
    </row>
    <row r="5" spans="1:13" s="1" customFormat="1" ht="16" x14ac:dyDescent="0.2">
      <c r="A5" s="197">
        <v>2</v>
      </c>
      <c r="B5" s="226" t="str">
        <f>Cadastro!A4</f>
        <v>Padrão B</v>
      </c>
      <c r="C5" s="227">
        <v>5.0000000000000001E-3</v>
      </c>
      <c r="D5" s="228">
        <v>50</v>
      </c>
      <c r="E5" s="228">
        <v>1</v>
      </c>
      <c r="F5" s="228"/>
      <c r="G5" s="228">
        <v>3.8</v>
      </c>
      <c r="H5" s="191"/>
      <c r="J5" s="96">
        <v>20</v>
      </c>
      <c r="K5" s="6">
        <v>18</v>
      </c>
      <c r="L5" s="97">
        <f t="shared" ref="L5:L9" si="0">J5*K5</f>
        <v>360</v>
      </c>
    </row>
    <row r="6" spans="1:13" s="1" customFormat="1" ht="16" x14ac:dyDescent="0.2">
      <c r="A6" s="194">
        <v>3</v>
      </c>
      <c r="B6" s="211" t="str">
        <f>Cadastro!A5</f>
        <v>P. Labas A</v>
      </c>
      <c r="C6" s="229">
        <v>5.0000000000000001E-3</v>
      </c>
      <c r="D6" s="213">
        <v>50</v>
      </c>
      <c r="E6" s="213">
        <v>1</v>
      </c>
      <c r="F6" s="212"/>
      <c r="G6" s="214">
        <f>((F6-L$17)/L$16)*E6*D6/1000/C6</f>
        <v>12.363290537327584</v>
      </c>
      <c r="H6" s="230"/>
      <c r="J6" s="96">
        <v>40</v>
      </c>
      <c r="K6" s="6">
        <v>39</v>
      </c>
      <c r="L6" s="97">
        <f t="shared" si="0"/>
        <v>1560</v>
      </c>
    </row>
    <row r="7" spans="1:13" s="1" customFormat="1" ht="16" x14ac:dyDescent="0.2">
      <c r="A7" s="194">
        <v>4</v>
      </c>
      <c r="B7" s="211" t="str">
        <f>Cadastro!A6</f>
        <v>P. Labas B</v>
      </c>
      <c r="C7" s="229">
        <v>5.0000000000000001E-3</v>
      </c>
      <c r="D7" s="213">
        <v>50</v>
      </c>
      <c r="E7" s="213">
        <v>1</v>
      </c>
      <c r="F7" s="212"/>
      <c r="G7" s="214">
        <f t="shared" ref="G7:G18" si="1">((F7-L$17)/L$16)*E7*D7/1000/C7</f>
        <v>12.363290537327584</v>
      </c>
      <c r="H7" s="230"/>
      <c r="J7" s="96">
        <v>60</v>
      </c>
      <c r="K7" s="6">
        <v>57</v>
      </c>
      <c r="L7" s="97">
        <f t="shared" si="0"/>
        <v>3420</v>
      </c>
    </row>
    <row r="8" spans="1:13" s="1" customFormat="1" ht="16" x14ac:dyDescent="0.2">
      <c r="A8" s="194">
        <v>5</v>
      </c>
      <c r="B8" s="211" t="str">
        <f>Cadastro!A7</f>
        <v>2025/13</v>
      </c>
      <c r="C8" s="229">
        <v>5.0000000000000001E-3</v>
      </c>
      <c r="D8" s="213">
        <v>50</v>
      </c>
      <c r="E8" s="213">
        <v>1</v>
      </c>
      <c r="F8" s="263">
        <v>40</v>
      </c>
      <c r="G8" s="214">
        <f t="shared" si="1"/>
        <v>411.79267712791244</v>
      </c>
      <c r="H8" s="230"/>
      <c r="J8" s="96">
        <v>80</v>
      </c>
      <c r="K8" s="6">
        <v>79</v>
      </c>
      <c r="L8" s="97">
        <f t="shared" si="0"/>
        <v>6320</v>
      </c>
    </row>
    <row r="9" spans="1:13" s="1" customFormat="1" ht="17" thickBot="1" x14ac:dyDescent="0.25">
      <c r="A9" s="194">
        <v>6</v>
      </c>
      <c r="B9" s="211" t="str">
        <f>Cadastro!A8</f>
        <v>2025/14</v>
      </c>
      <c r="C9" s="229">
        <v>5.0000000000000001E-3</v>
      </c>
      <c r="D9" s="213">
        <v>50</v>
      </c>
      <c r="E9" s="213">
        <v>1</v>
      </c>
      <c r="F9" s="212">
        <v>30</v>
      </c>
      <c r="G9" s="214">
        <f t="shared" si="1"/>
        <v>311.93533048026626</v>
      </c>
      <c r="H9" s="230"/>
      <c r="J9" s="98">
        <v>100</v>
      </c>
      <c r="K9" s="99">
        <v>100</v>
      </c>
      <c r="L9" s="100">
        <f t="shared" si="0"/>
        <v>10000</v>
      </c>
    </row>
    <row r="10" spans="1:13" s="1" customFormat="1" ht="17" thickBot="1" x14ac:dyDescent="0.25">
      <c r="A10" s="194">
        <v>7</v>
      </c>
      <c r="B10" s="211" t="str">
        <f>Cadastro!A9</f>
        <v>2025/15</v>
      </c>
      <c r="C10" s="229">
        <v>5.0000000000000001E-3</v>
      </c>
      <c r="D10" s="213">
        <v>50</v>
      </c>
      <c r="E10" s="213">
        <v>1</v>
      </c>
      <c r="F10" s="212"/>
      <c r="G10" s="214">
        <f t="shared" si="1"/>
        <v>12.363290537327584</v>
      </c>
      <c r="H10" s="230"/>
      <c r="J10"/>
      <c r="K10" s="80" t="s">
        <v>54</v>
      </c>
      <c r="L10" s="68">
        <f>SUM(L4:L9)</f>
        <v>21660</v>
      </c>
    </row>
    <row r="11" spans="1:13" s="1" customFormat="1" ht="17" thickBot="1" x14ac:dyDescent="0.25">
      <c r="A11" s="194">
        <v>8</v>
      </c>
      <c r="B11" s="211" t="str">
        <f>Cadastro!A10</f>
        <v>2025/16</v>
      </c>
      <c r="C11" s="229">
        <v>5.0000000000000001E-3</v>
      </c>
      <c r="D11" s="213">
        <v>50</v>
      </c>
      <c r="E11" s="213">
        <v>1</v>
      </c>
      <c r="F11" s="212"/>
      <c r="G11" s="214">
        <f t="shared" si="1"/>
        <v>12.363290537327584</v>
      </c>
      <c r="H11" s="230"/>
    </row>
    <row r="12" spans="1:13" s="1" customFormat="1" ht="16" x14ac:dyDescent="0.2">
      <c r="A12" s="194">
        <v>9</v>
      </c>
      <c r="B12" s="211" t="str">
        <f>Cadastro!A11</f>
        <v>2025/17</v>
      </c>
      <c r="C12" s="229">
        <v>5.0000000000000001E-3</v>
      </c>
      <c r="D12" s="213">
        <v>50</v>
      </c>
      <c r="E12" s="213">
        <v>1</v>
      </c>
      <c r="F12" s="212"/>
      <c r="G12" s="214">
        <f t="shared" si="1"/>
        <v>12.363290537327584</v>
      </c>
      <c r="H12" s="230"/>
      <c r="J12" s="36" t="s">
        <v>49</v>
      </c>
      <c r="K12" s="38">
        <f>SUM(J4:J9)</f>
        <v>300</v>
      </c>
      <c r="L12" s="37" t="s">
        <v>55</v>
      </c>
      <c r="M12" s="39">
        <f>L10</f>
        <v>21660</v>
      </c>
    </row>
    <row r="13" spans="1:13" s="1" customFormat="1" ht="16" x14ac:dyDescent="0.2">
      <c r="A13" s="194">
        <v>10</v>
      </c>
      <c r="B13" s="211" t="str">
        <f>Cadastro!A12</f>
        <v>2025/18</v>
      </c>
      <c r="C13" s="229">
        <v>5.0000000000000001E-3</v>
      </c>
      <c r="D13" s="213">
        <v>50</v>
      </c>
      <c r="E13" s="213">
        <v>1</v>
      </c>
      <c r="F13" s="212"/>
      <c r="G13" s="214">
        <f t="shared" si="1"/>
        <v>12.363290537327584</v>
      </c>
      <c r="H13" s="230"/>
      <c r="J13" s="40" t="s">
        <v>50</v>
      </c>
      <c r="K13" s="42">
        <f>J4^2+J5^2+J6^2+J7^2+J8^2+J9^2</f>
        <v>22000</v>
      </c>
      <c r="L13" s="41" t="s">
        <v>57</v>
      </c>
      <c r="M13" s="43">
        <f>AVERAGE(K4:K9)</f>
        <v>48.833333333333336</v>
      </c>
    </row>
    <row r="14" spans="1:13" s="1" customFormat="1" ht="16" x14ac:dyDescent="0.2">
      <c r="A14" s="194">
        <v>11</v>
      </c>
      <c r="B14" s="211" t="str">
        <f>Cadastro!A13</f>
        <v>2025/19</v>
      </c>
      <c r="C14" s="229">
        <v>5.0000000000000001E-3</v>
      </c>
      <c r="D14" s="213">
        <v>50</v>
      </c>
      <c r="E14" s="213">
        <v>1</v>
      </c>
      <c r="F14" s="212"/>
      <c r="G14" s="214">
        <f t="shared" si="1"/>
        <v>12.363290537327584</v>
      </c>
      <c r="H14" s="230"/>
      <c r="J14" s="40" t="s">
        <v>51</v>
      </c>
      <c r="K14" s="42">
        <f>SUM(J4:J9)^2</f>
        <v>90000</v>
      </c>
      <c r="L14" s="44" t="s">
        <v>59</v>
      </c>
      <c r="M14" s="43">
        <f>AVERAGE(J4:J9)</f>
        <v>50</v>
      </c>
    </row>
    <row r="15" spans="1:13" s="1" customFormat="1" ht="16" x14ac:dyDescent="0.2">
      <c r="A15" s="194">
        <v>12</v>
      </c>
      <c r="B15" s="211" t="str">
        <f>Cadastro!A14</f>
        <v>2025/20</v>
      </c>
      <c r="C15" s="229">
        <v>5.0000000000000001E-3</v>
      </c>
      <c r="D15" s="213">
        <v>50</v>
      </c>
      <c r="E15" s="213">
        <v>1</v>
      </c>
      <c r="F15" s="212"/>
      <c r="G15" s="214">
        <f t="shared" si="1"/>
        <v>12.363290537327584</v>
      </c>
      <c r="H15" s="230"/>
      <c r="J15" s="58" t="s">
        <v>52</v>
      </c>
      <c r="K15" s="52">
        <f>SUM(K4:K9)</f>
        <v>293</v>
      </c>
      <c r="L15" s="52"/>
      <c r="M15" s="59"/>
    </row>
    <row r="16" spans="1:13" s="1" customFormat="1" ht="16" x14ac:dyDescent="0.2">
      <c r="A16" s="194">
        <v>13</v>
      </c>
      <c r="B16" s="211" t="str">
        <f>Cadastro!A15</f>
        <v>2025/21</v>
      </c>
      <c r="C16" s="229">
        <v>5.0000000000000001E-3</v>
      </c>
      <c r="D16" s="213">
        <v>50</v>
      </c>
      <c r="E16" s="213">
        <v>1</v>
      </c>
      <c r="F16" s="212"/>
      <c r="G16" s="214">
        <f t="shared" si="1"/>
        <v>12.363290537327584</v>
      </c>
      <c r="H16" s="230"/>
      <c r="J16" s="45"/>
      <c r="K16" s="49" t="s">
        <v>56</v>
      </c>
      <c r="L16" s="57">
        <f>(M12-(K12*K15/6))/((K13-(K14/6)))</f>
        <v>1.0014285714285713</v>
      </c>
      <c r="M16" s="43"/>
    </row>
    <row r="17" spans="1:17" s="1" customFormat="1" ht="17" thickBot="1" x14ac:dyDescent="0.25">
      <c r="A17" s="194">
        <v>14</v>
      </c>
      <c r="B17" s="211" t="str">
        <f>Cadastro!A16</f>
        <v>2025/22</v>
      </c>
      <c r="C17" s="229">
        <v>5.0000000000000001E-3</v>
      </c>
      <c r="D17" s="213">
        <v>50</v>
      </c>
      <c r="E17" s="213">
        <v>1</v>
      </c>
      <c r="F17" s="212"/>
      <c r="G17" s="214">
        <f t="shared" si="1"/>
        <v>12.363290537327584</v>
      </c>
      <c r="H17" s="230"/>
      <c r="J17" s="46"/>
      <c r="K17" s="60" t="s">
        <v>58</v>
      </c>
      <c r="L17" s="62">
        <f>M13-(L16*M14)</f>
        <v>-1.2380952380952337</v>
      </c>
      <c r="M17" s="48"/>
    </row>
    <row r="18" spans="1:17" s="1" customFormat="1" ht="16" x14ac:dyDescent="0.2">
      <c r="A18" s="194">
        <v>15</v>
      </c>
      <c r="B18" s="211">
        <f>Cadastro!A17</f>
        <v>0</v>
      </c>
      <c r="C18" s="229">
        <v>5.0000000000000001E-3</v>
      </c>
      <c r="D18" s="213">
        <v>50</v>
      </c>
      <c r="E18" s="213">
        <v>1</v>
      </c>
      <c r="F18" s="212"/>
      <c r="G18" s="214">
        <f t="shared" si="1"/>
        <v>12.363290537327584</v>
      </c>
      <c r="H18" s="230"/>
    </row>
    <row r="30" spans="1:17" x14ac:dyDescent="0.2">
      <c r="Q30" t="s">
        <v>220</v>
      </c>
    </row>
  </sheetData>
  <mergeCells count="2">
    <mergeCell ref="J2:L2"/>
    <mergeCell ref="B1:G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zoomScaleNormal="160" workbookViewId="0">
      <selection activeCell="A9" sqref="A9:XFD9"/>
    </sheetView>
  </sheetViews>
  <sheetFormatPr baseColWidth="10" defaultColWidth="8.83203125" defaultRowHeight="15" x14ac:dyDescent="0.2"/>
  <cols>
    <col min="2" max="2" width="21" customWidth="1"/>
    <col min="3" max="3" width="26.6640625" bestFit="1" customWidth="1"/>
  </cols>
  <sheetData>
    <row r="1" spans="1:6" ht="19" x14ac:dyDescent="0.25">
      <c r="A1" s="148"/>
      <c r="B1" s="316" t="s">
        <v>77</v>
      </c>
      <c r="C1" s="317"/>
      <c r="D1" s="317"/>
      <c r="E1" s="317"/>
    </row>
    <row r="2" spans="1:6" x14ac:dyDescent="0.2">
      <c r="A2" s="105" t="s">
        <v>128</v>
      </c>
      <c r="B2" s="35" t="s">
        <v>39</v>
      </c>
      <c r="C2" s="35" t="s">
        <v>78</v>
      </c>
      <c r="D2" s="189" t="s">
        <v>198</v>
      </c>
      <c r="E2" s="1"/>
    </row>
    <row r="3" spans="1:6" ht="16" x14ac:dyDescent="0.2">
      <c r="A3" s="148" t="s">
        <v>107</v>
      </c>
      <c r="B3" s="211" t="s">
        <v>157</v>
      </c>
      <c r="C3" s="286">
        <v>0.05</v>
      </c>
      <c r="D3" s="261"/>
      <c r="E3" s="1"/>
      <c r="F3" t="s">
        <v>200</v>
      </c>
    </row>
    <row r="4" spans="1:6" ht="16" x14ac:dyDescent="0.2">
      <c r="A4" s="182">
        <v>1</v>
      </c>
      <c r="B4" s="226" t="str">
        <f>Cadastro!A3</f>
        <v>Padrão A</v>
      </c>
      <c r="C4" s="228">
        <v>0.41</v>
      </c>
      <c r="D4" s="191"/>
      <c r="E4" s="1"/>
      <c r="F4" t="s">
        <v>199</v>
      </c>
    </row>
    <row r="5" spans="1:6" ht="16" x14ac:dyDescent="0.2">
      <c r="A5" s="182">
        <v>2</v>
      </c>
      <c r="B5" s="226" t="str">
        <f>Cadastro!A4</f>
        <v>Padrão B</v>
      </c>
      <c r="C5" s="228">
        <v>0</v>
      </c>
      <c r="D5" s="191"/>
      <c r="E5" s="1"/>
    </row>
    <row r="6" spans="1:6" ht="16" x14ac:dyDescent="0.2">
      <c r="A6" s="148">
        <v>3</v>
      </c>
      <c r="B6" s="211" t="str">
        <f>Cadastro!A5</f>
        <v>P. Labas A</v>
      </c>
      <c r="C6" s="213">
        <v>0.39</v>
      </c>
      <c r="D6" s="191">
        <f>C6-C$3</f>
        <v>0.34</v>
      </c>
      <c r="E6" s="1"/>
    </row>
    <row r="7" spans="1:6" ht="16" x14ac:dyDescent="0.2">
      <c r="A7" s="148">
        <v>4</v>
      </c>
      <c r="B7" s="211" t="str">
        <f>Cadastro!A6</f>
        <v>P. Labas B</v>
      </c>
      <c r="C7" s="213">
        <v>0.5</v>
      </c>
      <c r="D7" s="191">
        <f t="shared" ref="D7:D17" si="0">C7-C$3</f>
        <v>0.45</v>
      </c>
      <c r="E7" s="1"/>
    </row>
    <row r="8" spans="1:6" ht="16" x14ac:dyDescent="0.2">
      <c r="A8" s="148">
        <v>5</v>
      </c>
      <c r="B8" s="211" t="str">
        <f>Cadastro!A7</f>
        <v>2025/13</v>
      </c>
      <c r="C8" s="213">
        <v>0.48</v>
      </c>
      <c r="D8" s="191">
        <f t="shared" si="0"/>
        <v>0.43</v>
      </c>
      <c r="E8" s="1"/>
    </row>
    <row r="9" spans="1:6" ht="16" x14ac:dyDescent="0.2">
      <c r="A9" s="148">
        <v>6</v>
      </c>
      <c r="B9" s="211" t="str">
        <f>Cadastro!A8</f>
        <v>2025/14</v>
      </c>
      <c r="C9" s="213">
        <v>0</v>
      </c>
      <c r="D9" s="191">
        <f t="shared" si="0"/>
        <v>-0.05</v>
      </c>
      <c r="E9" s="1"/>
    </row>
    <row r="10" spans="1:6" ht="16" x14ac:dyDescent="0.2">
      <c r="A10" s="148">
        <v>7</v>
      </c>
      <c r="B10" s="211" t="str">
        <f>Cadastro!A9</f>
        <v>2025/15</v>
      </c>
      <c r="C10" s="213">
        <v>0</v>
      </c>
      <c r="D10" s="191">
        <f t="shared" si="0"/>
        <v>-0.05</v>
      </c>
      <c r="E10" s="1"/>
    </row>
    <row r="11" spans="1:6" ht="16" x14ac:dyDescent="0.2">
      <c r="A11" s="148">
        <v>8</v>
      </c>
      <c r="B11" s="211" t="str">
        <f>Cadastro!A10</f>
        <v>2025/16</v>
      </c>
      <c r="C11" s="213">
        <v>0</v>
      </c>
      <c r="D11" s="191">
        <f t="shared" si="0"/>
        <v>-0.05</v>
      </c>
      <c r="E11" s="1"/>
    </row>
    <row r="12" spans="1:6" ht="16" x14ac:dyDescent="0.2">
      <c r="A12" s="148">
        <v>9</v>
      </c>
      <c r="B12" s="211" t="str">
        <f>Cadastro!A11</f>
        <v>2025/17</v>
      </c>
      <c r="C12" s="213">
        <v>0</v>
      </c>
      <c r="D12" s="191">
        <f t="shared" si="0"/>
        <v>-0.05</v>
      </c>
      <c r="E12" s="1"/>
    </row>
    <row r="13" spans="1:6" ht="16" x14ac:dyDescent="0.2">
      <c r="A13" s="148">
        <v>10</v>
      </c>
      <c r="B13" s="211" t="str">
        <f>Cadastro!A12</f>
        <v>2025/18</v>
      </c>
      <c r="C13" s="213">
        <v>0</v>
      </c>
      <c r="D13" s="191">
        <f t="shared" si="0"/>
        <v>-0.05</v>
      </c>
      <c r="E13" s="1"/>
    </row>
    <row r="14" spans="1:6" ht="16" x14ac:dyDescent="0.2">
      <c r="A14" s="148">
        <v>11</v>
      </c>
      <c r="B14" s="211" t="str">
        <f>Cadastro!A13</f>
        <v>2025/19</v>
      </c>
      <c r="C14" s="213">
        <v>0</v>
      </c>
      <c r="D14" s="191">
        <f t="shared" si="0"/>
        <v>-0.05</v>
      </c>
      <c r="E14" s="1"/>
    </row>
    <row r="15" spans="1:6" ht="16" x14ac:dyDescent="0.2">
      <c r="A15" s="148">
        <v>12</v>
      </c>
      <c r="B15" s="211" t="str">
        <f>Cadastro!A14</f>
        <v>2025/20</v>
      </c>
      <c r="C15" s="213">
        <v>0</v>
      </c>
      <c r="D15" s="191">
        <f t="shared" si="0"/>
        <v>-0.05</v>
      </c>
      <c r="E15" s="1"/>
    </row>
    <row r="16" spans="1:6" ht="16" x14ac:dyDescent="0.2">
      <c r="A16" s="148">
        <v>13</v>
      </c>
      <c r="B16" s="211" t="str">
        <f>Cadastro!A15</f>
        <v>2025/21</v>
      </c>
      <c r="C16" s="213">
        <v>0</v>
      </c>
      <c r="D16" s="191">
        <f t="shared" si="0"/>
        <v>-0.05</v>
      </c>
      <c r="E16" s="1"/>
    </row>
    <row r="17" spans="1:5" ht="16" x14ac:dyDescent="0.2">
      <c r="A17" s="148">
        <v>14</v>
      </c>
      <c r="B17" s="211" t="str">
        <f>Cadastro!A16</f>
        <v>2025/22</v>
      </c>
      <c r="C17" s="213">
        <v>0</v>
      </c>
      <c r="D17" s="191">
        <f t="shared" si="0"/>
        <v>-0.05</v>
      </c>
      <c r="E17" s="1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zoomScale="150" workbookViewId="0">
      <selection activeCell="C3" sqref="C3"/>
    </sheetView>
  </sheetViews>
  <sheetFormatPr baseColWidth="10" defaultColWidth="8.83203125" defaultRowHeight="15" x14ac:dyDescent="0.2"/>
  <cols>
    <col min="2" max="2" width="15" customWidth="1"/>
    <col min="3" max="3" width="13.6640625" bestFit="1" customWidth="1"/>
    <col min="4" max="4" width="22.5" bestFit="1" customWidth="1"/>
  </cols>
  <sheetData>
    <row r="1" spans="1:6" ht="16" x14ac:dyDescent="0.2">
      <c r="A1" s="27"/>
      <c r="B1" s="318" t="s">
        <v>158</v>
      </c>
      <c r="C1" s="319"/>
      <c r="D1" s="320"/>
      <c r="F1" t="s">
        <v>201</v>
      </c>
    </row>
    <row r="2" spans="1:6" ht="16" x14ac:dyDescent="0.2">
      <c r="A2" s="30" t="s">
        <v>128</v>
      </c>
      <c r="B2" s="29" t="s">
        <v>39</v>
      </c>
      <c r="C2" s="223" t="s">
        <v>22</v>
      </c>
      <c r="D2" s="29" t="s">
        <v>198</v>
      </c>
    </row>
    <row r="3" spans="1:6" ht="16" x14ac:dyDescent="0.2">
      <c r="A3" s="28" t="s">
        <v>107</v>
      </c>
      <c r="B3" s="224" t="s">
        <v>157</v>
      </c>
      <c r="C3" s="225">
        <v>0.05</v>
      </c>
      <c r="D3" s="262" t="s">
        <v>219</v>
      </c>
    </row>
    <row r="4" spans="1:6" ht="16" x14ac:dyDescent="0.2">
      <c r="A4" s="180">
        <v>1</v>
      </c>
      <c r="B4" s="197" t="str">
        <f>Cadastro!A3</f>
        <v>Padrão A</v>
      </c>
      <c r="C4" s="198">
        <v>2.8</v>
      </c>
      <c r="D4" s="198"/>
    </row>
    <row r="5" spans="1:6" ht="16" x14ac:dyDescent="0.2">
      <c r="A5" s="180">
        <v>2</v>
      </c>
      <c r="B5" s="197" t="str">
        <f>Cadastro!A4</f>
        <v>Padrão B</v>
      </c>
      <c r="C5" s="198">
        <v>2.9</v>
      </c>
      <c r="D5" s="198"/>
    </row>
    <row r="6" spans="1:6" ht="16" x14ac:dyDescent="0.2">
      <c r="A6" s="28">
        <v>3</v>
      </c>
      <c r="B6" s="194" t="str">
        <f>Cadastro!A5</f>
        <v>P. Labas A</v>
      </c>
      <c r="C6" s="217">
        <v>1.2123555361976124</v>
      </c>
      <c r="D6" s="217">
        <f>C6-C$3</f>
        <v>1.1623555361976123</v>
      </c>
    </row>
    <row r="7" spans="1:6" ht="16" x14ac:dyDescent="0.2">
      <c r="A7" s="28">
        <v>4</v>
      </c>
      <c r="B7" s="194" t="str">
        <f>Cadastro!A6</f>
        <v>P. Labas B</v>
      </c>
      <c r="C7" s="217">
        <v>1.4718718521606269</v>
      </c>
      <c r="D7" s="217">
        <f t="shared" ref="D7:D17" si="0">C7-C$3</f>
        <v>1.4218718521606268</v>
      </c>
    </row>
    <row r="8" spans="1:6" ht="16" x14ac:dyDescent="0.2">
      <c r="A8" s="28">
        <v>5</v>
      </c>
      <c r="B8" s="194" t="str">
        <f>Cadastro!A7</f>
        <v>2025/13</v>
      </c>
      <c r="C8" s="217">
        <v>1.4718718521606269</v>
      </c>
      <c r="D8" s="217">
        <f t="shared" si="0"/>
        <v>1.4218718521606268</v>
      </c>
    </row>
    <row r="9" spans="1:6" ht="16" x14ac:dyDescent="0.2">
      <c r="A9" s="28">
        <v>6</v>
      </c>
      <c r="B9" s="194" t="str">
        <f>Cadastro!A8</f>
        <v>2025/14</v>
      </c>
      <c r="C9" s="217">
        <v>0.49433345135938378</v>
      </c>
      <c r="D9" s="217">
        <f t="shared" si="0"/>
        <v>0.44433345135938379</v>
      </c>
    </row>
    <row r="10" spans="1:6" ht="16" x14ac:dyDescent="0.2">
      <c r="A10" s="28">
        <v>7</v>
      </c>
      <c r="B10" s="194" t="str">
        <f>Cadastro!A9</f>
        <v>2025/15</v>
      </c>
      <c r="C10" s="217">
        <v>0.84271359462401396</v>
      </c>
      <c r="D10" s="217">
        <f t="shared" si="0"/>
        <v>0.79271359462401392</v>
      </c>
    </row>
    <row r="11" spans="1:6" ht="16" x14ac:dyDescent="0.2">
      <c r="A11" s="28">
        <v>8</v>
      </c>
      <c r="B11" s="194" t="str">
        <f>Cadastro!A10</f>
        <v>2025/16</v>
      </c>
      <c r="C11" s="217">
        <v>0.82252669154678215</v>
      </c>
      <c r="D11" s="217">
        <f t="shared" si="0"/>
        <v>0.77252669154678211</v>
      </c>
    </row>
    <row r="12" spans="1:6" ht="16" x14ac:dyDescent="0.2">
      <c r="A12" s="28">
        <v>9</v>
      </c>
      <c r="B12" s="194" t="str">
        <f>Cadastro!A11</f>
        <v>2025/17</v>
      </c>
      <c r="C12" s="217">
        <v>0.50646565518082898</v>
      </c>
      <c r="D12" s="217">
        <f t="shared" si="0"/>
        <v>0.45646565518082899</v>
      </c>
    </row>
    <row r="13" spans="1:6" ht="16" x14ac:dyDescent="0.2">
      <c r="A13" s="28">
        <v>10</v>
      </c>
      <c r="B13" s="194" t="str">
        <f>Cadastro!A12</f>
        <v>2025/18</v>
      </c>
      <c r="C13" s="217">
        <v>0.84271359462401396</v>
      </c>
      <c r="D13" s="217">
        <f t="shared" si="0"/>
        <v>0.79271359462401392</v>
      </c>
    </row>
    <row r="14" spans="1:6" ht="16" x14ac:dyDescent="0.2">
      <c r="A14" s="28">
        <v>11</v>
      </c>
      <c r="B14" s="194" t="str">
        <f>Cadastro!A13</f>
        <v>2025/19</v>
      </c>
      <c r="C14" s="217">
        <v>0.58577387685420057</v>
      </c>
      <c r="D14" s="217">
        <f t="shared" si="0"/>
        <v>0.53577387685420053</v>
      </c>
    </row>
    <row r="15" spans="1:6" ht="16" x14ac:dyDescent="0.2">
      <c r="A15" s="28">
        <v>12</v>
      </c>
      <c r="B15" s="194" t="str">
        <f>Cadastro!A14</f>
        <v>2025/20</v>
      </c>
      <c r="C15" s="217">
        <v>0.88458587437330238</v>
      </c>
      <c r="D15" s="217">
        <f t="shared" si="0"/>
        <v>0.83458587437330234</v>
      </c>
    </row>
    <row r="16" spans="1:6" ht="16" x14ac:dyDescent="0.2">
      <c r="A16" s="28">
        <v>13</v>
      </c>
      <c r="B16" s="194" t="str">
        <f>Cadastro!A15</f>
        <v>2025/21</v>
      </c>
      <c r="C16" s="217">
        <v>1.183313992474462</v>
      </c>
      <c r="D16" s="217">
        <f t="shared" si="0"/>
        <v>1.133313992474462</v>
      </c>
    </row>
    <row r="17" spans="1:4" ht="16" x14ac:dyDescent="0.2">
      <c r="A17" s="28">
        <v>14</v>
      </c>
      <c r="B17" s="194" t="str">
        <f>Cadastro!A16</f>
        <v>2025/22</v>
      </c>
      <c r="C17" s="217">
        <v>1.2725943771171231</v>
      </c>
      <c r="D17" s="217">
        <f t="shared" si="0"/>
        <v>1.222594377117123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9"/>
  <sheetViews>
    <sheetView topLeftCell="B1" zoomScale="115" zoomScaleNormal="115" workbookViewId="0">
      <selection activeCell="A9" sqref="A9:XFD9"/>
    </sheetView>
  </sheetViews>
  <sheetFormatPr baseColWidth="10" defaultColWidth="8.83203125" defaultRowHeight="15" x14ac:dyDescent="0.2"/>
  <cols>
    <col min="2" max="2" width="17.83203125" customWidth="1"/>
    <col min="3" max="3" width="12.83203125" bestFit="1" customWidth="1"/>
    <col min="4" max="4" width="15.1640625" bestFit="1" customWidth="1"/>
    <col min="5" max="5" width="12.6640625" bestFit="1" customWidth="1"/>
    <col min="6" max="6" width="9.83203125" bestFit="1" customWidth="1"/>
    <col min="7" max="7" width="13.6640625" bestFit="1" customWidth="1"/>
    <col min="8" max="8" width="22.5" bestFit="1" customWidth="1"/>
    <col min="9" max="9" width="22.5" customWidth="1"/>
  </cols>
  <sheetData>
    <row r="1" spans="1:15" s="1" customFormat="1" ht="17" thickBot="1" x14ac:dyDescent="0.25">
      <c r="A1" s="148"/>
      <c r="B1" s="318" t="s">
        <v>111</v>
      </c>
      <c r="C1" s="319"/>
      <c r="D1" s="319"/>
      <c r="E1" s="319"/>
      <c r="F1" s="319"/>
      <c r="G1" s="319"/>
      <c r="H1" s="320"/>
      <c r="I1"/>
      <c r="J1"/>
    </row>
    <row r="2" spans="1:15" s="1" customFormat="1" ht="16" x14ac:dyDescent="0.2">
      <c r="A2" s="30" t="s">
        <v>128</v>
      </c>
      <c r="B2" s="210" t="s">
        <v>39</v>
      </c>
      <c r="C2" s="210" t="s">
        <v>47</v>
      </c>
      <c r="D2" s="210" t="s">
        <v>41</v>
      </c>
      <c r="E2" s="210" t="s">
        <v>42</v>
      </c>
      <c r="F2" s="210" t="s">
        <v>68</v>
      </c>
      <c r="G2" s="210" t="s">
        <v>67</v>
      </c>
      <c r="H2" s="210" t="s">
        <v>112</v>
      </c>
      <c r="I2"/>
      <c r="J2"/>
      <c r="K2" s="297" t="s">
        <v>45</v>
      </c>
      <c r="L2" s="298"/>
      <c r="M2" s="298"/>
      <c r="N2" s="299"/>
    </row>
    <row r="3" spans="1:15" s="1" customFormat="1" ht="16" x14ac:dyDescent="0.2">
      <c r="A3" s="155" t="s">
        <v>107</v>
      </c>
      <c r="B3" s="194" t="str">
        <f>Cadastro!A2</f>
        <v>*</v>
      </c>
      <c r="C3" s="195">
        <v>0.01</v>
      </c>
      <c r="D3" s="195">
        <v>20</v>
      </c>
      <c r="E3" s="217">
        <v>1.5</v>
      </c>
      <c r="F3" s="217" t="s">
        <v>107</v>
      </c>
      <c r="G3" s="195" t="s">
        <v>107</v>
      </c>
      <c r="H3" s="217" t="s">
        <v>107</v>
      </c>
      <c r="I3"/>
      <c r="J3"/>
      <c r="K3" s="69" t="s">
        <v>120</v>
      </c>
      <c r="L3" s="65" t="s">
        <v>81</v>
      </c>
      <c r="M3" s="65" t="s">
        <v>82</v>
      </c>
      <c r="N3" s="70" t="s">
        <v>53</v>
      </c>
    </row>
    <row r="4" spans="1:15" s="1" customFormat="1" ht="16" x14ac:dyDescent="0.2">
      <c r="A4" s="180">
        <v>1</v>
      </c>
      <c r="B4" s="197" t="str">
        <f>Cadastro!A3</f>
        <v>Padrão A</v>
      </c>
      <c r="C4" s="198">
        <v>0.01</v>
      </c>
      <c r="D4" s="198">
        <v>20</v>
      </c>
      <c r="E4" s="198">
        <v>1.5</v>
      </c>
      <c r="F4" s="198" t="s">
        <v>133</v>
      </c>
      <c r="G4" s="198" t="s">
        <v>133</v>
      </c>
      <c r="H4" s="198">
        <v>0.31</v>
      </c>
      <c r="I4"/>
      <c r="J4"/>
      <c r="K4" s="71">
        <v>0</v>
      </c>
      <c r="L4" s="66">
        <v>99.997</v>
      </c>
      <c r="M4" s="66">
        <f t="shared" ref="M4:M9" si="0">2-LOG(L4)</f>
        <v>1.3029029893418809E-5</v>
      </c>
      <c r="N4" s="72">
        <f t="shared" ref="N4:N9" si="1">K4*M4</f>
        <v>0</v>
      </c>
    </row>
    <row r="5" spans="1:15" s="1" customFormat="1" ht="16" x14ac:dyDescent="0.2">
      <c r="A5" s="180">
        <v>2</v>
      </c>
      <c r="B5" s="197" t="str">
        <f>Cadastro!A4</f>
        <v>Padrão B</v>
      </c>
      <c r="C5" s="198">
        <v>0.01</v>
      </c>
      <c r="D5" s="198">
        <v>20</v>
      </c>
      <c r="E5" s="198">
        <v>1.5</v>
      </c>
      <c r="F5" s="198">
        <v>91</v>
      </c>
      <c r="G5" s="198" t="s">
        <v>133</v>
      </c>
      <c r="H5" s="198">
        <v>0.94</v>
      </c>
      <c r="I5"/>
      <c r="J5"/>
      <c r="K5" s="122">
        <v>0.2</v>
      </c>
      <c r="L5" s="66">
        <v>69.024000000000001</v>
      </c>
      <c r="M5" s="66">
        <f t="shared" si="0"/>
        <v>0.16099987657754888</v>
      </c>
      <c r="N5" s="72">
        <f t="shared" si="1"/>
        <v>3.2199975315509777E-2</v>
      </c>
    </row>
    <row r="6" spans="1:15" s="1" customFormat="1" ht="16" x14ac:dyDescent="0.2">
      <c r="A6" s="155">
        <v>3</v>
      </c>
      <c r="B6" s="194" t="str">
        <f>Cadastro!A5</f>
        <v>P. Labas A</v>
      </c>
      <c r="C6" s="195">
        <v>0.01</v>
      </c>
      <c r="D6" s="195">
        <v>20</v>
      </c>
      <c r="E6" s="217">
        <v>1.5</v>
      </c>
      <c r="F6" s="195">
        <v>99.6</v>
      </c>
      <c r="G6" s="195">
        <f t="shared" ref="G6:G17" si="2">2-LOG(F6)</f>
        <v>1.7406615763013722E-3</v>
      </c>
      <c r="H6" s="196">
        <f>((G6)/N$16)*E6*D6/1000/C6</f>
        <v>7.9106240832936495E-3</v>
      </c>
      <c r="I6"/>
      <c r="J6"/>
      <c r="K6" s="71">
        <v>0.4</v>
      </c>
      <c r="L6" s="66">
        <v>48.65</v>
      </c>
      <c r="M6" s="66">
        <f t="shared" si="0"/>
        <v>0.31291715539562936</v>
      </c>
      <c r="N6" s="72">
        <f t="shared" si="1"/>
        <v>0.12516686215825176</v>
      </c>
    </row>
    <row r="7" spans="1:15" s="1" customFormat="1" ht="16" x14ac:dyDescent="0.2">
      <c r="A7" s="155">
        <v>4</v>
      </c>
      <c r="B7" s="194" t="str">
        <f>Cadastro!A6</f>
        <v>P. Labas B</v>
      </c>
      <c r="C7" s="195">
        <v>0.01</v>
      </c>
      <c r="D7" s="195">
        <v>20</v>
      </c>
      <c r="E7" s="217">
        <v>1.5</v>
      </c>
      <c r="F7" s="195">
        <v>86.4</v>
      </c>
      <c r="G7" s="195">
        <f t="shared" si="2"/>
        <v>6.3486257521106593E-2</v>
      </c>
      <c r="H7" s="196">
        <f t="shared" ref="H7:H17" si="3">((G7)/N$16)*E7*D7/1000/C7</f>
        <v>0.28852013771210888</v>
      </c>
      <c r="I7"/>
      <c r="J7"/>
      <c r="K7" s="71">
        <v>0.6</v>
      </c>
      <c r="L7" s="66">
        <v>38.369</v>
      </c>
      <c r="M7" s="66">
        <f t="shared" si="0"/>
        <v>0.41601951954396399</v>
      </c>
      <c r="N7" s="72">
        <f t="shared" si="1"/>
        <v>0.24961171172637839</v>
      </c>
    </row>
    <row r="8" spans="1:15" s="1" customFormat="1" ht="16" x14ac:dyDescent="0.2">
      <c r="A8" s="155">
        <v>5</v>
      </c>
      <c r="B8" s="194" t="str">
        <f>Cadastro!A7</f>
        <v>2025/13</v>
      </c>
      <c r="C8" s="195">
        <v>0.01</v>
      </c>
      <c r="D8" s="195">
        <v>20</v>
      </c>
      <c r="E8" s="217">
        <v>1.5</v>
      </c>
      <c r="F8" s="217">
        <v>96.7</v>
      </c>
      <c r="G8" s="195">
        <f t="shared" si="2"/>
        <v>1.4573525916998342E-2</v>
      </c>
      <c r="H8" s="196">
        <f t="shared" si="3"/>
        <v>6.6230958772856327E-2</v>
      </c>
      <c r="I8"/>
      <c r="J8"/>
      <c r="K8" s="71">
        <v>0.8</v>
      </c>
      <c r="L8" s="66">
        <v>27.853999999999999</v>
      </c>
      <c r="M8" s="66">
        <f t="shared" si="0"/>
        <v>0.5551124287420619</v>
      </c>
      <c r="N8" s="72">
        <f t="shared" si="1"/>
        <v>0.44408994299364957</v>
      </c>
    </row>
    <row r="9" spans="1:15" s="1" customFormat="1" ht="16" x14ac:dyDescent="0.2">
      <c r="A9" s="155">
        <v>6</v>
      </c>
      <c r="B9" s="194" t="str">
        <f>Cadastro!A8</f>
        <v>2025/14</v>
      </c>
      <c r="C9" s="195">
        <v>0.01</v>
      </c>
      <c r="D9" s="195">
        <v>20</v>
      </c>
      <c r="E9" s="217">
        <v>1.5</v>
      </c>
      <c r="F9" s="217">
        <v>97.8</v>
      </c>
      <c r="G9" s="195">
        <f t="shared" si="2"/>
        <v>9.6611452123984698E-3</v>
      </c>
      <c r="H9" s="196">
        <f t="shared" si="3"/>
        <v>4.3906115370104776E-2</v>
      </c>
      <c r="I9"/>
      <c r="J9"/>
      <c r="K9" s="71">
        <v>1</v>
      </c>
      <c r="L9" s="66">
        <v>21.523</v>
      </c>
      <c r="M9" s="66">
        <f t="shared" si="0"/>
        <v>0.66709719431420877</v>
      </c>
      <c r="N9" s="72">
        <f t="shared" si="1"/>
        <v>0.66709719431420877</v>
      </c>
    </row>
    <row r="10" spans="1:15" s="1" customFormat="1" ht="17" thickBot="1" x14ac:dyDescent="0.25">
      <c r="A10" s="155">
        <v>8</v>
      </c>
      <c r="B10" s="194" t="str">
        <f>Cadastro!A9</f>
        <v>2025/15</v>
      </c>
      <c r="C10" s="195">
        <v>0.01</v>
      </c>
      <c r="D10" s="195">
        <v>20</v>
      </c>
      <c r="E10" s="217">
        <v>1.5</v>
      </c>
      <c r="F10" s="217">
        <v>98.2</v>
      </c>
      <c r="G10" s="195">
        <f t="shared" si="2"/>
        <v>7.8885122130503138E-3</v>
      </c>
      <c r="H10" s="196">
        <f t="shared" si="3"/>
        <v>3.5850193709973437E-2</v>
      </c>
      <c r="I10"/>
      <c r="J10"/>
      <c r="M10" s="67" t="s">
        <v>54</v>
      </c>
      <c r="N10" s="68">
        <f>SUM(N4:N9)</f>
        <v>1.5181656865079982</v>
      </c>
    </row>
    <row r="11" spans="1:15" s="1" customFormat="1" ht="17" thickBot="1" x14ac:dyDescent="0.25">
      <c r="A11" s="155">
        <v>9</v>
      </c>
      <c r="B11" s="194" t="str">
        <f>Cadastro!A10</f>
        <v>2025/16</v>
      </c>
      <c r="C11" s="195">
        <v>0.01</v>
      </c>
      <c r="D11" s="195">
        <v>20</v>
      </c>
      <c r="E11" s="217">
        <v>1.5</v>
      </c>
      <c r="F11" s="217">
        <v>95.5</v>
      </c>
      <c r="G11" s="195">
        <f t="shared" si="2"/>
        <v>1.9996628416253603E-2</v>
      </c>
      <c r="H11" s="196">
        <f t="shared" si="3"/>
        <v>9.087683239978761E-2</v>
      </c>
      <c r="I11"/>
      <c r="J11"/>
    </row>
    <row r="12" spans="1:15" s="1" customFormat="1" ht="16" x14ac:dyDescent="0.2">
      <c r="A12" s="155">
        <v>10</v>
      </c>
      <c r="B12" s="194" t="str">
        <f>Cadastro!A11</f>
        <v>2025/17</v>
      </c>
      <c r="C12" s="195">
        <v>0.01</v>
      </c>
      <c r="D12" s="195">
        <v>20</v>
      </c>
      <c r="E12" s="217">
        <v>1.5</v>
      </c>
      <c r="F12" s="217">
        <v>94.4</v>
      </c>
      <c r="G12" s="195">
        <f t="shared" si="2"/>
        <v>2.5028005701930978E-2</v>
      </c>
      <c r="H12" s="196">
        <f t="shared" si="3"/>
        <v>0.11374246858668359</v>
      </c>
      <c r="I12"/>
      <c r="J12"/>
      <c r="K12" s="36" t="s">
        <v>49</v>
      </c>
      <c r="L12" s="37"/>
      <c r="M12" s="38">
        <f>SUM(K4:K9)</f>
        <v>3</v>
      </c>
      <c r="N12" s="37" t="s">
        <v>55</v>
      </c>
      <c r="O12" s="39">
        <f>N10</f>
        <v>1.5181656865079982</v>
      </c>
    </row>
    <row r="13" spans="1:15" s="125" customFormat="1" ht="16" x14ac:dyDescent="0.2">
      <c r="A13" s="155">
        <v>11</v>
      </c>
      <c r="B13" s="194" t="str">
        <f>Cadastro!A12</f>
        <v>2025/18</v>
      </c>
      <c r="C13" s="195">
        <v>0.01</v>
      </c>
      <c r="D13" s="195">
        <v>20</v>
      </c>
      <c r="E13" s="217">
        <v>1.5</v>
      </c>
      <c r="F13" s="217">
        <v>96.8</v>
      </c>
      <c r="G13" s="195">
        <f t="shared" si="2"/>
        <v>1.4124642691606404E-2</v>
      </c>
      <c r="H13" s="196">
        <f t="shared" si="3"/>
        <v>6.4190960589569468E-2</v>
      </c>
      <c r="I13"/>
      <c r="J13"/>
      <c r="K13" s="128" t="s">
        <v>50</v>
      </c>
      <c r="L13" s="135"/>
      <c r="M13" s="125">
        <f>K4^2+K5^2+K6^2+K7^2+K8^2+K9^2</f>
        <v>2.2000000000000002</v>
      </c>
      <c r="N13" s="135" t="s">
        <v>57</v>
      </c>
      <c r="O13" s="130">
        <f>AVERAGE(M4:M9)</f>
        <v>0.35202653393388439</v>
      </c>
    </row>
    <row r="14" spans="1:15" s="1" customFormat="1" ht="16" x14ac:dyDescent="0.2">
      <c r="A14" s="155">
        <v>12</v>
      </c>
      <c r="B14" s="194" t="str">
        <f>Cadastro!A13</f>
        <v>2025/19</v>
      </c>
      <c r="C14" s="195">
        <v>0.01</v>
      </c>
      <c r="D14" s="195">
        <v>20</v>
      </c>
      <c r="E14" s="217">
        <v>1.5</v>
      </c>
      <c r="F14" s="217">
        <v>96.8</v>
      </c>
      <c r="G14" s="195">
        <f t="shared" si="2"/>
        <v>1.4124642691606404E-2</v>
      </c>
      <c r="H14" s="196">
        <f t="shared" si="3"/>
        <v>6.4190960589569468E-2</v>
      </c>
      <c r="I14"/>
      <c r="J14"/>
      <c r="K14" s="40" t="s">
        <v>51</v>
      </c>
      <c r="L14" s="41"/>
      <c r="M14" s="42">
        <f>SUM(K4:K9)^2</f>
        <v>9</v>
      </c>
      <c r="N14" s="44" t="s">
        <v>59</v>
      </c>
      <c r="O14" s="43">
        <f>AVERAGE(K4:K9)</f>
        <v>0.5</v>
      </c>
    </row>
    <row r="15" spans="1:15" s="1" customFormat="1" ht="16" x14ac:dyDescent="0.2">
      <c r="A15" s="155">
        <v>13</v>
      </c>
      <c r="B15" s="194" t="str">
        <f>Cadastro!A14</f>
        <v>2025/20</v>
      </c>
      <c r="C15" s="195">
        <v>0.01</v>
      </c>
      <c r="D15" s="195">
        <v>20</v>
      </c>
      <c r="E15" s="217">
        <v>1.5</v>
      </c>
      <c r="F15" s="217">
        <v>96.7</v>
      </c>
      <c r="G15" s="195">
        <f t="shared" si="2"/>
        <v>1.4573525916998342E-2</v>
      </c>
      <c r="H15" s="196">
        <f t="shared" si="3"/>
        <v>6.6230958772856327E-2</v>
      </c>
      <c r="I15"/>
      <c r="J15"/>
      <c r="K15" s="58" t="s">
        <v>52</v>
      </c>
      <c r="L15" s="54"/>
      <c r="M15" s="52">
        <f>SUM(M4:M9)</f>
        <v>2.1121592036033063</v>
      </c>
      <c r="N15" s="52"/>
      <c r="O15" s="59"/>
    </row>
    <row r="16" spans="1:15" s="1" customFormat="1" ht="16" x14ac:dyDescent="0.2">
      <c r="A16" s="155">
        <v>14</v>
      </c>
      <c r="B16" s="194" t="str">
        <f>Cadastro!A15</f>
        <v>2025/21</v>
      </c>
      <c r="C16" s="195">
        <v>0.01</v>
      </c>
      <c r="D16" s="195">
        <v>20</v>
      </c>
      <c r="E16" s="217">
        <v>1.5</v>
      </c>
      <c r="F16" s="217">
        <v>95.3</v>
      </c>
      <c r="G16" s="195">
        <f t="shared" si="2"/>
        <v>2.0907099361673565E-2</v>
      </c>
      <c r="H16" s="196">
        <f t="shared" si="3"/>
        <v>9.5014565711096871E-2</v>
      </c>
      <c r="I16"/>
      <c r="J16"/>
      <c r="K16" s="45"/>
      <c r="L16" s="42"/>
      <c r="M16" s="53" t="s">
        <v>56</v>
      </c>
      <c r="N16" s="56">
        <f>(O12-(M12*M15/6))/((M13-(M14/6)))</f>
        <v>0.66012297815192134</v>
      </c>
      <c r="O16" s="43"/>
    </row>
    <row r="17" spans="1:15" s="1" customFormat="1" ht="17" thickBot="1" x14ac:dyDescent="0.25">
      <c r="A17" s="155">
        <v>15</v>
      </c>
      <c r="B17" s="194" t="str">
        <f>Cadastro!A16</f>
        <v>2025/22</v>
      </c>
      <c r="C17" s="195">
        <v>0.01</v>
      </c>
      <c r="D17" s="195">
        <v>20</v>
      </c>
      <c r="E17" s="217">
        <v>1.5</v>
      </c>
      <c r="F17" s="217">
        <v>94.1</v>
      </c>
      <c r="G17" s="195">
        <f t="shared" si="2"/>
        <v>2.6410376572743033E-2</v>
      </c>
      <c r="H17" s="196">
        <f t="shared" si="3"/>
        <v>0.12002480195439397</v>
      </c>
      <c r="I17"/>
      <c r="J17"/>
      <c r="K17" s="46"/>
      <c r="L17" s="47"/>
      <c r="M17" s="60" t="s">
        <v>58</v>
      </c>
      <c r="N17" s="62">
        <f>O13-(N16*O14)</f>
        <v>2.1965044857923721E-2</v>
      </c>
      <c r="O17" s="48"/>
    </row>
    <row r="18" spans="1:15" s="1" customFormat="1" x14ac:dyDescent="0.2">
      <c r="A18"/>
      <c r="B18"/>
      <c r="C18"/>
      <c r="D18"/>
      <c r="E18"/>
      <c r="F18"/>
      <c r="G18"/>
      <c r="H18"/>
      <c r="I18"/>
      <c r="J18"/>
    </row>
    <row r="19" spans="1:15" s="1" customFormat="1" x14ac:dyDescent="0.2">
      <c r="A19"/>
      <c r="B19"/>
      <c r="C19"/>
      <c r="D19"/>
      <c r="E19"/>
      <c r="F19"/>
      <c r="G19"/>
      <c r="H19"/>
      <c r="I19"/>
      <c r="J19"/>
    </row>
  </sheetData>
  <mergeCells count="2">
    <mergeCell ref="B1:H1"/>
    <mergeCell ref="K2:N2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3"/>
  <sheetViews>
    <sheetView zoomScale="75" workbookViewId="0">
      <selection activeCell="A9" sqref="A9:XFD9"/>
    </sheetView>
  </sheetViews>
  <sheetFormatPr baseColWidth="10" defaultColWidth="8.83203125" defaultRowHeight="15" x14ac:dyDescent="0.2"/>
  <cols>
    <col min="2" max="2" width="12.1640625" customWidth="1"/>
    <col min="3" max="3" width="12.83203125" bestFit="1" customWidth="1"/>
    <col min="4" max="4" width="16" bestFit="1" customWidth="1"/>
    <col min="5" max="5" width="12.6640625" bestFit="1" customWidth="1"/>
    <col min="6" max="6" width="9.83203125" bestFit="1" customWidth="1"/>
    <col min="7" max="7" width="13.6640625" bestFit="1" customWidth="1"/>
    <col min="8" max="8" width="22.5" bestFit="1" customWidth="1"/>
    <col min="9" max="9" width="22.5" customWidth="1"/>
  </cols>
  <sheetData>
    <row r="1" spans="1:15" s="1" customFormat="1" ht="17" thickBot="1" x14ac:dyDescent="0.25">
      <c r="A1" s="148"/>
      <c r="B1" s="318" t="s">
        <v>113</v>
      </c>
      <c r="C1" s="319"/>
      <c r="D1" s="319"/>
      <c r="E1" s="319"/>
      <c r="F1" s="319"/>
      <c r="G1" s="319"/>
      <c r="H1" s="320"/>
      <c r="I1"/>
      <c r="J1"/>
    </row>
    <row r="2" spans="1:15" s="1" customFormat="1" ht="16" x14ac:dyDescent="0.2">
      <c r="A2" s="30" t="s">
        <v>128</v>
      </c>
      <c r="B2" s="210" t="s">
        <v>39</v>
      </c>
      <c r="C2" s="210" t="s">
        <v>47</v>
      </c>
      <c r="D2" s="210" t="s">
        <v>41</v>
      </c>
      <c r="E2" s="210" t="s">
        <v>42</v>
      </c>
      <c r="F2" s="210" t="s">
        <v>68</v>
      </c>
      <c r="G2" s="210" t="s">
        <v>67</v>
      </c>
      <c r="H2" s="210" t="s">
        <v>110</v>
      </c>
      <c r="I2"/>
      <c r="J2"/>
      <c r="K2" s="297" t="s">
        <v>45</v>
      </c>
      <c r="L2" s="298"/>
      <c r="M2" s="298"/>
      <c r="N2" s="299"/>
    </row>
    <row r="3" spans="1:15" s="1" customFormat="1" ht="16" x14ac:dyDescent="0.2">
      <c r="A3" s="194" t="s">
        <v>107</v>
      </c>
      <c r="B3" s="194" t="str">
        <f>Cadastro!A2</f>
        <v>*</v>
      </c>
      <c r="C3" s="216">
        <v>0.01</v>
      </c>
      <c r="D3" s="195">
        <v>25</v>
      </c>
      <c r="E3" s="217">
        <v>1.1499999999999999</v>
      </c>
      <c r="F3" s="217" t="s">
        <v>107</v>
      </c>
      <c r="G3" s="195" t="s">
        <v>107</v>
      </c>
      <c r="H3" s="196" t="s">
        <v>107</v>
      </c>
      <c r="I3"/>
      <c r="J3"/>
      <c r="K3" s="69" t="s">
        <v>119</v>
      </c>
      <c r="L3" s="65" t="s">
        <v>81</v>
      </c>
      <c r="M3" s="65" t="s">
        <v>82</v>
      </c>
      <c r="N3" s="70" t="s">
        <v>53</v>
      </c>
    </row>
    <row r="4" spans="1:15" s="1" customFormat="1" ht="16" x14ac:dyDescent="0.2">
      <c r="A4" s="197">
        <v>1</v>
      </c>
      <c r="B4" s="197" t="str">
        <f>Cadastro!A3</f>
        <v>Padrão A</v>
      </c>
      <c r="C4" s="215">
        <v>0.01</v>
      </c>
      <c r="D4" s="198">
        <v>25</v>
      </c>
      <c r="E4" s="198">
        <v>1.1499999999999999</v>
      </c>
      <c r="F4" s="198" t="s">
        <v>133</v>
      </c>
      <c r="G4" s="198" t="s">
        <v>133</v>
      </c>
      <c r="H4" s="198">
        <v>20.2</v>
      </c>
      <c r="I4"/>
      <c r="J4"/>
      <c r="K4" s="71">
        <v>0</v>
      </c>
      <c r="L4" s="66">
        <v>99.983000000000004</v>
      </c>
      <c r="M4" s="66">
        <f>2-LOG(L4)</f>
        <v>7.383633819002533E-5</v>
      </c>
      <c r="N4" s="72">
        <f>K4*M4</f>
        <v>0</v>
      </c>
    </row>
    <row r="5" spans="1:15" s="1" customFormat="1" ht="16" x14ac:dyDescent="0.2">
      <c r="A5" s="197">
        <v>2</v>
      </c>
      <c r="B5" s="197" t="str">
        <f>Cadastro!A4</f>
        <v>Padrão B</v>
      </c>
      <c r="C5" s="215">
        <v>0.01</v>
      </c>
      <c r="D5" s="198">
        <v>25</v>
      </c>
      <c r="E5" s="198">
        <v>1.1499999999999999</v>
      </c>
      <c r="F5" s="198" t="s">
        <v>133</v>
      </c>
      <c r="G5" s="198" t="s">
        <v>133</v>
      </c>
      <c r="H5" s="198">
        <v>0.3</v>
      </c>
      <c r="I5"/>
      <c r="J5"/>
      <c r="K5" s="71">
        <v>0.3</v>
      </c>
      <c r="L5" s="66">
        <v>96.825000000000003</v>
      </c>
      <c r="M5" s="66">
        <f t="shared" ref="M5:M13" si="0">2-LOG(L5)</f>
        <v>1.4012494341879567E-2</v>
      </c>
      <c r="N5" s="72">
        <f t="shared" ref="N5:N13" si="1">K5*M5</f>
        <v>4.20374830256387E-3</v>
      </c>
    </row>
    <row r="6" spans="1:15" s="1" customFormat="1" ht="16" x14ac:dyDescent="0.2">
      <c r="A6" s="194">
        <v>3</v>
      </c>
      <c r="B6" s="194" t="str">
        <f>Cadastro!A5</f>
        <v>P. Labas A</v>
      </c>
      <c r="C6" s="216">
        <v>0.01</v>
      </c>
      <c r="D6" s="195">
        <v>25</v>
      </c>
      <c r="E6" s="217">
        <v>1.1499999999999999</v>
      </c>
      <c r="F6" s="217">
        <v>71.7</v>
      </c>
      <c r="G6" s="195">
        <f t="shared" ref="G6:G11" si="2">2-LOG(F6)</f>
        <v>0.14448084433219988</v>
      </c>
      <c r="H6" s="196">
        <f>((G6-N$21)/N$20)*E6*D6/1000/C6</f>
        <v>24.791177177587986</v>
      </c>
      <c r="I6"/>
      <c r="J6"/>
      <c r="K6" s="71">
        <v>0.6</v>
      </c>
      <c r="L6" s="66">
        <v>93.106999999999999</v>
      </c>
      <c r="M6" s="66">
        <f t="shared" si="0"/>
        <v>3.1017666525735565E-2</v>
      </c>
      <c r="N6" s="72">
        <f t="shared" si="1"/>
        <v>1.8610599915441339E-2</v>
      </c>
    </row>
    <row r="7" spans="1:15" s="1" customFormat="1" ht="16" x14ac:dyDescent="0.2">
      <c r="A7" s="194">
        <v>4</v>
      </c>
      <c r="B7" s="194" t="str">
        <f>Cadastro!A6</f>
        <v>P. Labas B</v>
      </c>
      <c r="C7" s="216">
        <v>0.01</v>
      </c>
      <c r="D7" s="195">
        <v>25</v>
      </c>
      <c r="E7" s="217">
        <v>1.1499999999999999</v>
      </c>
      <c r="F7" s="217">
        <v>98.4</v>
      </c>
      <c r="G7" s="195">
        <f t="shared" si="2"/>
        <v>7.004901568658406E-3</v>
      </c>
      <c r="H7" s="196">
        <f>((G7)/N$20)*E7*D7/1000/C7</f>
        <v>1.3318784197092111</v>
      </c>
      <c r="I7"/>
      <c r="J7"/>
      <c r="K7" s="71">
        <v>0.9</v>
      </c>
      <c r="L7" s="66">
        <v>92.876999999999995</v>
      </c>
      <c r="M7" s="66">
        <f t="shared" si="0"/>
        <v>3.2091821095576067E-2</v>
      </c>
      <c r="N7" s="72">
        <f t="shared" si="1"/>
        <v>2.888263898601846E-2</v>
      </c>
    </row>
    <row r="8" spans="1:15" s="1" customFormat="1" ht="16" x14ac:dyDescent="0.2">
      <c r="A8" s="194">
        <v>5</v>
      </c>
      <c r="B8" s="194" t="str">
        <f>Cadastro!A7</f>
        <v>2025/13</v>
      </c>
      <c r="C8" s="216">
        <v>0.01</v>
      </c>
      <c r="D8" s="195">
        <v>25</v>
      </c>
      <c r="E8" s="217">
        <v>1.1499999999999999</v>
      </c>
      <c r="F8" s="217">
        <v>85.5</v>
      </c>
      <c r="G8" s="195">
        <f t="shared" si="2"/>
        <v>6.803388527182741E-2</v>
      </c>
      <c r="H8" s="196">
        <f>((G8)/N$20)*E8*D8/1000/C8</f>
        <v>12.935636955691532</v>
      </c>
      <c r="I8"/>
      <c r="J8"/>
      <c r="K8" s="71">
        <v>1.2</v>
      </c>
      <c r="L8" s="66">
        <v>90.861000000000004</v>
      </c>
      <c r="M8" s="66">
        <f t="shared" si="0"/>
        <v>4.1622487727291713E-2</v>
      </c>
      <c r="N8" s="72">
        <f t="shared" si="1"/>
        <v>4.9946985272750051E-2</v>
      </c>
    </row>
    <row r="9" spans="1:15" s="1" customFormat="1" ht="16" x14ac:dyDescent="0.2">
      <c r="A9" s="194">
        <v>6</v>
      </c>
      <c r="B9" s="194" t="str">
        <f>Cadastro!A8</f>
        <v>2025/14</v>
      </c>
      <c r="C9" s="216">
        <v>0.01</v>
      </c>
      <c r="D9" s="195">
        <v>25</v>
      </c>
      <c r="E9" s="217">
        <v>1.1499999999999999</v>
      </c>
      <c r="F9" s="217">
        <v>98.5</v>
      </c>
      <c r="G9" s="195">
        <f t="shared" si="2"/>
        <v>6.5637695023883502E-3</v>
      </c>
      <c r="H9" s="196">
        <f>((G9)/N$20)*E9*D9/1000/C9</f>
        <v>1.2480036823487908</v>
      </c>
      <c r="I9"/>
      <c r="J9"/>
      <c r="K9" s="71">
        <v>2</v>
      </c>
      <c r="L9" s="66">
        <v>88.498999999999995</v>
      </c>
      <c r="M9" s="66">
        <f t="shared" si="0"/>
        <v>5.3061636612180996E-2</v>
      </c>
      <c r="N9" s="72">
        <f t="shared" si="1"/>
        <v>0.10612327322436199</v>
      </c>
    </row>
    <row r="10" spans="1:15" s="1" customFormat="1" ht="16" x14ac:dyDescent="0.2">
      <c r="A10" s="194">
        <v>7</v>
      </c>
      <c r="B10" s="194" t="str">
        <f>Cadastro!A9</f>
        <v>2025/15</v>
      </c>
      <c r="C10" s="216">
        <v>0.01</v>
      </c>
      <c r="D10" s="195">
        <v>25</v>
      </c>
      <c r="E10" s="217">
        <v>1.1499999999999999</v>
      </c>
      <c r="F10" s="217">
        <v>99.1</v>
      </c>
      <c r="G10" s="195">
        <f t="shared" si="2"/>
        <v>3.9263455147247051E-3</v>
      </c>
      <c r="H10" s="196">
        <f>((G10)/N$20)*E10*D10/1000/C10</f>
        <v>0.74653652276593485</v>
      </c>
      <c r="I10"/>
      <c r="J10"/>
      <c r="K10" s="71">
        <v>4</v>
      </c>
      <c r="L10" s="66">
        <v>85.097999999999999</v>
      </c>
      <c r="M10" s="66">
        <f t="shared" si="0"/>
        <v>7.0080646721177642E-2</v>
      </c>
      <c r="N10" s="72">
        <f t="shared" si="1"/>
        <v>0.28032258688471057</v>
      </c>
    </row>
    <row r="11" spans="1:15" s="1" customFormat="1" ht="16" x14ac:dyDescent="0.2">
      <c r="A11" s="194">
        <v>8</v>
      </c>
      <c r="B11" s="194" t="str">
        <f>Cadastro!A10</f>
        <v>2025/16</v>
      </c>
      <c r="C11" s="216">
        <v>0.01</v>
      </c>
      <c r="D11" s="195">
        <v>25</v>
      </c>
      <c r="E11" s="217">
        <v>1.1499999999999999</v>
      </c>
      <c r="F11" s="217">
        <v>99.7</v>
      </c>
      <c r="G11" s="195">
        <f t="shared" si="2"/>
        <v>1.304841688344327E-3</v>
      </c>
      <c r="H11" s="196">
        <f>((G11)/N$20)*E11*D11/1000/C11</f>
        <v>0.24809634636673217</v>
      </c>
      <c r="I11"/>
      <c r="J11"/>
      <c r="K11" s="71">
        <v>6</v>
      </c>
      <c r="L11" s="66">
        <v>80.263999999999996</v>
      </c>
      <c r="M11" s="66">
        <f t="shared" si="0"/>
        <v>9.5479200761658056E-2</v>
      </c>
      <c r="N11" s="72">
        <f t="shared" si="1"/>
        <v>0.57287520456994834</v>
      </c>
    </row>
    <row r="12" spans="1:15" s="1" customFormat="1" ht="16" x14ac:dyDescent="0.2">
      <c r="A12" s="194">
        <v>9</v>
      </c>
      <c r="B12" s="194" t="str">
        <f>Cadastro!A11</f>
        <v>2025/17</v>
      </c>
      <c r="C12" s="216">
        <v>0.01</v>
      </c>
      <c r="D12" s="195">
        <v>25</v>
      </c>
      <c r="E12" s="217">
        <v>1.1499999999999999</v>
      </c>
      <c r="F12" s="217">
        <v>93.2</v>
      </c>
      <c r="G12" s="195">
        <f t="shared" ref="G12:G17" si="3">2-LOG(F12)</f>
        <v>3.058408764601861E-2</v>
      </c>
      <c r="H12" s="196">
        <f t="shared" ref="H12:H17" si="4">((G12-N$21)/N$20)*E12*D12/1000/C12</f>
        <v>3.1353936068491177</v>
      </c>
      <c r="I12"/>
      <c r="J12"/>
      <c r="K12" s="71">
        <v>8</v>
      </c>
      <c r="L12" s="66">
        <v>74.703999999999994</v>
      </c>
      <c r="M12" s="66">
        <f t="shared" si="0"/>
        <v>0.12665614341326936</v>
      </c>
      <c r="N12" s="72">
        <f t="shared" si="1"/>
        <v>1.0132491473061549</v>
      </c>
    </row>
    <row r="13" spans="1:15" s="1" customFormat="1" ht="17" thickBot="1" x14ac:dyDescent="0.25">
      <c r="A13" s="194">
        <v>10</v>
      </c>
      <c r="B13" s="194" t="str">
        <f>Cadastro!A12</f>
        <v>2025/18</v>
      </c>
      <c r="C13" s="216">
        <v>0.01</v>
      </c>
      <c r="D13" s="195">
        <v>25</v>
      </c>
      <c r="E13" s="217">
        <v>1.1499999999999999</v>
      </c>
      <c r="F13" s="217">
        <v>69.099999999999994</v>
      </c>
      <c r="G13" s="195">
        <f t="shared" si="3"/>
        <v>0.16052195262580171</v>
      </c>
      <c r="H13" s="196">
        <f t="shared" si="4"/>
        <v>27.841156646258597</v>
      </c>
      <c r="I13"/>
      <c r="J13"/>
      <c r="K13" s="73">
        <v>10</v>
      </c>
      <c r="L13" s="74">
        <v>66.706999999999994</v>
      </c>
      <c r="M13" s="74">
        <f t="shared" si="0"/>
        <v>0.17582859034340581</v>
      </c>
      <c r="N13" s="75">
        <f t="shared" si="1"/>
        <v>1.7582859034340581</v>
      </c>
    </row>
    <row r="14" spans="1:15" s="1" customFormat="1" ht="17" thickBot="1" x14ac:dyDescent="0.25">
      <c r="A14" s="194">
        <v>11</v>
      </c>
      <c r="B14" s="194" t="str">
        <f>Cadastro!A13</f>
        <v>2025/19</v>
      </c>
      <c r="C14" s="216">
        <v>0.01</v>
      </c>
      <c r="D14" s="195">
        <v>25</v>
      </c>
      <c r="E14" s="217">
        <v>1.1499999999999999</v>
      </c>
      <c r="F14" s="217">
        <v>99.5</v>
      </c>
      <c r="G14" s="195">
        <f t="shared" si="3"/>
        <v>2.1769192542744342E-3</v>
      </c>
      <c r="H14" s="196">
        <f>((G14)/N$20)*E14*D14/1000/C14</f>
        <v>0.41390899612210907</v>
      </c>
      <c r="I14"/>
      <c r="J14"/>
      <c r="K14"/>
      <c r="L14"/>
      <c r="M14" s="67" t="s">
        <v>54</v>
      </c>
      <c r="N14" s="68">
        <f>SUM(N4:N13)</f>
        <v>3.8325000878960074</v>
      </c>
    </row>
    <row r="15" spans="1:15" s="1" customFormat="1" ht="17" thickBot="1" x14ac:dyDescent="0.25">
      <c r="A15" s="194">
        <v>12</v>
      </c>
      <c r="B15" s="194" t="str">
        <f>Cadastro!A14</f>
        <v>2025/20</v>
      </c>
      <c r="C15" s="216">
        <v>0.01</v>
      </c>
      <c r="D15" s="195">
        <v>25</v>
      </c>
      <c r="E15" s="217">
        <v>1.1499999999999999</v>
      </c>
      <c r="F15" s="217">
        <v>99.7</v>
      </c>
      <c r="G15" s="195">
        <f t="shared" si="3"/>
        <v>1.304841688344327E-3</v>
      </c>
      <c r="H15" s="196">
        <f>((G15)/N$20)*E15*D15/1000/C15</f>
        <v>0.24809634636673217</v>
      </c>
      <c r="I15"/>
      <c r="J15"/>
    </row>
    <row r="16" spans="1:15" s="125" customFormat="1" ht="16" x14ac:dyDescent="0.2">
      <c r="A16" s="194">
        <v>13</v>
      </c>
      <c r="B16" s="194" t="str">
        <f>Cadastro!A15</f>
        <v>2025/21</v>
      </c>
      <c r="C16" s="216">
        <v>0.01</v>
      </c>
      <c r="D16" s="195">
        <v>25</v>
      </c>
      <c r="E16" s="217">
        <v>1.1499999999999999</v>
      </c>
      <c r="F16" s="217">
        <v>86.5</v>
      </c>
      <c r="G16" s="195">
        <f t="shared" si="3"/>
        <v>6.298389253518577E-2</v>
      </c>
      <c r="H16" s="196">
        <f t="shared" si="4"/>
        <v>9.2957372621755141</v>
      </c>
      <c r="I16"/>
      <c r="J16"/>
      <c r="K16" s="131" t="s">
        <v>49</v>
      </c>
      <c r="L16" s="132"/>
      <c r="M16" s="133">
        <f>SUM(K4:K13)</f>
        <v>33</v>
      </c>
      <c r="N16" s="132" t="s">
        <v>55</v>
      </c>
      <c r="O16" s="134">
        <f>N14</f>
        <v>3.8325000878960074</v>
      </c>
    </row>
    <row r="17" spans="1:15" s="1" customFormat="1" ht="16" x14ac:dyDescent="0.2">
      <c r="A17" s="194">
        <v>14</v>
      </c>
      <c r="B17" s="194" t="str">
        <f>Cadastro!A16</f>
        <v>2025/22</v>
      </c>
      <c r="C17" s="216">
        <v>0.01</v>
      </c>
      <c r="D17" s="195">
        <v>25</v>
      </c>
      <c r="E17" s="217">
        <v>1.1499999999999999</v>
      </c>
      <c r="F17" s="217">
        <v>89.4</v>
      </c>
      <c r="G17" s="195">
        <f t="shared" si="3"/>
        <v>4.8662481204082342E-2</v>
      </c>
      <c r="H17" s="196">
        <f t="shared" si="4"/>
        <v>6.5727327338865047</v>
      </c>
      <c r="I17"/>
      <c r="J17"/>
      <c r="K17" s="40" t="s">
        <v>50</v>
      </c>
      <c r="L17" s="41"/>
      <c r="M17" s="42">
        <f>K4^2+K5^2+K6^2+K7^2+K8^2+K9^2+K10^2+K11^2+K12^2+K13^2</f>
        <v>222.7</v>
      </c>
      <c r="N17" s="41" t="s">
        <v>57</v>
      </c>
      <c r="O17" s="43">
        <f>AVERAGE(M4:M13)</f>
        <v>6.3992452388036483E-2</v>
      </c>
    </row>
    <row r="18" spans="1:15" s="125" customFormat="1" x14ac:dyDescent="0.2">
      <c r="A18"/>
      <c r="B18"/>
      <c r="C18"/>
      <c r="D18"/>
      <c r="E18"/>
      <c r="F18"/>
      <c r="G18"/>
      <c r="H18"/>
      <c r="I18"/>
      <c r="J18"/>
      <c r="K18" s="128" t="s">
        <v>51</v>
      </c>
      <c r="L18" s="135"/>
      <c r="M18" s="125">
        <f>SUM(K4:K13)^2</f>
        <v>1089</v>
      </c>
      <c r="N18" s="129" t="s">
        <v>59</v>
      </c>
      <c r="O18" s="130">
        <f>AVERAGE(K4:K13)</f>
        <v>3.3</v>
      </c>
    </row>
    <row r="19" spans="1:15" s="1" customFormat="1" x14ac:dyDescent="0.2">
      <c r="A19"/>
      <c r="B19"/>
      <c r="C19"/>
      <c r="D19"/>
      <c r="E19"/>
      <c r="F19"/>
      <c r="G19"/>
      <c r="H19"/>
      <c r="I19"/>
      <c r="J19"/>
      <c r="K19" s="58" t="s">
        <v>52</v>
      </c>
      <c r="L19" s="54"/>
      <c r="M19" s="52">
        <f>SUM(M4:M13)</f>
        <v>0.6399245238803648</v>
      </c>
      <c r="N19" s="52"/>
      <c r="O19" s="59"/>
    </row>
    <row r="20" spans="1:15" s="1" customFormat="1" x14ac:dyDescent="0.2">
      <c r="A20"/>
      <c r="B20"/>
      <c r="C20"/>
      <c r="D20"/>
      <c r="E20"/>
      <c r="F20"/>
      <c r="G20"/>
      <c r="H20"/>
      <c r="I20"/>
      <c r="J20"/>
      <c r="K20" s="45"/>
      <c r="L20" s="42"/>
      <c r="M20" s="53" t="s">
        <v>56</v>
      </c>
      <c r="N20" s="56">
        <f>(O16-(M16*M19/10))/((M17-(M18/10)))</f>
        <v>1.5120818621184568E-2</v>
      </c>
      <c r="O20" s="43"/>
    </row>
    <row r="21" spans="1:15" s="1" customFormat="1" ht="16" thickBot="1" x14ac:dyDescent="0.25">
      <c r="A21"/>
      <c r="B21"/>
      <c r="C21"/>
      <c r="D21"/>
      <c r="E21"/>
      <c r="F21"/>
      <c r="G21"/>
      <c r="H21"/>
      <c r="I21"/>
      <c r="J21"/>
      <c r="K21" s="46"/>
      <c r="L21" s="47"/>
      <c r="M21" s="60" t="s">
        <v>58</v>
      </c>
      <c r="N21" s="62">
        <f>O17-(N20*O18)</f>
        <v>1.4093750938127411E-2</v>
      </c>
      <c r="O21" s="48"/>
    </row>
    <row r="22" spans="1:15" s="1" customFormat="1" x14ac:dyDescent="0.2">
      <c r="A22"/>
      <c r="B22"/>
      <c r="C22"/>
      <c r="D22"/>
      <c r="E22"/>
      <c r="F22"/>
      <c r="G22"/>
      <c r="H22"/>
      <c r="I22"/>
      <c r="J22"/>
    </row>
    <row r="23" spans="1:15" s="1" customFormat="1" x14ac:dyDescent="0.2">
      <c r="A23"/>
      <c r="B23"/>
      <c r="C23"/>
      <c r="D23"/>
      <c r="E23"/>
      <c r="F23"/>
      <c r="G23"/>
      <c r="H23"/>
      <c r="I23"/>
      <c r="J23"/>
    </row>
  </sheetData>
  <mergeCells count="2">
    <mergeCell ref="B1:H1"/>
    <mergeCell ref="K2:N2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30"/>
  <sheetViews>
    <sheetView zoomScaleNormal="100" workbookViewId="0">
      <selection activeCell="A9" sqref="A9:XFD9"/>
    </sheetView>
  </sheetViews>
  <sheetFormatPr baseColWidth="10" defaultColWidth="8.83203125" defaultRowHeight="15" x14ac:dyDescent="0.2"/>
  <cols>
    <col min="2" max="2" width="16.33203125" customWidth="1"/>
    <col min="3" max="3" width="12.83203125" bestFit="1" customWidth="1"/>
    <col min="4" max="4" width="15.1640625" bestFit="1" customWidth="1"/>
    <col min="5" max="5" width="12.6640625" bestFit="1" customWidth="1"/>
    <col min="6" max="6" width="9.83203125" bestFit="1" customWidth="1"/>
    <col min="7" max="7" width="13.6640625" bestFit="1" customWidth="1"/>
    <col min="8" max="9" width="26" customWidth="1"/>
    <col min="12" max="12" width="12.5" bestFit="1" customWidth="1"/>
    <col min="13" max="13" width="15.6640625" customWidth="1"/>
  </cols>
  <sheetData>
    <row r="1" spans="1:20" s="1" customFormat="1" ht="16" x14ac:dyDescent="0.2">
      <c r="A1" s="148"/>
      <c r="B1" s="318" t="s">
        <v>114</v>
      </c>
      <c r="C1" s="319"/>
      <c r="D1" s="319"/>
      <c r="E1" s="319"/>
      <c r="F1" s="319"/>
      <c r="G1" s="319"/>
      <c r="H1" s="320"/>
      <c r="I1"/>
      <c r="K1" s="204" t="s">
        <v>115</v>
      </c>
      <c r="L1" s="204" t="s">
        <v>70</v>
      </c>
      <c r="M1" s="204" t="s">
        <v>118</v>
      </c>
      <c r="N1"/>
      <c r="O1"/>
      <c r="P1"/>
      <c r="Q1"/>
      <c r="R1"/>
      <c r="S1"/>
      <c r="T1"/>
    </row>
    <row r="2" spans="1:20" s="1" customFormat="1" ht="16" x14ac:dyDescent="0.2">
      <c r="A2" s="30" t="s">
        <v>128</v>
      </c>
      <c r="B2" s="210" t="s">
        <v>39</v>
      </c>
      <c r="C2" s="210" t="s">
        <v>47</v>
      </c>
      <c r="D2" s="210" t="s">
        <v>41</v>
      </c>
      <c r="E2" s="210" t="s">
        <v>42</v>
      </c>
      <c r="F2" s="210" t="s">
        <v>68</v>
      </c>
      <c r="G2" s="210" t="s">
        <v>67</v>
      </c>
      <c r="H2" s="210" t="s">
        <v>117</v>
      </c>
      <c r="I2"/>
      <c r="K2" s="28">
        <v>2.2999999999999998</v>
      </c>
      <c r="L2" s="203">
        <v>0.15365051498428328</v>
      </c>
      <c r="M2" s="153">
        <f>(L2+0.0136)/0.0729</f>
        <v>2.2942457473838584</v>
      </c>
      <c r="N2"/>
      <c r="O2"/>
      <c r="P2"/>
      <c r="Q2"/>
      <c r="R2"/>
      <c r="S2"/>
      <c r="T2"/>
    </row>
    <row r="3" spans="1:20" s="1" customFormat="1" ht="16" x14ac:dyDescent="0.2">
      <c r="A3" s="155" t="s">
        <v>107</v>
      </c>
      <c r="B3" s="194" t="str">
        <f>Cadastro!A2</f>
        <v>*</v>
      </c>
      <c r="C3" s="216"/>
      <c r="D3" s="195"/>
      <c r="E3" s="217"/>
      <c r="F3" s="217"/>
      <c r="G3" s="195"/>
      <c r="H3" s="196"/>
      <c r="I3"/>
      <c r="K3" s="28">
        <v>2.2000000000000002</v>
      </c>
      <c r="L3" s="203">
        <v>0.14935376481693341</v>
      </c>
      <c r="M3" s="153">
        <f t="shared" ref="M3:M26" si="0">(L3+0.0136)/0.0729</f>
        <v>2.2353054158701426</v>
      </c>
      <c r="N3"/>
      <c r="O3"/>
      <c r="P3"/>
      <c r="Q3"/>
      <c r="R3"/>
      <c r="S3"/>
      <c r="T3"/>
    </row>
    <row r="4" spans="1:20" s="1" customFormat="1" ht="16" x14ac:dyDescent="0.2">
      <c r="A4" s="197">
        <v>0</v>
      </c>
      <c r="B4" s="197" t="str">
        <f>Cadastro!A3</f>
        <v>Padrão A</v>
      </c>
      <c r="C4" s="215">
        <v>1E-3</v>
      </c>
      <c r="D4" s="198">
        <v>10</v>
      </c>
      <c r="E4" s="198">
        <v>6</v>
      </c>
      <c r="F4" s="198" t="s">
        <v>133</v>
      </c>
      <c r="G4" s="198" t="s">
        <v>133</v>
      </c>
      <c r="H4" s="198">
        <v>0.9</v>
      </c>
      <c r="I4"/>
      <c r="K4" s="28">
        <v>2.2000000000000002</v>
      </c>
      <c r="L4" s="203">
        <v>0.1467764869102377</v>
      </c>
      <c r="M4" s="153">
        <f t="shared" si="0"/>
        <v>2.1999518094682808</v>
      </c>
      <c r="N4"/>
      <c r="O4"/>
      <c r="P4"/>
      <c r="Q4"/>
      <c r="R4"/>
      <c r="S4"/>
      <c r="T4"/>
    </row>
    <row r="5" spans="1:20" s="1" customFormat="1" ht="16" x14ac:dyDescent="0.2">
      <c r="A5" s="197">
        <v>0</v>
      </c>
      <c r="B5" s="197" t="str">
        <f>Cadastro!A4</f>
        <v>Padrão B</v>
      </c>
      <c r="C5" s="215">
        <v>1E-3</v>
      </c>
      <c r="D5" s="198">
        <v>10</v>
      </c>
      <c r="E5" s="198">
        <v>6</v>
      </c>
      <c r="F5" s="198">
        <v>80.5</v>
      </c>
      <c r="G5" s="198">
        <f t="shared" ref="G5:G17" si="1">2-LOG(F5)</f>
        <v>9.4204119632131489E-2</v>
      </c>
      <c r="H5" s="198">
        <v>8.07</v>
      </c>
      <c r="I5"/>
      <c r="K5" s="28">
        <v>2.2000000000000002</v>
      </c>
      <c r="L5" s="203">
        <v>0.14523864330636371</v>
      </c>
      <c r="M5" s="153">
        <f t="shared" si="0"/>
        <v>2.1788565611298174</v>
      </c>
      <c r="N5"/>
      <c r="O5"/>
      <c r="P5"/>
      <c r="Q5"/>
      <c r="R5"/>
      <c r="S5"/>
      <c r="T5"/>
    </row>
    <row r="6" spans="1:20" s="1" customFormat="1" ht="16" x14ac:dyDescent="0.2">
      <c r="A6" s="194">
        <v>0</v>
      </c>
      <c r="B6" s="194" t="str">
        <f>Cadastro!A5</f>
        <v>P. Labas A</v>
      </c>
      <c r="C6" s="216">
        <v>1E-3</v>
      </c>
      <c r="D6" s="195">
        <v>10</v>
      </c>
      <c r="E6" s="217">
        <v>6</v>
      </c>
      <c r="F6" s="217">
        <v>93.4</v>
      </c>
      <c r="G6" s="195">
        <f t="shared" si="1"/>
        <v>2.9653123769906697E-2</v>
      </c>
      <c r="H6" s="196">
        <f t="shared" ref="H6:H17" si="2">(G6+0.0136)/0.0729</f>
        <v>0.59332131371614116</v>
      </c>
      <c r="I6"/>
      <c r="K6" s="28">
        <v>2.1</v>
      </c>
      <c r="L6" s="203">
        <v>0.13846558914096208</v>
      </c>
      <c r="M6" s="153">
        <f t="shared" si="0"/>
        <v>2.0859477248417293</v>
      </c>
      <c r="N6"/>
      <c r="O6"/>
      <c r="P6"/>
      <c r="Q6"/>
      <c r="R6"/>
      <c r="S6"/>
      <c r="T6"/>
    </row>
    <row r="7" spans="1:20" s="1" customFormat="1" ht="16" x14ac:dyDescent="0.2">
      <c r="A7" s="194">
        <v>0</v>
      </c>
      <c r="B7" s="194" t="str">
        <f>Cadastro!A6</f>
        <v>P. Labas B</v>
      </c>
      <c r="C7" s="216">
        <v>1E-3</v>
      </c>
      <c r="D7" s="195">
        <v>10</v>
      </c>
      <c r="E7" s="217">
        <v>6</v>
      </c>
      <c r="F7" s="217">
        <v>63.7</v>
      </c>
      <c r="G7" s="195">
        <f t="shared" si="1"/>
        <v>0.19586056766464965</v>
      </c>
      <c r="H7" s="196">
        <f t="shared" si="2"/>
        <v>2.8732588157016412</v>
      </c>
      <c r="I7"/>
      <c r="K7" s="28">
        <v>2</v>
      </c>
      <c r="L7" s="203">
        <v>0.13430394008392943</v>
      </c>
      <c r="M7" s="153">
        <f t="shared" si="0"/>
        <v>2.028860632152667</v>
      </c>
      <c r="N7"/>
      <c r="O7"/>
      <c r="P7"/>
      <c r="Q7"/>
      <c r="R7"/>
      <c r="S7"/>
      <c r="T7"/>
    </row>
    <row r="8" spans="1:20" s="1" customFormat="1" ht="16" x14ac:dyDescent="0.2">
      <c r="A8" s="194">
        <v>1</v>
      </c>
      <c r="B8" s="194" t="str">
        <f>Cadastro!A7</f>
        <v>2025/13</v>
      </c>
      <c r="C8" s="216">
        <v>1E-3</v>
      </c>
      <c r="D8" s="195">
        <v>10</v>
      </c>
      <c r="E8" s="217">
        <v>6</v>
      </c>
      <c r="F8" s="217">
        <v>87.4</v>
      </c>
      <c r="G8" s="195">
        <f t="shared" si="1"/>
        <v>5.8488567365597044E-2</v>
      </c>
      <c r="H8" s="196">
        <f t="shared" si="2"/>
        <v>0.98886923683946559</v>
      </c>
      <c r="I8"/>
      <c r="K8" s="28">
        <v>2</v>
      </c>
      <c r="L8" s="203">
        <v>0.13243823863281179</v>
      </c>
      <c r="M8" s="153">
        <f t="shared" si="0"/>
        <v>2.0032680196544828</v>
      </c>
      <c r="N8"/>
      <c r="O8"/>
      <c r="P8"/>
      <c r="Q8"/>
      <c r="R8"/>
      <c r="S8"/>
      <c r="T8"/>
    </row>
    <row r="9" spans="1:20" s="1" customFormat="1" ht="16" x14ac:dyDescent="0.2">
      <c r="A9" s="194">
        <v>2</v>
      </c>
      <c r="B9" s="194" t="str">
        <f>Cadastro!A8</f>
        <v>2025/14</v>
      </c>
      <c r="C9" s="216">
        <v>1E-3</v>
      </c>
      <c r="D9" s="195">
        <v>10</v>
      </c>
      <c r="E9" s="217">
        <v>6</v>
      </c>
      <c r="F9" s="217">
        <v>91.7</v>
      </c>
      <c r="G9" s="195">
        <f t="shared" si="1"/>
        <v>3.7630664329978858E-2</v>
      </c>
      <c r="H9" s="196">
        <f t="shared" si="2"/>
        <v>0.70275259711905147</v>
      </c>
      <c r="I9"/>
      <c r="K9" s="28">
        <v>2</v>
      </c>
      <c r="L9" s="203">
        <v>0.13048080206396606</v>
      </c>
      <c r="M9" s="153">
        <f t="shared" si="0"/>
        <v>1.9764170379144863</v>
      </c>
      <c r="N9"/>
      <c r="O9"/>
      <c r="P9"/>
      <c r="Q9"/>
      <c r="R9"/>
      <c r="S9"/>
      <c r="T9"/>
    </row>
    <row r="10" spans="1:20" s="1" customFormat="1" ht="16" x14ac:dyDescent="0.2">
      <c r="A10" s="194">
        <v>3</v>
      </c>
      <c r="B10" s="194" t="str">
        <f>Cadastro!A9</f>
        <v>2025/15</v>
      </c>
      <c r="C10" s="216">
        <v>1E-3</v>
      </c>
      <c r="D10" s="195">
        <v>10</v>
      </c>
      <c r="E10" s="217">
        <v>6</v>
      </c>
      <c r="F10" s="217">
        <v>93</v>
      </c>
      <c r="G10" s="195">
        <f t="shared" si="1"/>
        <v>3.1517051446064981E-2</v>
      </c>
      <c r="H10" s="196">
        <f t="shared" si="2"/>
        <v>0.61888959459622739</v>
      </c>
      <c r="I10"/>
      <c r="K10" s="28">
        <v>1.9</v>
      </c>
      <c r="L10" s="203">
        <v>0.12493873660829991</v>
      </c>
      <c r="M10" s="153">
        <f t="shared" si="0"/>
        <v>1.900394192157749</v>
      </c>
      <c r="N10"/>
      <c r="O10"/>
      <c r="P10"/>
      <c r="Q10"/>
      <c r="R10"/>
      <c r="S10"/>
      <c r="T10"/>
    </row>
    <row r="11" spans="1:20" s="1" customFormat="1" ht="16" x14ac:dyDescent="0.2">
      <c r="A11" s="194">
        <v>4</v>
      </c>
      <c r="B11" s="194" t="str">
        <f>Cadastro!A10</f>
        <v>2025/16</v>
      </c>
      <c r="C11" s="216">
        <v>1E-3</v>
      </c>
      <c r="D11" s="195">
        <v>10</v>
      </c>
      <c r="E11" s="217">
        <v>6</v>
      </c>
      <c r="F11" s="217">
        <v>90.4</v>
      </c>
      <c r="G11" s="195">
        <f t="shared" si="1"/>
        <v>4.3831569524636738E-2</v>
      </c>
      <c r="H11" s="196">
        <f t="shared" si="2"/>
        <v>0.7878130250293105</v>
      </c>
      <c r="I11"/>
      <c r="K11" s="28">
        <v>1.8</v>
      </c>
      <c r="L11" s="203">
        <v>0.12057723185645486</v>
      </c>
      <c r="M11" s="153">
        <f t="shared" si="0"/>
        <v>1.8405655947387496</v>
      </c>
      <c r="N11"/>
      <c r="O11"/>
      <c r="P11"/>
      <c r="Q11"/>
      <c r="R11"/>
      <c r="S11"/>
      <c r="T11"/>
    </row>
    <row r="12" spans="1:20" s="1" customFormat="1" ht="16" x14ac:dyDescent="0.2">
      <c r="A12" s="194">
        <v>5</v>
      </c>
      <c r="B12" s="194" t="str">
        <f>Cadastro!A11</f>
        <v>2025/17</v>
      </c>
      <c r="C12" s="216">
        <v>1E-3</v>
      </c>
      <c r="D12" s="195">
        <v>10</v>
      </c>
      <c r="E12" s="217">
        <v>6</v>
      </c>
      <c r="F12" s="217">
        <v>90.7</v>
      </c>
      <c r="G12" s="195">
        <f t="shared" si="1"/>
        <v>4.2392712939904653E-2</v>
      </c>
      <c r="H12" s="196">
        <f t="shared" si="2"/>
        <v>0.76807562331830792</v>
      </c>
      <c r="I12"/>
      <c r="K12" s="28">
        <v>1.8</v>
      </c>
      <c r="L12" s="203">
        <v>0.11708289615038403</v>
      </c>
      <c r="M12" s="153">
        <f t="shared" si="0"/>
        <v>1.7926323203070511</v>
      </c>
      <c r="N12"/>
      <c r="O12"/>
      <c r="P12"/>
      <c r="Q12"/>
      <c r="R12"/>
      <c r="S12"/>
      <c r="T12"/>
    </row>
    <row r="13" spans="1:20" s="1" customFormat="1" ht="16" x14ac:dyDescent="0.2">
      <c r="A13" s="194">
        <v>6</v>
      </c>
      <c r="B13" s="194" t="str">
        <f>Cadastro!A12</f>
        <v>2025/18</v>
      </c>
      <c r="C13" s="216">
        <v>1E-3</v>
      </c>
      <c r="D13" s="195">
        <v>10</v>
      </c>
      <c r="E13" s="217">
        <v>6</v>
      </c>
      <c r="F13" s="217">
        <v>93.8</v>
      </c>
      <c r="G13" s="195">
        <f t="shared" si="1"/>
        <v>2.7797161620935595E-2</v>
      </c>
      <c r="H13" s="196">
        <f t="shared" si="2"/>
        <v>0.56786229932696286</v>
      </c>
      <c r="I13"/>
      <c r="K13" s="28">
        <v>1.8</v>
      </c>
      <c r="L13" s="203">
        <v>0.11627044556431931</v>
      </c>
      <c r="M13" s="153">
        <f t="shared" si="0"/>
        <v>1.7814875934748875</v>
      </c>
      <c r="N13"/>
      <c r="O13"/>
      <c r="P13"/>
      <c r="Q13"/>
      <c r="R13"/>
      <c r="S13"/>
      <c r="T13"/>
    </row>
    <row r="14" spans="1:20" s="1" customFormat="1" ht="16" x14ac:dyDescent="0.2">
      <c r="A14" s="194">
        <v>7</v>
      </c>
      <c r="B14" s="194" t="str">
        <f>Cadastro!A13</f>
        <v>2025/19</v>
      </c>
      <c r="C14" s="216">
        <v>1E-3</v>
      </c>
      <c r="D14" s="195">
        <v>10</v>
      </c>
      <c r="E14" s="217">
        <v>6</v>
      </c>
      <c r="F14" s="217">
        <v>87.8</v>
      </c>
      <c r="G14" s="195">
        <f t="shared" si="1"/>
        <v>5.650548409389744E-2</v>
      </c>
      <c r="H14" s="196">
        <f t="shared" si="2"/>
        <v>0.96166644847595928</v>
      </c>
      <c r="I14"/>
      <c r="K14" s="28">
        <v>1.6</v>
      </c>
      <c r="L14" s="203">
        <v>0.10513034325474746</v>
      </c>
      <c r="M14" s="153">
        <f t="shared" si="0"/>
        <v>1.6286741187208156</v>
      </c>
      <c r="N14"/>
      <c r="O14"/>
      <c r="P14"/>
      <c r="Q14"/>
      <c r="R14"/>
      <c r="S14"/>
      <c r="T14"/>
    </row>
    <row r="15" spans="1:20" s="1" customFormat="1" ht="16" x14ac:dyDescent="0.2">
      <c r="A15" s="194">
        <v>8</v>
      </c>
      <c r="B15" s="194" t="str">
        <f>Cadastro!A14</f>
        <v>2025/20</v>
      </c>
      <c r="C15" s="216">
        <v>1E-3</v>
      </c>
      <c r="D15" s="195">
        <v>10</v>
      </c>
      <c r="E15" s="217">
        <v>6</v>
      </c>
      <c r="F15" s="217">
        <v>96.3</v>
      </c>
      <c r="G15" s="195">
        <f t="shared" si="1"/>
        <v>1.6373712875465518E-2</v>
      </c>
      <c r="H15" s="196">
        <f t="shared" si="2"/>
        <v>0.41116204218745567</v>
      </c>
      <c r="I15"/>
      <c r="K15" s="28">
        <v>1.6</v>
      </c>
      <c r="L15" s="203">
        <v>0.10434545018712549</v>
      </c>
      <c r="M15" s="153">
        <f t="shared" si="0"/>
        <v>1.6179074099742865</v>
      </c>
      <c r="N15"/>
      <c r="O15"/>
      <c r="P15"/>
      <c r="Q15"/>
      <c r="R15"/>
      <c r="S15"/>
      <c r="T15"/>
    </row>
    <row r="16" spans="1:20" s="1" customFormat="1" ht="16" x14ac:dyDescent="0.2">
      <c r="A16" s="194">
        <v>9</v>
      </c>
      <c r="B16" s="194" t="str">
        <f>Cadastro!A15</f>
        <v>2025/21</v>
      </c>
      <c r="C16" s="216">
        <v>1E-3</v>
      </c>
      <c r="D16" s="195">
        <v>10</v>
      </c>
      <c r="E16" s="217">
        <v>6</v>
      </c>
      <c r="F16" s="217">
        <v>63.8</v>
      </c>
      <c r="G16" s="195">
        <f t="shared" si="1"/>
        <v>0.19517932127883775</v>
      </c>
      <c r="H16" s="196">
        <f t="shared" si="2"/>
        <v>2.8639138721376916</v>
      </c>
      <c r="I16"/>
      <c r="K16" s="28">
        <v>1.6</v>
      </c>
      <c r="L16" s="203">
        <v>0.10282392950157382</v>
      </c>
      <c r="M16" s="153">
        <f t="shared" si="0"/>
        <v>1.5970360699804362</v>
      </c>
      <c r="N16"/>
      <c r="O16"/>
      <c r="P16"/>
      <c r="Q16"/>
      <c r="R16"/>
      <c r="S16"/>
      <c r="T16"/>
    </row>
    <row r="17" spans="1:20" s="1" customFormat="1" ht="16" x14ac:dyDescent="0.2">
      <c r="A17" s="194">
        <v>10</v>
      </c>
      <c r="B17" s="194" t="str">
        <f>Cadastro!A16</f>
        <v>2025/22</v>
      </c>
      <c r="C17" s="216">
        <v>1E-3</v>
      </c>
      <c r="D17" s="195">
        <v>10</v>
      </c>
      <c r="E17" s="217">
        <v>6</v>
      </c>
      <c r="F17" s="217">
        <v>72.8</v>
      </c>
      <c r="G17" s="195">
        <f t="shared" si="1"/>
        <v>0.13786862068696282</v>
      </c>
      <c r="H17" s="196">
        <f t="shared" si="2"/>
        <v>2.0777588571599837</v>
      </c>
      <c r="I17"/>
      <c r="K17" s="28">
        <v>1.4</v>
      </c>
      <c r="L17" s="203">
        <v>8.6101415495849931E-2</v>
      </c>
      <c r="M17" s="153">
        <f t="shared" si="0"/>
        <v>1.3676463030980786</v>
      </c>
      <c r="N17"/>
      <c r="O17"/>
      <c r="P17"/>
      <c r="Q17"/>
      <c r="R17"/>
      <c r="S17"/>
      <c r="T17"/>
    </row>
    <row r="18" spans="1:20" s="1" customFormat="1" x14ac:dyDescent="0.2">
      <c r="A18"/>
      <c r="B18"/>
      <c r="C18"/>
      <c r="D18"/>
      <c r="E18"/>
      <c r="F18"/>
      <c r="G18"/>
      <c r="H18"/>
      <c r="I18"/>
      <c r="K18" s="28">
        <v>1.3</v>
      </c>
      <c r="L18" s="203">
        <v>7.9354998593212489E-2</v>
      </c>
      <c r="M18" s="153">
        <f t="shared" si="0"/>
        <v>1.2751028613609394</v>
      </c>
      <c r="N18"/>
      <c r="O18"/>
      <c r="P18"/>
      <c r="Q18"/>
      <c r="R18"/>
      <c r="S18"/>
      <c r="T18"/>
    </row>
    <row r="19" spans="1:20" s="1" customFormat="1" x14ac:dyDescent="0.2">
      <c r="A19"/>
      <c r="B19"/>
      <c r="C19"/>
      <c r="D19"/>
      <c r="E19"/>
      <c r="F19"/>
      <c r="G19"/>
      <c r="H19"/>
      <c r="I19"/>
      <c r="K19" s="28">
        <v>1.2</v>
      </c>
      <c r="L19" s="203">
        <v>7.6787077553268634E-2</v>
      </c>
      <c r="M19" s="153">
        <f t="shared" si="0"/>
        <v>1.2398776070407218</v>
      </c>
      <c r="N19"/>
      <c r="O19"/>
      <c r="P19"/>
      <c r="Q19"/>
      <c r="R19"/>
      <c r="S19"/>
      <c r="T19"/>
    </row>
    <row r="20" spans="1:20" s="1" customFormat="1" x14ac:dyDescent="0.2">
      <c r="A20"/>
      <c r="B20"/>
      <c r="C20"/>
      <c r="D20"/>
      <c r="E20"/>
      <c r="F20"/>
      <c r="G20"/>
      <c r="H20"/>
      <c r="I20"/>
      <c r="K20" s="28">
        <v>1.34</v>
      </c>
      <c r="L20" s="203">
        <v>7.6238039171299787E-2</v>
      </c>
      <c r="M20" s="153">
        <f t="shared" si="0"/>
        <v>1.2323462163415608</v>
      </c>
      <c r="N20"/>
      <c r="O20"/>
      <c r="P20"/>
      <c r="Q20"/>
      <c r="R20"/>
      <c r="S20"/>
      <c r="T20"/>
    </row>
    <row r="21" spans="1:20" s="1" customFormat="1" x14ac:dyDescent="0.2">
      <c r="A21"/>
      <c r="B21"/>
      <c r="C21"/>
      <c r="D21"/>
      <c r="E21"/>
      <c r="F21"/>
      <c r="G21"/>
      <c r="H21"/>
      <c r="I21"/>
      <c r="K21" s="28">
        <v>1.2</v>
      </c>
      <c r="L21" s="203">
        <v>7.5756906652994394E-2</v>
      </c>
      <c r="M21" s="153">
        <f t="shared" si="0"/>
        <v>1.2257463189711164</v>
      </c>
      <c r="N21"/>
      <c r="O21"/>
      <c r="P21"/>
      <c r="Q21"/>
      <c r="R21"/>
      <c r="S21"/>
      <c r="T21"/>
    </row>
    <row r="22" spans="1:20" s="1" customFormat="1" x14ac:dyDescent="0.2">
      <c r="A22"/>
      <c r="B22"/>
      <c r="C22"/>
      <c r="D22"/>
      <c r="E22"/>
      <c r="F22"/>
      <c r="G22"/>
      <c r="H22"/>
      <c r="I22"/>
      <c r="K22" s="28">
        <v>1.2</v>
      </c>
      <c r="L22" s="203">
        <v>7.2835025700630052E-2</v>
      </c>
      <c r="M22" s="153">
        <f t="shared" si="0"/>
        <v>1.1856656474709197</v>
      </c>
      <c r="N22"/>
      <c r="O22"/>
      <c r="P22"/>
      <c r="Q22"/>
      <c r="R22"/>
      <c r="S22"/>
      <c r="T22"/>
    </row>
    <row r="23" spans="1:20" s="1" customFormat="1" x14ac:dyDescent="0.2">
      <c r="A23"/>
      <c r="B23"/>
      <c r="C23"/>
      <c r="D23"/>
      <c r="E23"/>
      <c r="F23"/>
      <c r="G23"/>
      <c r="H23"/>
      <c r="I23"/>
      <c r="K23" s="28">
        <v>1.1000000000000001</v>
      </c>
      <c r="L23" s="203">
        <v>6.6022003877691304E-2</v>
      </c>
      <c r="M23" s="153">
        <f t="shared" si="0"/>
        <v>1.0922085579930219</v>
      </c>
      <c r="N23"/>
      <c r="O23"/>
      <c r="P23"/>
      <c r="Q23"/>
      <c r="R23"/>
      <c r="S23"/>
      <c r="T23"/>
    </row>
    <row r="24" spans="1:20" s="1" customFormat="1" x14ac:dyDescent="0.2">
      <c r="A24"/>
      <c r="B24"/>
      <c r="C24"/>
      <c r="D24"/>
      <c r="E24"/>
      <c r="F24"/>
      <c r="G24"/>
      <c r="H24"/>
      <c r="I24"/>
      <c r="K24" s="28">
        <v>1</v>
      </c>
      <c r="L24" s="203">
        <v>6.2617532686347399E-2</v>
      </c>
      <c r="M24" s="153">
        <f t="shared" si="0"/>
        <v>1.045507992954011</v>
      </c>
      <c r="N24"/>
      <c r="O24"/>
      <c r="P24"/>
      <c r="Q24"/>
      <c r="R24"/>
      <c r="S24"/>
      <c r="T24"/>
    </row>
    <row r="25" spans="1:20" s="1" customFormat="1" x14ac:dyDescent="0.2">
      <c r="A25"/>
      <c r="B25"/>
      <c r="C25"/>
      <c r="D25"/>
      <c r="E25"/>
      <c r="F25"/>
      <c r="G25"/>
      <c r="H25"/>
      <c r="I25"/>
      <c r="K25" s="28">
        <v>0.9</v>
      </c>
      <c r="L25" s="203">
        <v>5.1895257898810998E-2</v>
      </c>
      <c r="M25" s="153">
        <f t="shared" si="0"/>
        <v>0.89842603427724266</v>
      </c>
      <c r="N25"/>
      <c r="O25"/>
      <c r="P25"/>
      <c r="Q25"/>
      <c r="R25"/>
      <c r="S25"/>
      <c r="T25"/>
    </row>
    <row r="26" spans="1:20" s="1" customFormat="1" x14ac:dyDescent="0.2">
      <c r="A26"/>
      <c r="B26"/>
      <c r="C26"/>
      <c r="D26"/>
      <c r="E26"/>
      <c r="F26"/>
      <c r="G26"/>
      <c r="H26"/>
      <c r="I26"/>
      <c r="K26" s="28">
        <v>0.8</v>
      </c>
      <c r="L26" s="203">
        <v>4.5236649624489367E-2</v>
      </c>
      <c r="M26" s="153">
        <f t="shared" si="0"/>
        <v>0.80708710047310506</v>
      </c>
      <c r="N26"/>
      <c r="O26"/>
      <c r="P26"/>
      <c r="Q26"/>
      <c r="R26"/>
      <c r="S26"/>
      <c r="T26"/>
    </row>
    <row r="27" spans="1:20" s="1" customFormat="1" x14ac:dyDescent="0.2">
      <c r="A27"/>
      <c r="B27"/>
      <c r="C27"/>
      <c r="D27"/>
      <c r="E27"/>
      <c r="F27"/>
      <c r="G27"/>
      <c r="H27"/>
      <c r="I27"/>
      <c r="K27"/>
      <c r="L27"/>
      <c r="M27"/>
      <c r="N27"/>
      <c r="O27"/>
      <c r="P27"/>
      <c r="Q27"/>
      <c r="R27"/>
      <c r="S27"/>
      <c r="T27"/>
    </row>
    <row r="28" spans="1:20" s="1" customFormat="1" x14ac:dyDescent="0.2">
      <c r="A28"/>
      <c r="B28"/>
      <c r="C28"/>
      <c r="D28"/>
      <c r="E28"/>
      <c r="F28"/>
      <c r="G28"/>
      <c r="H28"/>
      <c r="I28"/>
      <c r="K28"/>
      <c r="L28"/>
      <c r="M28"/>
      <c r="N28"/>
      <c r="O28"/>
      <c r="P28"/>
      <c r="Q28"/>
      <c r="R28"/>
      <c r="S28"/>
      <c r="T28"/>
    </row>
    <row r="29" spans="1:20" s="1" customFormat="1" x14ac:dyDescent="0.2">
      <c r="A29"/>
      <c r="B29"/>
      <c r="C29"/>
      <c r="D29"/>
      <c r="E29"/>
      <c r="F29"/>
      <c r="G29"/>
      <c r="H29"/>
      <c r="I29"/>
      <c r="K29"/>
      <c r="L29"/>
      <c r="M29"/>
      <c r="N29"/>
      <c r="O29"/>
      <c r="P29"/>
      <c r="Q29"/>
      <c r="R29"/>
      <c r="S29"/>
      <c r="T29"/>
    </row>
    <row r="30" spans="1:20" s="1" customFormat="1" x14ac:dyDescent="0.2">
      <c r="A30"/>
      <c r="B30"/>
      <c r="C30"/>
      <c r="D30"/>
      <c r="E30"/>
      <c r="F30"/>
      <c r="G30"/>
      <c r="H30"/>
      <c r="I30"/>
      <c r="K30"/>
      <c r="L30"/>
      <c r="M30"/>
      <c r="N30"/>
      <c r="O30"/>
      <c r="P30"/>
      <c r="Q30"/>
      <c r="R30"/>
      <c r="S30"/>
      <c r="T30"/>
    </row>
  </sheetData>
  <mergeCells count="1">
    <mergeCell ref="B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1"/>
  <sheetViews>
    <sheetView topLeftCell="C1" workbookViewId="0">
      <selection activeCell="G7" sqref="G7"/>
    </sheetView>
  </sheetViews>
  <sheetFormatPr baseColWidth="10" defaultColWidth="8.83203125" defaultRowHeight="15" x14ac:dyDescent="0.2"/>
  <cols>
    <col min="2" max="2" width="15.5" customWidth="1"/>
    <col min="3" max="3" width="12.1640625" bestFit="1" customWidth="1"/>
    <col min="4" max="4" width="14.6640625" bestFit="1" customWidth="1"/>
    <col min="5" max="5" width="12.1640625" bestFit="1" customWidth="1"/>
    <col min="6" max="6" width="12.6640625" customWidth="1"/>
    <col min="7" max="7" width="25.33203125" bestFit="1" customWidth="1"/>
    <col min="8" max="9" width="25.33203125" customWidth="1"/>
  </cols>
  <sheetData>
    <row r="1" spans="1:18" ht="19" x14ac:dyDescent="0.25">
      <c r="A1" s="148"/>
      <c r="B1" s="322" t="s">
        <v>151</v>
      </c>
      <c r="C1" s="323"/>
      <c r="D1" s="323"/>
      <c r="E1" s="323"/>
      <c r="F1" s="323"/>
      <c r="G1" s="324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105" t="s">
        <v>128</v>
      </c>
      <c r="B2" s="34" t="s">
        <v>39</v>
      </c>
      <c r="C2" s="34" t="s">
        <v>47</v>
      </c>
      <c r="D2" s="34" t="s">
        <v>41</v>
      </c>
      <c r="E2" s="34" t="s">
        <v>42</v>
      </c>
      <c r="F2" s="34" t="s">
        <v>67</v>
      </c>
      <c r="G2" s="127" t="s">
        <v>126</v>
      </c>
      <c r="J2" s="321" t="s">
        <v>45</v>
      </c>
      <c r="K2" s="321"/>
      <c r="L2" s="321"/>
      <c r="M2" s="321"/>
      <c r="N2" s="1"/>
      <c r="O2" s="1"/>
      <c r="P2" s="1"/>
      <c r="Q2" s="1"/>
      <c r="R2" s="1"/>
    </row>
    <row r="3" spans="1:18" ht="16" x14ac:dyDescent="0.2">
      <c r="A3" s="194" t="s">
        <v>107</v>
      </c>
      <c r="B3" s="194" t="str">
        <f>Cadastro!A2</f>
        <v>*</v>
      </c>
      <c r="C3" s="217"/>
      <c r="D3" s="217"/>
      <c r="E3" s="217"/>
      <c r="F3" s="195"/>
      <c r="G3" s="232"/>
      <c r="J3" s="23" t="s">
        <v>75</v>
      </c>
      <c r="K3" s="23" t="s">
        <v>72</v>
      </c>
      <c r="L3" s="23" t="s">
        <v>70</v>
      </c>
      <c r="M3" s="23" t="s">
        <v>53</v>
      </c>
      <c r="N3" s="1"/>
      <c r="O3" s="1"/>
      <c r="P3" s="1"/>
      <c r="Q3" s="1"/>
      <c r="R3" s="1"/>
    </row>
    <row r="4" spans="1:18" s="125" customFormat="1" ht="16" x14ac:dyDescent="0.2">
      <c r="A4" s="197">
        <v>1</v>
      </c>
      <c r="B4" s="197" t="str">
        <f>Cadastro!A3</f>
        <v>Padrão A</v>
      </c>
      <c r="C4" s="215">
        <v>5.0000000000000001E-3</v>
      </c>
      <c r="D4" s="198">
        <v>50</v>
      </c>
      <c r="E4" s="198">
        <v>10</v>
      </c>
      <c r="F4" s="198" t="s">
        <v>133</v>
      </c>
      <c r="G4" s="233">
        <v>0</v>
      </c>
      <c r="H4"/>
      <c r="I4"/>
      <c r="J4" s="126">
        <v>0</v>
      </c>
      <c r="K4" s="126"/>
      <c r="L4" s="126">
        <v>-2.0000000000000001E-4</v>
      </c>
      <c r="M4" s="126">
        <f>J4*L4</f>
        <v>0</v>
      </c>
    </row>
    <row r="5" spans="1:18" ht="16" x14ac:dyDescent="0.2">
      <c r="A5" s="197">
        <v>2</v>
      </c>
      <c r="B5" s="197" t="str">
        <f>Cadastro!A4</f>
        <v>Padrão B</v>
      </c>
      <c r="C5" s="215">
        <v>5.0000000000000001E-3</v>
      </c>
      <c r="D5" s="198">
        <v>50</v>
      </c>
      <c r="E5" s="198">
        <v>10</v>
      </c>
      <c r="F5" s="198" t="s">
        <v>133</v>
      </c>
      <c r="G5" s="233">
        <v>4.75</v>
      </c>
      <c r="J5" s="6">
        <v>1</v>
      </c>
      <c r="K5" s="6"/>
      <c r="L5" s="6">
        <v>6.3899999999999998E-2</v>
      </c>
      <c r="M5" s="6">
        <f t="shared" ref="M5:M8" si="0">J5*L5</f>
        <v>6.3899999999999998E-2</v>
      </c>
      <c r="N5" s="1"/>
      <c r="O5" s="1"/>
      <c r="P5" s="1"/>
      <c r="Q5" s="1"/>
      <c r="R5" s="1"/>
    </row>
    <row r="6" spans="1:18" ht="16" x14ac:dyDescent="0.2">
      <c r="A6" s="194">
        <v>3</v>
      </c>
      <c r="B6" s="194" t="str">
        <f>Cadastro!A5</f>
        <v>P. Labas A</v>
      </c>
      <c r="C6" s="231">
        <v>5.0000000000000001E-3</v>
      </c>
      <c r="D6" s="217">
        <v>50</v>
      </c>
      <c r="E6" s="217">
        <v>10</v>
      </c>
      <c r="F6" s="195">
        <v>9.4000000000000195E-3</v>
      </c>
      <c r="G6" s="232">
        <f>((F6)/M$17)*E6*D6/1000/200/C6</f>
        <v>0.11530886586002867</v>
      </c>
      <c r="J6" s="6">
        <v>2</v>
      </c>
      <c r="K6" s="6"/>
      <c r="L6" s="6">
        <v>0.1086</v>
      </c>
      <c r="M6" s="6">
        <f t="shared" si="0"/>
        <v>0.2172</v>
      </c>
      <c r="N6" s="1"/>
      <c r="O6" s="1"/>
      <c r="P6" s="1"/>
      <c r="Q6" s="1"/>
      <c r="R6" s="1"/>
    </row>
    <row r="7" spans="1:18" ht="16" x14ac:dyDescent="0.2">
      <c r="A7" s="194">
        <v>4</v>
      </c>
      <c r="B7" s="194" t="str">
        <f>Cadastro!A6</f>
        <v>P. Labas B</v>
      </c>
      <c r="C7" s="231">
        <v>5.0000000000000001E-3</v>
      </c>
      <c r="D7" s="217">
        <v>50</v>
      </c>
      <c r="E7" s="217">
        <v>10</v>
      </c>
      <c r="F7" s="195">
        <v>0.4264</v>
      </c>
      <c r="G7" s="232">
        <f t="shared" ref="G7:G17" si="1">((F7-M$18)/M$17)*E7*D7/1000/200/C7</f>
        <v>4.9653609860553045</v>
      </c>
      <c r="J7" s="143">
        <v>4</v>
      </c>
      <c r="K7" s="143"/>
      <c r="L7" s="143">
        <v>0.19589999999999999</v>
      </c>
      <c r="M7" s="143">
        <f t="shared" si="0"/>
        <v>0.78359999999999996</v>
      </c>
      <c r="N7" s="1"/>
      <c r="O7" s="1"/>
      <c r="P7" s="1"/>
      <c r="Q7" s="1"/>
      <c r="R7" s="1"/>
    </row>
    <row r="8" spans="1:18" ht="16" x14ac:dyDescent="0.2">
      <c r="A8" s="194">
        <v>5</v>
      </c>
      <c r="B8" s="194" t="str">
        <f>Cadastro!A7</f>
        <v>2025/13</v>
      </c>
      <c r="C8" s="231">
        <v>5.0000000000000001E-3</v>
      </c>
      <c r="D8" s="217">
        <v>50</v>
      </c>
      <c r="E8" s="217">
        <v>10</v>
      </c>
      <c r="F8" s="195">
        <v>0.1731</v>
      </c>
      <c r="G8" s="232">
        <f t="shared" si="1"/>
        <v>1.8581550581462398</v>
      </c>
      <c r="J8" s="6">
        <v>8</v>
      </c>
      <c r="K8" s="6"/>
      <c r="L8" s="6">
        <v>0.36209999999999998</v>
      </c>
      <c r="M8" s="6">
        <f t="shared" si="0"/>
        <v>2.8967999999999998</v>
      </c>
      <c r="N8" s="1"/>
      <c r="O8" s="1"/>
      <c r="P8" s="1"/>
      <c r="Q8" s="1"/>
      <c r="R8" s="1"/>
    </row>
    <row r="9" spans="1:18" ht="16" x14ac:dyDescent="0.2">
      <c r="A9" s="194">
        <v>6</v>
      </c>
      <c r="B9" s="194" t="str">
        <f>Cadastro!A8</f>
        <v>2025/14</v>
      </c>
      <c r="C9" s="231">
        <v>5.0000000000000001E-3</v>
      </c>
      <c r="D9" s="217">
        <v>50</v>
      </c>
      <c r="E9" s="217">
        <v>10</v>
      </c>
      <c r="F9" s="195">
        <v>0.2296</v>
      </c>
      <c r="G9" s="232">
        <f t="shared" si="1"/>
        <v>2.5512349433687511</v>
      </c>
      <c r="J9" s="6">
        <v>16</v>
      </c>
      <c r="K9" s="6"/>
      <c r="L9" s="6">
        <v>0.66300000000000003</v>
      </c>
      <c r="M9" s="6">
        <f>J9*L9</f>
        <v>10.608000000000001</v>
      </c>
      <c r="N9" s="1"/>
      <c r="O9" s="1"/>
      <c r="P9" s="1"/>
      <c r="Q9" s="1"/>
      <c r="R9" s="1"/>
    </row>
    <row r="10" spans="1:18" ht="16" x14ac:dyDescent="0.2">
      <c r="A10" s="194">
        <v>7</v>
      </c>
      <c r="B10" s="194" t="str">
        <f>Cadastro!A9</f>
        <v>2025/15</v>
      </c>
      <c r="C10" s="231">
        <v>5.0000000000000001E-3</v>
      </c>
      <c r="D10" s="217">
        <v>50</v>
      </c>
      <c r="E10" s="217">
        <v>10</v>
      </c>
      <c r="F10" s="195">
        <v>0.23269999999999999</v>
      </c>
      <c r="G10" s="232">
        <f t="shared" si="1"/>
        <v>2.5892623353013136</v>
      </c>
      <c r="J10" s="6"/>
      <c r="K10" s="6"/>
      <c r="L10" s="6"/>
      <c r="M10" s="6"/>
      <c r="N10" s="1"/>
      <c r="O10" s="1"/>
      <c r="P10" s="1"/>
      <c r="Q10" s="1"/>
      <c r="R10" s="1"/>
    </row>
    <row r="11" spans="1:18" ht="17" thickBot="1" x14ac:dyDescent="0.25">
      <c r="A11" s="194">
        <v>8</v>
      </c>
      <c r="B11" s="194" t="str">
        <f>Cadastro!A10</f>
        <v>2025/16</v>
      </c>
      <c r="C11" s="231">
        <v>5.0000000000000001E-3</v>
      </c>
      <c r="D11" s="217">
        <v>50</v>
      </c>
      <c r="E11" s="217">
        <v>10</v>
      </c>
      <c r="F11" s="195">
        <v>0.25600000000000001</v>
      </c>
      <c r="G11" s="232">
        <f t="shared" si="1"/>
        <v>2.8750811198267034</v>
      </c>
      <c r="K11" s="1"/>
      <c r="L11" s="67" t="s">
        <v>54</v>
      </c>
      <c r="M11" s="68">
        <f>SUM(M4:M10)</f>
        <v>14.569500000000001</v>
      </c>
      <c r="N11" s="1"/>
      <c r="O11" s="1"/>
      <c r="P11" s="1"/>
      <c r="Q11" s="1"/>
      <c r="R11" s="1"/>
    </row>
    <row r="12" spans="1:18" ht="16" x14ac:dyDescent="0.2">
      <c r="A12" s="194">
        <v>9</v>
      </c>
      <c r="B12" s="194" t="str">
        <f>Cadastro!A11</f>
        <v>2025/17</v>
      </c>
      <c r="C12" s="231">
        <v>5.0000000000000001E-3</v>
      </c>
      <c r="D12" s="217">
        <v>50</v>
      </c>
      <c r="E12" s="217">
        <v>10</v>
      </c>
      <c r="F12" s="195">
        <v>0.32850000000000001</v>
      </c>
      <c r="G12" s="232">
        <f t="shared" si="1"/>
        <v>3.7644314150237315</v>
      </c>
      <c r="J12" s="1"/>
      <c r="K12" s="1"/>
      <c r="L12" s="1"/>
      <c r="M12" s="1"/>
      <c r="N12" s="1"/>
      <c r="O12" s="1"/>
      <c r="P12" s="1"/>
      <c r="Q12" s="1"/>
      <c r="R12" s="1"/>
    </row>
    <row r="13" spans="1:18" ht="16" x14ac:dyDescent="0.2">
      <c r="A13" s="194">
        <v>10</v>
      </c>
      <c r="B13" s="194" t="str">
        <f>Cadastro!A12</f>
        <v>2025/18</v>
      </c>
      <c r="C13" s="231">
        <v>5.0000000000000001E-3</v>
      </c>
      <c r="D13" s="195">
        <v>50</v>
      </c>
      <c r="E13" s="217">
        <v>10</v>
      </c>
      <c r="F13" s="195">
        <v>0.27170000000000005</v>
      </c>
      <c r="G13" s="232">
        <f t="shared" si="1"/>
        <v>3.0676714596141981</v>
      </c>
      <c r="J13" s="162" t="s">
        <v>49</v>
      </c>
      <c r="K13" s="163"/>
      <c r="L13" s="164">
        <f>SUM(J4:J10)</f>
        <v>31</v>
      </c>
      <c r="M13" s="163" t="s">
        <v>55</v>
      </c>
      <c r="N13" s="50">
        <f>M11</f>
        <v>14.569500000000001</v>
      </c>
      <c r="O13" s="1"/>
      <c r="P13" s="1"/>
      <c r="Q13" s="1"/>
      <c r="R13" s="1"/>
    </row>
    <row r="14" spans="1:18" ht="16" x14ac:dyDescent="0.2">
      <c r="A14" s="194">
        <v>11</v>
      </c>
      <c r="B14" s="194" t="str">
        <f>Cadastro!A13</f>
        <v>2025/19</v>
      </c>
      <c r="C14" s="231">
        <v>5.0000000000000001E-3</v>
      </c>
      <c r="D14" s="217">
        <v>50</v>
      </c>
      <c r="E14" s="217">
        <v>10</v>
      </c>
      <c r="F14" s="195">
        <v>0.39890000000000003</v>
      </c>
      <c r="G14" s="232">
        <f t="shared" si="1"/>
        <v>4.6280212189116048</v>
      </c>
      <c r="J14" s="165" t="s">
        <v>50</v>
      </c>
      <c r="K14" s="41"/>
      <c r="L14" s="42">
        <f>J4^2+J5^2+J6^2+J7^2+J8^2+J9^2+J10^2</f>
        <v>341</v>
      </c>
      <c r="M14" s="41" t="s">
        <v>57</v>
      </c>
      <c r="N14" s="51">
        <f>AVERAGE(L4:L10)</f>
        <v>0.23221666666666665</v>
      </c>
      <c r="O14" s="1"/>
      <c r="P14" s="1"/>
      <c r="Q14" s="1"/>
      <c r="R14" s="1"/>
    </row>
    <row r="15" spans="1:18" ht="16" x14ac:dyDescent="0.2">
      <c r="A15" s="194">
        <v>12</v>
      </c>
      <c r="B15" s="194" t="str">
        <f>Cadastro!A14</f>
        <v>2025/20</v>
      </c>
      <c r="C15" s="231">
        <v>5.0000000000000001E-3</v>
      </c>
      <c r="D15" s="217">
        <v>50</v>
      </c>
      <c r="E15" s="217">
        <v>10</v>
      </c>
      <c r="F15" s="195">
        <v>0.23960000000000001</v>
      </c>
      <c r="G15" s="232">
        <f t="shared" si="1"/>
        <v>2.6739039496028241</v>
      </c>
      <c r="J15" s="166" t="s">
        <v>51</v>
      </c>
      <c r="K15" s="158"/>
      <c r="L15" s="7">
        <f>SUM(J4:J10)^2</f>
        <v>961</v>
      </c>
      <c r="M15" s="159" t="s">
        <v>59</v>
      </c>
      <c r="N15" s="167">
        <f>AVERAGE(J4:J10)</f>
        <v>5.166666666666667</v>
      </c>
    </row>
    <row r="16" spans="1:18" ht="16" x14ac:dyDescent="0.2">
      <c r="A16" s="194">
        <v>13</v>
      </c>
      <c r="B16" s="194" t="str">
        <f>Cadastro!A15</f>
        <v>2025/21</v>
      </c>
      <c r="C16" s="231">
        <v>5.0000000000000001E-3</v>
      </c>
      <c r="D16" s="217">
        <v>50</v>
      </c>
      <c r="E16" s="217">
        <v>10</v>
      </c>
      <c r="F16" s="195">
        <v>0.874</v>
      </c>
      <c r="G16" s="232">
        <f t="shared" si="1"/>
        <v>10.456025705092403</v>
      </c>
      <c r="J16" s="168" t="s">
        <v>52</v>
      </c>
      <c r="K16" s="160"/>
      <c r="L16" s="161">
        <f>SUM(L4:L10)</f>
        <v>1.3933</v>
      </c>
      <c r="M16" s="161"/>
      <c r="N16" s="169"/>
    </row>
    <row r="17" spans="1:18" ht="16" x14ac:dyDescent="0.2">
      <c r="A17" s="194">
        <v>14</v>
      </c>
      <c r="B17" s="194" t="str">
        <f>Cadastro!A16</f>
        <v>2025/22</v>
      </c>
      <c r="C17" s="231">
        <v>5.0000000000000001E-3</v>
      </c>
      <c r="D17" s="217">
        <v>50</v>
      </c>
      <c r="E17" s="217">
        <v>10</v>
      </c>
      <c r="F17" s="195">
        <v>0.74439999999999995</v>
      </c>
      <c r="G17" s="232">
        <f t="shared" si="1"/>
        <v>8.8662353842988182</v>
      </c>
      <c r="J17" s="53"/>
      <c r="K17" s="42"/>
      <c r="L17" s="49" t="s">
        <v>56</v>
      </c>
      <c r="M17" s="50">
        <f>(N13-(L13*L16/6))/((L14-(L15/6)))</f>
        <v>4.0760092165898619E-2</v>
      </c>
      <c r="N17" s="51"/>
      <c r="O17" s="1"/>
      <c r="P17" s="1"/>
      <c r="Q17" s="1"/>
      <c r="R17" s="1"/>
    </row>
    <row r="18" spans="1:18" x14ac:dyDescent="0.2">
      <c r="J18" s="170"/>
      <c r="K18" s="52"/>
      <c r="L18" s="170" t="s">
        <v>58</v>
      </c>
      <c r="M18" s="171">
        <f>N14-(M17*N15)</f>
        <v>2.162285714285711E-2</v>
      </c>
      <c r="N18" s="171"/>
      <c r="O18" s="1"/>
      <c r="P18" s="1"/>
      <c r="Q18" s="1"/>
      <c r="R18" s="1"/>
    </row>
    <row r="19" spans="1:18" x14ac:dyDescent="0.2"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J20" s="1"/>
      <c r="L20" s="1"/>
      <c r="M20" s="1"/>
      <c r="N20" s="1"/>
      <c r="O20" s="1"/>
      <c r="P20" s="1"/>
      <c r="Q20" s="1"/>
      <c r="R20" s="1"/>
    </row>
    <row r="21" spans="1:18" x14ac:dyDescent="0.2">
      <c r="J21" s="1"/>
      <c r="K21" s="1"/>
      <c r="L21" s="1"/>
      <c r="M21" s="1"/>
      <c r="N21" s="1"/>
      <c r="O21" s="1"/>
      <c r="P21" s="1"/>
      <c r="Q21" s="1"/>
      <c r="R21" s="1"/>
    </row>
    <row r="29" spans="1:18" x14ac:dyDescent="0.2">
      <c r="I29" t="s">
        <v>213</v>
      </c>
    </row>
    <row r="30" spans="1:18" x14ac:dyDescent="0.2">
      <c r="I30" t="s">
        <v>214</v>
      </c>
    </row>
    <row r="31" spans="1:18" x14ac:dyDescent="0.2">
      <c r="I31" t="s">
        <v>215</v>
      </c>
    </row>
  </sheetData>
  <mergeCells count="2">
    <mergeCell ref="J2:M2"/>
    <mergeCell ref="B1:G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1"/>
  <sheetViews>
    <sheetView topLeftCell="C1" workbookViewId="0">
      <selection activeCell="C8" sqref="C8"/>
    </sheetView>
  </sheetViews>
  <sheetFormatPr baseColWidth="10" defaultColWidth="8.83203125" defaultRowHeight="15" x14ac:dyDescent="0.2"/>
  <cols>
    <col min="2" max="2" width="12.5" bestFit="1" customWidth="1"/>
    <col min="3" max="3" width="12.1640625" bestFit="1" customWidth="1"/>
    <col min="4" max="4" width="14.6640625" bestFit="1" customWidth="1"/>
    <col min="5" max="5" width="12.1640625" bestFit="1" customWidth="1"/>
    <col min="6" max="6" width="12.6640625" bestFit="1" customWidth="1"/>
    <col min="7" max="7" width="26.5" bestFit="1" customWidth="1"/>
    <col min="8" max="9" width="26.5" customWidth="1"/>
  </cols>
  <sheetData>
    <row r="1" spans="1:26" ht="20" thickBot="1" x14ac:dyDescent="0.3">
      <c r="A1" s="148"/>
      <c r="B1" s="317" t="s">
        <v>95</v>
      </c>
      <c r="C1" s="317"/>
      <c r="D1" s="317"/>
      <c r="E1" s="317"/>
      <c r="F1" s="317"/>
      <c r="G1" s="317"/>
      <c r="I1" s="184"/>
      <c r="J1" s="1"/>
      <c r="K1" s="1"/>
      <c r="L1" s="1"/>
      <c r="M1" s="1"/>
      <c r="N1" s="1"/>
      <c r="O1" s="1"/>
      <c r="P1" s="1"/>
      <c r="Q1" s="1"/>
      <c r="R1" s="1"/>
    </row>
    <row r="2" spans="1:26" x14ac:dyDescent="0.2">
      <c r="A2" s="30" t="s">
        <v>128</v>
      </c>
      <c r="B2" s="35" t="s">
        <v>39</v>
      </c>
      <c r="C2" s="35" t="s">
        <v>47</v>
      </c>
      <c r="D2" s="35" t="s">
        <v>41</v>
      </c>
      <c r="E2" s="35" t="s">
        <v>42</v>
      </c>
      <c r="F2" s="35" t="s">
        <v>67</v>
      </c>
      <c r="G2" s="124" t="s">
        <v>124</v>
      </c>
      <c r="I2" s="127"/>
      <c r="J2" s="309" t="s">
        <v>45</v>
      </c>
      <c r="K2" s="310"/>
      <c r="L2" s="310"/>
      <c r="M2" s="311"/>
      <c r="N2" s="1"/>
      <c r="O2" s="1"/>
      <c r="P2" s="1"/>
      <c r="Q2" s="1"/>
      <c r="R2" s="1"/>
    </row>
    <row r="3" spans="1:26" ht="16" x14ac:dyDescent="0.2">
      <c r="A3" s="194" t="s">
        <v>107</v>
      </c>
      <c r="B3" s="194" t="str">
        <f>Cadastro!A2</f>
        <v>*</v>
      </c>
      <c r="C3" s="217"/>
      <c r="D3" s="217"/>
      <c r="E3" s="217"/>
      <c r="F3" s="195"/>
      <c r="G3" s="196"/>
      <c r="I3" s="104"/>
      <c r="J3" s="86" t="s">
        <v>76</v>
      </c>
      <c r="K3" s="64" t="s">
        <v>72</v>
      </c>
      <c r="L3" s="64" t="s">
        <v>70</v>
      </c>
      <c r="M3" s="87" t="s">
        <v>53</v>
      </c>
      <c r="N3" s="1"/>
      <c r="O3" s="1"/>
      <c r="P3" s="1"/>
      <c r="Q3" s="1"/>
      <c r="R3" s="1"/>
    </row>
    <row r="4" spans="1:26" ht="16" x14ac:dyDescent="0.2">
      <c r="A4" s="197">
        <v>1</v>
      </c>
      <c r="B4" s="197" t="str">
        <f>Cadastro!A3</f>
        <v>Padrão A</v>
      </c>
      <c r="C4" s="198">
        <v>5.0000000000000001E-3</v>
      </c>
      <c r="D4" s="198">
        <v>50</v>
      </c>
      <c r="E4" s="198">
        <v>10</v>
      </c>
      <c r="F4" s="198">
        <v>2.5500000000000002E-2</v>
      </c>
      <c r="G4" s="198">
        <v>0</v>
      </c>
      <c r="I4" s="104"/>
      <c r="J4" s="96">
        <v>0</v>
      </c>
      <c r="K4" s="84"/>
      <c r="L4" s="126">
        <v>0</v>
      </c>
      <c r="M4" s="97">
        <f>J4*L4</f>
        <v>0</v>
      </c>
      <c r="N4" s="1"/>
      <c r="O4" s="1"/>
      <c r="P4" s="1"/>
      <c r="Q4" s="1"/>
      <c r="R4" s="1"/>
    </row>
    <row r="5" spans="1:26" ht="16" x14ac:dyDescent="0.2">
      <c r="A5" s="197">
        <v>2</v>
      </c>
      <c r="B5" s="197" t="str">
        <f>Cadastro!A4</f>
        <v>Padrão B</v>
      </c>
      <c r="C5" s="198">
        <v>5.0000000000000001E-3</v>
      </c>
      <c r="D5" s="198">
        <v>50</v>
      </c>
      <c r="E5" s="198">
        <v>10</v>
      </c>
      <c r="F5" s="198">
        <v>8.0999999999999996E-3</v>
      </c>
      <c r="G5" s="198">
        <v>1.28</v>
      </c>
      <c r="I5" s="104"/>
      <c r="J5" s="96">
        <v>0.5</v>
      </c>
      <c r="K5" s="84"/>
      <c r="L5" s="6">
        <v>4.8399999999999999E-2</v>
      </c>
      <c r="M5" s="97">
        <f t="shared" ref="M5:M8" si="0">J5*L5</f>
        <v>2.4199999999999999E-2</v>
      </c>
      <c r="N5" s="1"/>
      <c r="O5" s="1"/>
      <c r="P5" s="1"/>
      <c r="Q5" s="1"/>
      <c r="R5" s="1"/>
    </row>
    <row r="6" spans="1:26" ht="16" x14ac:dyDescent="0.2">
      <c r="A6" s="194">
        <v>3</v>
      </c>
      <c r="B6" s="194" t="str">
        <f>Cadastro!A5</f>
        <v>P. Labas A</v>
      </c>
      <c r="C6" s="195">
        <v>5.0000000000000001E-3</v>
      </c>
      <c r="D6" s="195">
        <v>50</v>
      </c>
      <c r="E6" s="217">
        <v>10</v>
      </c>
      <c r="F6" s="195">
        <v>2.2000000000000006E-3</v>
      </c>
      <c r="G6" s="196">
        <f>((F6)/M$17)*E6*D6/1000/C6/120</f>
        <v>3.4236240674317679E-2</v>
      </c>
      <c r="I6" s="104"/>
      <c r="J6" s="96">
        <v>1</v>
      </c>
      <c r="K6" s="84"/>
      <c r="L6" s="6">
        <v>8.3099999999999993E-2</v>
      </c>
      <c r="M6" s="97">
        <f t="shared" si="0"/>
        <v>8.3099999999999993E-2</v>
      </c>
      <c r="N6" s="1"/>
      <c r="O6" s="1"/>
      <c r="P6" s="1"/>
      <c r="Q6" s="1"/>
      <c r="R6" s="1"/>
    </row>
    <row r="7" spans="1:26" ht="16" x14ac:dyDescent="0.2">
      <c r="A7" s="194">
        <v>4</v>
      </c>
      <c r="B7" s="194" t="str">
        <f>Cadastro!A6</f>
        <v>P. Labas B</v>
      </c>
      <c r="C7" s="195">
        <v>5.0000000000000001E-3</v>
      </c>
      <c r="D7" s="195">
        <v>50</v>
      </c>
      <c r="E7" s="217">
        <v>10</v>
      </c>
      <c r="F7" s="195">
        <v>9.9900000000000003E-2</v>
      </c>
      <c r="G7" s="196">
        <f t="shared" ref="G7:G17" si="1">((F7-M$18)/M$17)*E7*D7/1000/C7/120</f>
        <v>1.1578518745453337</v>
      </c>
      <c r="I7" s="104"/>
      <c r="J7" s="144">
        <v>2</v>
      </c>
      <c r="K7" s="145"/>
      <c r="L7" s="143">
        <v>0.1497</v>
      </c>
      <c r="M7" s="97">
        <f t="shared" si="0"/>
        <v>0.2994</v>
      </c>
      <c r="N7" s="1"/>
      <c r="O7" s="1"/>
      <c r="P7" s="1"/>
      <c r="Q7" s="1"/>
      <c r="R7" s="1"/>
    </row>
    <row r="8" spans="1:26" ht="16" x14ac:dyDescent="0.2">
      <c r="A8" s="194">
        <v>5</v>
      </c>
      <c r="B8" s="194" t="str">
        <f>Cadastro!A7</f>
        <v>2025/13</v>
      </c>
      <c r="C8" s="195">
        <v>5.0000000000000001E-3</v>
      </c>
      <c r="D8" s="195">
        <v>50</v>
      </c>
      <c r="E8" s="217">
        <v>10</v>
      </c>
      <c r="F8" s="195">
        <v>5.4699999999999999E-2</v>
      </c>
      <c r="G8" s="196">
        <f t="shared" si="1"/>
        <v>0.45445274796389784</v>
      </c>
      <c r="I8" s="104"/>
      <c r="J8" s="96">
        <v>4</v>
      </c>
      <c r="K8" s="84"/>
      <c r="L8" s="6">
        <v>0.26519999999999999</v>
      </c>
      <c r="M8" s="97">
        <f t="shared" si="0"/>
        <v>1.0608</v>
      </c>
      <c r="N8" s="1"/>
      <c r="O8" s="1"/>
      <c r="P8" s="1"/>
      <c r="Q8" s="1"/>
      <c r="R8" s="1"/>
    </row>
    <row r="9" spans="1:26" ht="17" thickBot="1" x14ac:dyDescent="0.25">
      <c r="A9" s="194">
        <v>6</v>
      </c>
      <c r="B9" s="194" t="str">
        <f>Cadastro!A8</f>
        <v>2025/14</v>
      </c>
      <c r="C9" s="217">
        <v>5.0000000000000001E-3</v>
      </c>
      <c r="D9" s="217">
        <v>50</v>
      </c>
      <c r="E9" s="217">
        <v>10</v>
      </c>
      <c r="F9" s="195">
        <v>4.5700000000000005E-2</v>
      </c>
      <c r="G9" s="196">
        <f t="shared" si="1"/>
        <v>0.31439539975078012</v>
      </c>
      <c r="I9" s="104"/>
      <c r="J9" s="98">
        <v>8</v>
      </c>
      <c r="K9" s="102"/>
      <c r="L9" s="6">
        <v>0.43659999999999999</v>
      </c>
      <c r="M9" s="100">
        <f>J9*L9</f>
        <v>3.4927999999999999</v>
      </c>
      <c r="N9" s="1"/>
      <c r="O9" s="1"/>
      <c r="P9" s="1"/>
      <c r="Q9" s="1"/>
      <c r="R9" s="1"/>
    </row>
    <row r="10" spans="1:26" ht="16" x14ac:dyDescent="0.2">
      <c r="A10" s="194">
        <v>7</v>
      </c>
      <c r="B10" s="194" t="str">
        <f>Cadastro!A9</f>
        <v>2025/15</v>
      </c>
      <c r="C10" s="217">
        <v>5.0000000000000001E-3</v>
      </c>
      <c r="D10" s="217">
        <v>50</v>
      </c>
      <c r="E10" s="217">
        <v>10</v>
      </c>
      <c r="F10" s="195">
        <v>4.0400000000000005E-2</v>
      </c>
      <c r="G10" s="196">
        <f t="shared" si="1"/>
        <v>0.23191718358083299</v>
      </c>
      <c r="I10" s="104"/>
      <c r="J10" s="1"/>
      <c r="K10" s="1"/>
      <c r="L10" s="1"/>
      <c r="M10" s="1"/>
      <c r="N10" s="1"/>
      <c r="O10" s="1"/>
      <c r="P10" s="1"/>
      <c r="Q10" s="1"/>
      <c r="R10" s="1"/>
    </row>
    <row r="11" spans="1:26" ht="17" thickBot="1" x14ac:dyDescent="0.25">
      <c r="A11" s="194">
        <v>8</v>
      </c>
      <c r="B11" s="194" t="str">
        <f>Cadastro!A10</f>
        <v>2025/16</v>
      </c>
      <c r="C11" s="217">
        <v>5.0000000000000001E-3</v>
      </c>
      <c r="D11" s="217">
        <v>50</v>
      </c>
      <c r="E11" s="217">
        <v>10</v>
      </c>
      <c r="F11" s="195">
        <v>4.8800000000000003E-2</v>
      </c>
      <c r="G11" s="196">
        <f t="shared" si="1"/>
        <v>0.36263737524640954</v>
      </c>
      <c r="I11" s="104"/>
      <c r="L11" s="67" t="s">
        <v>54</v>
      </c>
      <c r="M11" s="68">
        <f>SUM(M4:M10)</f>
        <v>4.9603000000000002</v>
      </c>
      <c r="N11" s="1"/>
      <c r="O11" s="1"/>
      <c r="P11" s="1"/>
      <c r="Q11" s="1"/>
      <c r="R11" s="1"/>
    </row>
    <row r="12" spans="1:26" ht="17" thickBot="1" x14ac:dyDescent="0.25">
      <c r="A12" s="194">
        <v>9</v>
      </c>
      <c r="B12" s="194" t="str">
        <f>Cadastro!A11</f>
        <v>2025/17</v>
      </c>
      <c r="C12" s="217">
        <v>5.0000000000000001E-3</v>
      </c>
      <c r="D12" s="217">
        <v>50</v>
      </c>
      <c r="E12" s="217">
        <v>10</v>
      </c>
      <c r="F12" s="195">
        <v>6.0300000000000006E-2</v>
      </c>
      <c r="G12" s="196">
        <f t="shared" si="1"/>
        <v>0.54159954240761565</v>
      </c>
      <c r="I12" s="104"/>
      <c r="J12" s="1"/>
      <c r="K12" s="1"/>
      <c r="L12" s="1"/>
      <c r="M12" s="1"/>
      <c r="N12" s="1"/>
      <c r="O12" s="1"/>
      <c r="P12" s="1"/>
      <c r="Q12" s="1"/>
      <c r="R12" s="1"/>
    </row>
    <row r="13" spans="1:26" ht="16" x14ac:dyDescent="0.2">
      <c r="A13" s="194">
        <v>10</v>
      </c>
      <c r="B13" s="194" t="str">
        <f>Cadastro!A12</f>
        <v>2025/18</v>
      </c>
      <c r="C13" s="217">
        <v>5.0000000000000001E-3</v>
      </c>
      <c r="D13" s="217">
        <v>50</v>
      </c>
      <c r="E13" s="217">
        <v>10</v>
      </c>
      <c r="F13" s="195">
        <v>3.44E-2</v>
      </c>
      <c r="G13" s="196">
        <f t="shared" si="1"/>
        <v>0.13854561810542107</v>
      </c>
      <c r="I13" s="104"/>
      <c r="J13" s="36" t="s">
        <v>49</v>
      </c>
      <c r="K13" s="37"/>
      <c r="L13" s="38">
        <f>SUM(J4:J10)</f>
        <v>15.5</v>
      </c>
      <c r="M13" s="37" t="s">
        <v>55</v>
      </c>
      <c r="N13" s="39">
        <f>M11</f>
        <v>4.9603000000000002</v>
      </c>
      <c r="O13" s="1"/>
      <c r="P13" s="1"/>
      <c r="Q13" s="1"/>
      <c r="R13" s="1"/>
    </row>
    <row r="14" spans="1:26" ht="16" x14ac:dyDescent="0.2">
      <c r="A14" s="194">
        <v>11</v>
      </c>
      <c r="B14" s="194" t="str">
        <f>Cadastro!A13</f>
        <v>2025/19</v>
      </c>
      <c r="C14" s="217">
        <v>5.0000000000000001E-3</v>
      </c>
      <c r="D14" s="217">
        <v>50</v>
      </c>
      <c r="E14" s="217">
        <v>10</v>
      </c>
      <c r="F14" s="195">
        <v>7.3400000000000007E-2</v>
      </c>
      <c r="G14" s="196">
        <f t="shared" si="1"/>
        <v>0.74546079369559826</v>
      </c>
      <c r="I14" s="104"/>
      <c r="J14" s="40" t="s">
        <v>50</v>
      </c>
      <c r="K14" s="41"/>
      <c r="L14" s="42">
        <f>J4^2+J5^2+J6^2+J7^2+J8^2+J9^2+J10^2</f>
        <v>85.25</v>
      </c>
      <c r="M14" s="41" t="s">
        <v>57</v>
      </c>
      <c r="N14" s="43">
        <f>AVERAGE(L4:L10)</f>
        <v>0.16383333333333333</v>
      </c>
      <c r="O14" s="1"/>
      <c r="P14" s="1"/>
      <c r="Q14" s="1"/>
      <c r="R14" s="1"/>
    </row>
    <row r="15" spans="1:26" s="125" customFormat="1" ht="16" x14ac:dyDescent="0.2">
      <c r="A15" s="194">
        <v>12</v>
      </c>
      <c r="B15" s="194" t="str">
        <f>Cadastro!A14</f>
        <v>2025/20</v>
      </c>
      <c r="C15" s="217">
        <v>5.0000000000000001E-3</v>
      </c>
      <c r="D15" s="217">
        <v>50</v>
      </c>
      <c r="E15" s="217">
        <v>10</v>
      </c>
      <c r="F15" s="195">
        <v>6.3600000000000004E-2</v>
      </c>
      <c r="G15" s="196">
        <f t="shared" si="1"/>
        <v>0.59295390341909215</v>
      </c>
      <c r="H15"/>
      <c r="I15" s="104"/>
      <c r="J15" s="136" t="s">
        <v>51</v>
      </c>
      <c r="K15" s="137"/>
      <c r="L15">
        <f>SUM(J4:J10)^2</f>
        <v>240.25</v>
      </c>
      <c r="M15" s="138" t="s">
        <v>59</v>
      </c>
      <c r="N15" s="97">
        <f>AVERAGE(J4:J10)</f>
        <v>2.5833333333333335</v>
      </c>
      <c r="O15"/>
      <c r="P15"/>
      <c r="Q15"/>
      <c r="R15"/>
      <c r="S15"/>
      <c r="T15"/>
      <c r="U15"/>
      <c r="V15"/>
      <c r="W15"/>
      <c r="X15"/>
      <c r="Y15"/>
      <c r="Z15"/>
    </row>
    <row r="16" spans="1:26" s="125" customFormat="1" ht="16" x14ac:dyDescent="0.2">
      <c r="A16" s="194">
        <v>13</v>
      </c>
      <c r="B16" s="194" t="str">
        <f>Cadastro!A15</f>
        <v>2025/21</v>
      </c>
      <c r="C16" s="217">
        <v>5.0000000000000001E-3</v>
      </c>
      <c r="D16" s="217">
        <v>50</v>
      </c>
      <c r="E16" s="217">
        <v>10</v>
      </c>
      <c r="F16" s="195">
        <v>0.15759999999999999</v>
      </c>
      <c r="G16" s="196">
        <f t="shared" si="1"/>
        <v>2.0557750958672107</v>
      </c>
      <c r="H16"/>
      <c r="I16" s="185"/>
      <c r="J16" s="139" t="s">
        <v>52</v>
      </c>
      <c r="K16" s="140"/>
      <c r="L16" s="141">
        <f>SUM(L4:L10)</f>
        <v>0.98299999999999998</v>
      </c>
      <c r="M16" s="141"/>
      <c r="N16" s="142"/>
      <c r="O16"/>
      <c r="P16"/>
      <c r="Q16"/>
      <c r="R16"/>
      <c r="S16"/>
      <c r="T16"/>
      <c r="U16"/>
      <c r="V16"/>
      <c r="W16"/>
      <c r="X16"/>
      <c r="Y16"/>
      <c r="Z16"/>
    </row>
    <row r="17" spans="1:18" ht="16" x14ac:dyDescent="0.2">
      <c r="A17" s="194">
        <v>14</v>
      </c>
      <c r="B17" s="194" t="str">
        <f>Cadastro!A16</f>
        <v>2025/22</v>
      </c>
      <c r="C17" s="217">
        <v>5.0000000000000001E-3</v>
      </c>
      <c r="D17" s="217">
        <v>50</v>
      </c>
      <c r="E17" s="217">
        <v>10</v>
      </c>
      <c r="F17" s="195">
        <v>0.13670000000000002</v>
      </c>
      <c r="G17" s="196">
        <f t="shared" si="1"/>
        <v>1.7305308094611933</v>
      </c>
      <c r="I17" s="104"/>
      <c r="J17" s="45"/>
      <c r="K17" s="42"/>
      <c r="L17" s="49" t="s">
        <v>56</v>
      </c>
      <c r="M17" s="50">
        <f>(N13-(L13*L16/6))/((L14-(L15/6)))</f>
        <v>5.3549493087557611E-2</v>
      </c>
      <c r="N17" s="43"/>
      <c r="O17" s="1"/>
      <c r="P17" s="1"/>
      <c r="Q17" s="1"/>
      <c r="R17" s="1"/>
    </row>
    <row r="18" spans="1:18" ht="16" thickBot="1" x14ac:dyDescent="0.25">
      <c r="J18" s="46"/>
      <c r="K18" s="47"/>
      <c r="L18" s="60" t="s">
        <v>58</v>
      </c>
      <c r="M18" s="61">
        <f>N14-(M17*N15)</f>
        <v>2.5497142857142829E-2</v>
      </c>
      <c r="N18" s="48"/>
      <c r="O18" s="1"/>
      <c r="P18" s="1"/>
      <c r="Q18" s="1"/>
      <c r="R18" s="1"/>
    </row>
    <row r="19" spans="1:18" x14ac:dyDescent="0.2">
      <c r="J19" s="1"/>
      <c r="K19" s="1"/>
      <c r="L19" s="1"/>
      <c r="M19" s="1"/>
      <c r="N19" s="1"/>
      <c r="O19" s="1"/>
      <c r="P19" s="1"/>
      <c r="Q19" s="1"/>
      <c r="R19" s="1"/>
    </row>
    <row r="31" spans="1:18" x14ac:dyDescent="0.2">
      <c r="K31" t="s">
        <v>223</v>
      </c>
    </row>
  </sheetData>
  <mergeCells count="2">
    <mergeCell ref="J2:M2"/>
    <mergeCell ref="B1:G1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9"/>
  <sheetViews>
    <sheetView topLeftCell="B1" zoomScale="115" zoomScaleNormal="115" workbookViewId="0">
      <selection activeCell="F9" sqref="F9"/>
    </sheetView>
  </sheetViews>
  <sheetFormatPr baseColWidth="10" defaultColWidth="8.83203125" defaultRowHeight="15" x14ac:dyDescent="0.2"/>
  <cols>
    <col min="2" max="2" width="16.1640625" customWidth="1"/>
    <col min="3" max="3" width="12.1640625" bestFit="1" customWidth="1"/>
    <col min="4" max="4" width="14.6640625" bestFit="1" customWidth="1"/>
    <col min="5" max="5" width="12.1640625" bestFit="1" customWidth="1"/>
    <col min="6" max="6" width="12.6640625" bestFit="1" customWidth="1"/>
    <col min="7" max="7" width="21.83203125" bestFit="1" customWidth="1"/>
    <col min="8" max="8" width="21.83203125" customWidth="1"/>
  </cols>
  <sheetData>
    <row r="1" spans="1:13" s="1" customFormat="1" ht="20" thickBot="1" x14ac:dyDescent="0.3">
      <c r="A1" s="148"/>
      <c r="B1" s="312" t="s">
        <v>85</v>
      </c>
      <c r="C1" s="312"/>
      <c r="D1" s="312"/>
      <c r="E1" s="312"/>
      <c r="F1" s="312"/>
      <c r="G1" s="312"/>
      <c r="H1"/>
    </row>
    <row r="2" spans="1:13" s="1" customFormat="1" x14ac:dyDescent="0.2">
      <c r="A2" s="105" t="s">
        <v>128</v>
      </c>
      <c r="B2" s="82" t="s">
        <v>39</v>
      </c>
      <c r="C2" s="82" t="s">
        <v>47</v>
      </c>
      <c r="D2" s="82" t="s">
        <v>41</v>
      </c>
      <c r="E2" s="82" t="s">
        <v>42</v>
      </c>
      <c r="F2" s="82" t="s">
        <v>43</v>
      </c>
      <c r="G2" s="82" t="s">
        <v>104</v>
      </c>
      <c r="H2"/>
      <c r="J2" s="309" t="s">
        <v>45</v>
      </c>
      <c r="K2" s="310"/>
      <c r="L2" s="311"/>
    </row>
    <row r="3" spans="1:13" s="1" customFormat="1" x14ac:dyDescent="0.2">
      <c r="A3" s="155" t="s">
        <v>107</v>
      </c>
      <c r="B3" s="155" t="str">
        <f>Cadastro!A2</f>
        <v>*</v>
      </c>
      <c r="C3" s="183"/>
      <c r="D3" s="183"/>
      <c r="E3" s="183"/>
      <c r="F3" s="153"/>
      <c r="G3" s="193"/>
      <c r="H3"/>
      <c r="J3" s="86" t="s">
        <v>89</v>
      </c>
      <c r="K3" s="64" t="s">
        <v>82</v>
      </c>
      <c r="L3" s="87" t="s">
        <v>53</v>
      </c>
    </row>
    <row r="4" spans="1:13" s="1" customFormat="1" x14ac:dyDescent="0.2">
      <c r="A4" s="180">
        <v>1</v>
      </c>
      <c r="B4" s="180" t="str">
        <f>Cadastro!A3</f>
        <v>Padrão A</v>
      </c>
      <c r="C4" s="199">
        <v>5.0000000000000001E-3</v>
      </c>
      <c r="D4" s="181">
        <v>50</v>
      </c>
      <c r="E4" s="181">
        <v>1</v>
      </c>
      <c r="F4" s="181" t="s">
        <v>133</v>
      </c>
      <c r="G4" s="181">
        <v>0.93</v>
      </c>
      <c r="H4"/>
      <c r="J4" s="96">
        <v>0</v>
      </c>
      <c r="K4" s="6">
        <v>0</v>
      </c>
      <c r="L4" s="97">
        <f>J4*K4</f>
        <v>0</v>
      </c>
    </row>
    <row r="5" spans="1:13" s="1" customFormat="1" x14ac:dyDescent="0.2">
      <c r="A5" s="180">
        <v>2</v>
      </c>
      <c r="B5" s="180" t="str">
        <f>Cadastro!A4</f>
        <v>Padrão B</v>
      </c>
      <c r="C5" s="199">
        <v>5.0000000000000001E-3</v>
      </c>
      <c r="D5" s="181">
        <v>50</v>
      </c>
      <c r="E5" s="181">
        <v>1</v>
      </c>
      <c r="F5" s="181">
        <v>8.9200000000000002E-2</v>
      </c>
      <c r="G5" s="181">
        <v>0.45</v>
      </c>
      <c r="H5"/>
      <c r="J5" s="96">
        <v>0.4</v>
      </c>
      <c r="K5" s="6">
        <v>5.0000000000000001E-3</v>
      </c>
      <c r="L5" s="97">
        <f t="shared" ref="L5:L9" si="0">J5*K5</f>
        <v>2E-3</v>
      </c>
    </row>
    <row r="6" spans="1:13" s="1" customFormat="1" x14ac:dyDescent="0.2">
      <c r="A6" s="155">
        <v>3</v>
      </c>
      <c r="B6" s="155" t="str">
        <f>Cadastro!A5</f>
        <v>P. Labas A</v>
      </c>
      <c r="C6" s="200">
        <v>5.0000000000000001E-3</v>
      </c>
      <c r="D6" s="183">
        <v>50</v>
      </c>
      <c r="E6" s="183">
        <v>1</v>
      </c>
      <c r="F6" s="153">
        <v>1.2999999999999999E-3</v>
      </c>
      <c r="G6" s="193">
        <f t="shared" ref="G6:G17" si="1">((F6-L$17)/L$16)*E6*D6/1000/C6</f>
        <v>1.1088709677419344</v>
      </c>
      <c r="H6"/>
      <c r="J6" s="96">
        <v>0.8</v>
      </c>
      <c r="K6" s="6">
        <v>1.11E-2</v>
      </c>
      <c r="L6" s="97">
        <f t="shared" si="0"/>
        <v>8.8800000000000007E-3</v>
      </c>
    </row>
    <row r="7" spans="1:13" s="1" customFormat="1" x14ac:dyDescent="0.2">
      <c r="A7" s="155">
        <v>4</v>
      </c>
      <c r="B7" s="155" t="str">
        <f>Cadastro!A6</f>
        <v>P. Labas B</v>
      </c>
      <c r="C7" s="200">
        <v>5.0000000000000001E-3</v>
      </c>
      <c r="D7" s="183">
        <v>50</v>
      </c>
      <c r="E7" s="183">
        <v>1</v>
      </c>
      <c r="F7" s="153">
        <v>6.9999999999999999E-4</v>
      </c>
      <c r="G7" s="193">
        <f t="shared" si="1"/>
        <v>0.68548387096774088</v>
      </c>
      <c r="H7"/>
      <c r="J7" s="96">
        <v>1.2</v>
      </c>
      <c r="K7" s="6">
        <v>1.6899999999999998E-2</v>
      </c>
      <c r="L7" s="97">
        <f t="shared" si="0"/>
        <v>2.0279999999999996E-2</v>
      </c>
    </row>
    <row r="8" spans="1:13" s="1" customFormat="1" x14ac:dyDescent="0.2">
      <c r="A8" s="155">
        <v>5</v>
      </c>
      <c r="B8" s="155" t="str">
        <f>Cadastro!A7</f>
        <v>2025/13</v>
      </c>
      <c r="C8" s="200">
        <v>5.0000000000000001E-3</v>
      </c>
      <c r="D8" s="183">
        <v>50</v>
      </c>
      <c r="E8" s="183">
        <v>1</v>
      </c>
      <c r="F8" s="153">
        <v>2.1000000000000003E-3</v>
      </c>
      <c r="G8" s="193">
        <f t="shared" si="1"/>
        <v>1.6733870967741928</v>
      </c>
      <c r="H8"/>
      <c r="J8" s="96">
        <v>1.6</v>
      </c>
      <c r="K8" s="6">
        <v>2.2200000000000001E-2</v>
      </c>
      <c r="L8" s="97">
        <f t="shared" si="0"/>
        <v>3.5520000000000003E-2</v>
      </c>
    </row>
    <row r="9" spans="1:13" s="1" customFormat="1" ht="16" thickBot="1" x14ac:dyDescent="0.25">
      <c r="A9" s="155">
        <v>6</v>
      </c>
      <c r="B9" s="155" t="str">
        <f>Cadastro!A8</f>
        <v>2025/14</v>
      </c>
      <c r="C9" s="200">
        <v>5.0000000000000001E-3</v>
      </c>
      <c r="D9" s="183">
        <v>50</v>
      </c>
      <c r="E9" s="183">
        <v>1</v>
      </c>
      <c r="F9" s="153">
        <v>1.6000000000000001E-3</v>
      </c>
      <c r="G9" s="193">
        <f t="shared" si="1"/>
        <v>1.3205645161290314</v>
      </c>
      <c r="H9"/>
      <c r="J9" s="98">
        <v>2</v>
      </c>
      <c r="K9" s="6">
        <v>2.8199999999999999E-2</v>
      </c>
      <c r="L9" s="100">
        <f t="shared" si="0"/>
        <v>5.6399999999999999E-2</v>
      </c>
    </row>
    <row r="10" spans="1:13" s="1" customFormat="1" ht="16" thickBot="1" x14ac:dyDescent="0.25">
      <c r="A10" s="155">
        <v>7</v>
      </c>
      <c r="B10" s="155" t="str">
        <f>Cadastro!A9</f>
        <v>2025/15</v>
      </c>
      <c r="C10" s="200">
        <v>5.0000000000000001E-3</v>
      </c>
      <c r="D10" s="183">
        <v>50</v>
      </c>
      <c r="E10" s="183">
        <v>1</v>
      </c>
      <c r="F10" s="153">
        <v>6.0999999999999995E-3</v>
      </c>
      <c r="G10" s="193">
        <f t="shared" si="1"/>
        <v>4.4959677419354822</v>
      </c>
      <c r="H10"/>
      <c r="J10"/>
      <c r="K10" s="80" t="s">
        <v>54</v>
      </c>
      <c r="L10" s="68">
        <f>SUM(L4:L9)</f>
        <v>0.12307999999999999</v>
      </c>
    </row>
    <row r="11" spans="1:13" s="1" customFormat="1" ht="16" thickBot="1" x14ac:dyDescent="0.25">
      <c r="A11" s="155">
        <v>8</v>
      </c>
      <c r="B11" s="155" t="str">
        <f>Cadastro!A10</f>
        <v>2025/16</v>
      </c>
      <c r="C11" s="200">
        <v>5.0000000000000001E-3</v>
      </c>
      <c r="D11" s="183">
        <v>50</v>
      </c>
      <c r="E11" s="183">
        <v>1</v>
      </c>
      <c r="F11" s="153">
        <v>7.1999999999999998E-3</v>
      </c>
      <c r="G11" s="193">
        <f t="shared" si="1"/>
        <v>5.2721774193548381</v>
      </c>
      <c r="H11"/>
    </row>
    <row r="12" spans="1:13" s="1" customFormat="1" x14ac:dyDescent="0.2">
      <c r="A12" s="155">
        <v>9</v>
      </c>
      <c r="B12" s="155" t="str">
        <f>Cadastro!A11</f>
        <v>2025/17</v>
      </c>
      <c r="C12" s="200">
        <v>5.0000000000000001E-3</v>
      </c>
      <c r="D12" s="183">
        <v>50</v>
      </c>
      <c r="E12" s="183">
        <v>1</v>
      </c>
      <c r="F12" s="153">
        <v>6.8000000000000005E-3</v>
      </c>
      <c r="G12" s="193">
        <f t="shared" si="1"/>
        <v>4.9899193548387091</v>
      </c>
      <c r="H12"/>
      <c r="J12" s="36" t="s">
        <v>49</v>
      </c>
      <c r="K12" s="38">
        <f>SUM(J4:J9)</f>
        <v>6</v>
      </c>
      <c r="L12" s="37" t="s">
        <v>55</v>
      </c>
      <c r="M12" s="39">
        <f>L10</f>
        <v>0.12307999999999999</v>
      </c>
    </row>
    <row r="13" spans="1:13" s="1" customFormat="1" x14ac:dyDescent="0.2">
      <c r="A13" s="155">
        <v>10</v>
      </c>
      <c r="B13" s="155" t="str">
        <f>Cadastro!A12</f>
        <v>2025/18</v>
      </c>
      <c r="C13" s="200">
        <v>5.0000000000000001E-3</v>
      </c>
      <c r="D13" s="183">
        <v>50</v>
      </c>
      <c r="E13" s="183">
        <v>1</v>
      </c>
      <c r="F13" s="153">
        <v>1.1300000000000001E-2</v>
      </c>
      <c r="G13" s="193">
        <f>((F13-L$17)/L$16)*E13*D13/1000/C13</f>
        <v>8.1653225806451601</v>
      </c>
      <c r="H13"/>
      <c r="J13" s="40" t="s">
        <v>50</v>
      </c>
      <c r="K13" s="42">
        <f>J4^2+J5^2+J6^2+J7^2+J8^2+J9^2</f>
        <v>8.8000000000000007</v>
      </c>
      <c r="L13" s="41" t="s">
        <v>57</v>
      </c>
      <c r="M13" s="43">
        <f>AVERAGE(K4:K9)</f>
        <v>1.3900000000000001E-2</v>
      </c>
    </row>
    <row r="14" spans="1:13" s="1" customFormat="1" x14ac:dyDescent="0.2">
      <c r="A14" s="155">
        <v>11</v>
      </c>
      <c r="B14" s="155" t="str">
        <f>Cadastro!A13</f>
        <v>2025/19</v>
      </c>
      <c r="C14" s="200">
        <v>5.0000000000000001E-3</v>
      </c>
      <c r="D14" s="183">
        <v>50</v>
      </c>
      <c r="E14" s="183">
        <v>1</v>
      </c>
      <c r="F14" s="153">
        <v>1E-3</v>
      </c>
      <c r="G14" s="193">
        <f>((F14-L$17)/L$16)*E14*D14/1000/C14</f>
        <v>0.89717741935483764</v>
      </c>
      <c r="H14"/>
      <c r="J14" s="40" t="s">
        <v>51</v>
      </c>
      <c r="K14" s="42">
        <f>SUM(J4:J9)^2</f>
        <v>36</v>
      </c>
      <c r="L14" s="44" t="s">
        <v>59</v>
      </c>
      <c r="M14" s="43">
        <f>AVERAGE(J4:J9)</f>
        <v>1</v>
      </c>
    </row>
    <row r="15" spans="1:13" s="1" customFormat="1" x14ac:dyDescent="0.2">
      <c r="A15" s="155">
        <v>12</v>
      </c>
      <c r="B15" s="155" t="str">
        <f>Cadastro!A14</f>
        <v>2025/20</v>
      </c>
      <c r="C15" s="200">
        <v>5.0000000000000001E-3</v>
      </c>
      <c r="D15" s="183">
        <v>50</v>
      </c>
      <c r="E15" s="183">
        <v>1</v>
      </c>
      <c r="F15" s="153">
        <v>1E-3</v>
      </c>
      <c r="G15" s="193">
        <f t="shared" si="1"/>
        <v>0.89717741935483764</v>
      </c>
      <c r="H15"/>
      <c r="J15" s="58" t="s">
        <v>52</v>
      </c>
      <c r="K15" s="52">
        <f>SUM(K4:K9)</f>
        <v>8.3400000000000002E-2</v>
      </c>
      <c r="L15" s="52"/>
      <c r="M15" s="59"/>
    </row>
    <row r="16" spans="1:13" s="1" customFormat="1" x14ac:dyDescent="0.2">
      <c r="A16" s="155">
        <v>13</v>
      </c>
      <c r="B16" s="155" t="str">
        <f>Cadastro!A15</f>
        <v>2025/21</v>
      </c>
      <c r="C16" s="200">
        <v>5.0000000000000001E-3</v>
      </c>
      <c r="D16" s="183">
        <v>50</v>
      </c>
      <c r="E16" s="183">
        <v>1</v>
      </c>
      <c r="F16" s="153">
        <v>7.9999999999999993E-4</v>
      </c>
      <c r="G16" s="193">
        <f t="shared" si="1"/>
        <v>0.75604838709677324</v>
      </c>
      <c r="H16"/>
      <c r="J16" s="45"/>
      <c r="K16" s="49" t="s">
        <v>56</v>
      </c>
      <c r="L16" s="50">
        <f>(M12-(K12*K15/6))/((K13-(K14/6)))</f>
        <v>1.4171428571428571E-2</v>
      </c>
      <c r="M16" s="43"/>
    </row>
    <row r="17" spans="1:13" s="1" customFormat="1" ht="16" thickBot="1" x14ac:dyDescent="0.25">
      <c r="A17" s="155">
        <v>14</v>
      </c>
      <c r="B17" s="155" t="str">
        <f>Cadastro!A16</f>
        <v>2025/22</v>
      </c>
      <c r="C17" s="200">
        <v>5.0000000000000001E-3</v>
      </c>
      <c r="D17" s="183">
        <v>50</v>
      </c>
      <c r="E17" s="183">
        <v>1</v>
      </c>
      <c r="F17" s="153">
        <v>7.9999999999999993E-4</v>
      </c>
      <c r="G17" s="193">
        <f t="shared" si="1"/>
        <v>0.75604838709677324</v>
      </c>
      <c r="H17"/>
      <c r="J17" s="46"/>
      <c r="K17" s="60" t="s">
        <v>58</v>
      </c>
      <c r="L17" s="61">
        <f>M13-(L16*M14)</f>
        <v>-2.7142857142857003E-4</v>
      </c>
      <c r="M17" s="48"/>
    </row>
    <row r="18" spans="1:13" s="1" customFormat="1" x14ac:dyDescent="0.2">
      <c r="A18"/>
      <c r="B18"/>
      <c r="C18"/>
      <c r="D18"/>
      <c r="E18"/>
      <c r="F18"/>
      <c r="G18"/>
      <c r="H18"/>
    </row>
    <row r="19" spans="1:13" s="1" customFormat="1" x14ac:dyDescent="0.2">
      <c r="A19"/>
      <c r="B19"/>
      <c r="C19"/>
      <c r="D19"/>
      <c r="E19"/>
      <c r="F19"/>
      <c r="G19"/>
      <c r="H19"/>
    </row>
  </sheetData>
  <mergeCells count="2">
    <mergeCell ref="J2:L2"/>
    <mergeCell ref="B1:G1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9"/>
  <sheetViews>
    <sheetView workbookViewId="0">
      <selection activeCell="F9" sqref="F9"/>
    </sheetView>
  </sheetViews>
  <sheetFormatPr baseColWidth="10" defaultColWidth="8.83203125" defaultRowHeight="15" x14ac:dyDescent="0.2"/>
  <cols>
    <col min="2" max="2" width="15.83203125" customWidth="1"/>
    <col min="3" max="3" width="12.1640625" bestFit="1" customWidth="1"/>
    <col min="4" max="4" width="14.6640625" bestFit="1" customWidth="1"/>
    <col min="5" max="5" width="12.1640625" bestFit="1" customWidth="1"/>
    <col min="6" max="6" width="12.6640625" bestFit="1" customWidth="1"/>
    <col min="7" max="7" width="21.83203125" bestFit="1" customWidth="1"/>
  </cols>
  <sheetData>
    <row r="1" spans="1:13" s="1" customFormat="1" ht="20" thickBot="1" x14ac:dyDescent="0.3">
      <c r="A1" s="148"/>
      <c r="B1" s="317" t="s">
        <v>87</v>
      </c>
      <c r="C1" s="317"/>
      <c r="D1" s="317"/>
      <c r="E1" s="317"/>
      <c r="F1" s="317"/>
      <c r="G1" s="317"/>
      <c r="H1"/>
      <c r="I1"/>
    </row>
    <row r="2" spans="1:13" s="1" customFormat="1" ht="16" x14ac:dyDescent="0.2">
      <c r="A2" s="29" t="s">
        <v>128</v>
      </c>
      <c r="B2" s="210" t="s">
        <v>39</v>
      </c>
      <c r="C2" s="210" t="s">
        <v>47</v>
      </c>
      <c r="D2" s="210" t="s">
        <v>41</v>
      </c>
      <c r="E2" s="210" t="s">
        <v>42</v>
      </c>
      <c r="F2" s="210" t="s">
        <v>43</v>
      </c>
      <c r="G2" s="210" t="s">
        <v>106</v>
      </c>
      <c r="H2"/>
      <c r="I2"/>
      <c r="J2" s="309" t="s">
        <v>45</v>
      </c>
      <c r="K2" s="310"/>
      <c r="L2" s="311"/>
    </row>
    <row r="3" spans="1:13" s="1" customFormat="1" ht="16" x14ac:dyDescent="0.2">
      <c r="A3" s="194" t="s">
        <v>107</v>
      </c>
      <c r="B3" s="194" t="str">
        <f>Cadastro!A2</f>
        <v>*</v>
      </c>
      <c r="C3" s="231"/>
      <c r="D3" s="217"/>
      <c r="E3" s="217"/>
      <c r="F3" s="195"/>
      <c r="G3" s="196"/>
      <c r="H3"/>
      <c r="I3"/>
      <c r="J3" s="86" t="s">
        <v>91</v>
      </c>
      <c r="K3" s="64" t="s">
        <v>82</v>
      </c>
      <c r="L3" s="87" t="s">
        <v>53</v>
      </c>
    </row>
    <row r="4" spans="1:13" s="1" customFormat="1" ht="16" x14ac:dyDescent="0.2">
      <c r="A4" s="197">
        <v>1</v>
      </c>
      <c r="B4" s="197" t="str">
        <f>Cadastro!A3</f>
        <v>Padrão A</v>
      </c>
      <c r="C4" s="215">
        <v>5.0000000000000001E-3</v>
      </c>
      <c r="D4" s="198">
        <v>50</v>
      </c>
      <c r="E4" s="198">
        <v>1</v>
      </c>
      <c r="F4" s="198" t="s">
        <v>133</v>
      </c>
      <c r="G4" s="198">
        <v>39.4</v>
      </c>
      <c r="H4"/>
      <c r="I4"/>
      <c r="J4" s="96">
        <v>0</v>
      </c>
      <c r="K4" s="6">
        <v>-2.9999999999999997E-4</v>
      </c>
      <c r="L4" s="97">
        <f>J4*K4</f>
        <v>0</v>
      </c>
    </row>
    <row r="5" spans="1:13" s="1" customFormat="1" ht="16" x14ac:dyDescent="0.2">
      <c r="A5" s="197">
        <v>2</v>
      </c>
      <c r="B5" s="197" t="str">
        <f>Cadastro!A4</f>
        <v>Padrão B</v>
      </c>
      <c r="C5" s="215">
        <v>5.0000000000000001E-3</v>
      </c>
      <c r="D5" s="198">
        <v>50</v>
      </c>
      <c r="E5" s="198">
        <v>1</v>
      </c>
      <c r="F5" s="198">
        <v>2.5100000000000004E-2</v>
      </c>
      <c r="G5" s="198">
        <v>15.5</v>
      </c>
      <c r="H5"/>
      <c r="I5"/>
      <c r="J5" s="96">
        <v>3</v>
      </c>
      <c r="K5" s="6">
        <v>2.2599999999999999E-2</v>
      </c>
      <c r="L5" s="97">
        <f t="shared" ref="L5:L9" si="0">J5*K5</f>
        <v>6.7799999999999999E-2</v>
      </c>
    </row>
    <row r="6" spans="1:13" s="1" customFormat="1" ht="16" x14ac:dyDescent="0.2">
      <c r="A6" s="194">
        <v>3</v>
      </c>
      <c r="B6" s="194" t="str">
        <f>Cadastro!A5</f>
        <v>P. Labas A</v>
      </c>
      <c r="C6" s="231">
        <v>5.0000000000000001E-3</v>
      </c>
      <c r="D6" s="217">
        <v>50</v>
      </c>
      <c r="E6" s="217">
        <v>1</v>
      </c>
      <c r="F6" s="195">
        <v>3.1600000000000003E-2</v>
      </c>
      <c r="G6" s="196">
        <f t="shared" ref="G6:G17" si="1">((F6-L$17)/L$16)*E6*D6/1000/C6</f>
        <v>42.942372881355936</v>
      </c>
      <c r="H6"/>
      <c r="I6"/>
      <c r="J6" s="96">
        <v>6</v>
      </c>
      <c r="K6" s="6">
        <v>4.5600000000000002E-2</v>
      </c>
      <c r="L6" s="97">
        <f t="shared" si="0"/>
        <v>0.27360000000000001</v>
      </c>
    </row>
    <row r="7" spans="1:13" s="1" customFormat="1" ht="16" x14ac:dyDescent="0.2">
      <c r="A7" s="194">
        <v>4</v>
      </c>
      <c r="B7" s="194" t="str">
        <f>Cadastro!A6</f>
        <v>P. Labas B</v>
      </c>
      <c r="C7" s="231">
        <v>5.0000000000000001E-3</v>
      </c>
      <c r="D7" s="217">
        <v>50</v>
      </c>
      <c r="E7" s="217">
        <v>1</v>
      </c>
      <c r="F7" s="195">
        <v>2.3099999999999999E-2</v>
      </c>
      <c r="G7" s="196">
        <f t="shared" si="1"/>
        <v>30.840677966101698</v>
      </c>
      <c r="H7"/>
      <c r="I7"/>
      <c r="J7" s="96">
        <v>9</v>
      </c>
      <c r="K7" s="6">
        <v>6.5699999999999995E-2</v>
      </c>
      <c r="L7" s="97">
        <f t="shared" si="0"/>
        <v>0.59129999999999994</v>
      </c>
    </row>
    <row r="8" spans="1:13" s="1" customFormat="1" ht="16" x14ac:dyDescent="0.2">
      <c r="A8" s="194">
        <v>5</v>
      </c>
      <c r="B8" s="194" t="str">
        <f>Cadastro!A7</f>
        <v>2025/13</v>
      </c>
      <c r="C8" s="231">
        <v>5.0000000000000001E-3</v>
      </c>
      <c r="D8" s="217">
        <v>50</v>
      </c>
      <c r="E8" s="217">
        <v>1</v>
      </c>
      <c r="F8" s="195">
        <v>1.9899999999999998E-2</v>
      </c>
      <c r="G8" s="196">
        <f t="shared" si="1"/>
        <v>26.284745762711868</v>
      </c>
      <c r="H8"/>
      <c r="I8"/>
      <c r="J8" s="96">
        <v>12</v>
      </c>
      <c r="K8" s="22">
        <v>8.5900000000000004E-2</v>
      </c>
      <c r="L8" s="97">
        <f t="shared" si="0"/>
        <v>1.0308000000000002</v>
      </c>
    </row>
    <row r="9" spans="1:13" s="1" customFormat="1" ht="16" x14ac:dyDescent="0.2">
      <c r="A9" s="194">
        <v>6</v>
      </c>
      <c r="B9" s="194" t="str">
        <f>Cadastro!A8</f>
        <v>2025/14</v>
      </c>
      <c r="C9" s="231">
        <v>5.0000000000000001E-3</v>
      </c>
      <c r="D9" s="217">
        <v>50</v>
      </c>
      <c r="E9" s="217">
        <v>1</v>
      </c>
      <c r="F9" s="195">
        <v>1.3000000000000001E-2</v>
      </c>
      <c r="G9" s="196">
        <f t="shared" si="1"/>
        <v>16.461016949152551</v>
      </c>
      <c r="H9"/>
      <c r="I9"/>
      <c r="J9" s="208">
        <v>15</v>
      </c>
      <c r="K9" s="6">
        <v>0.1052</v>
      </c>
      <c r="L9" s="157">
        <f t="shared" si="0"/>
        <v>1.5780000000000001</v>
      </c>
    </row>
    <row r="10" spans="1:13" s="1" customFormat="1" ht="17" thickBot="1" x14ac:dyDescent="0.25">
      <c r="A10" s="194">
        <v>7</v>
      </c>
      <c r="B10" s="194" t="str">
        <f>Cadastro!A9</f>
        <v>2025/15</v>
      </c>
      <c r="C10" s="231">
        <v>5.0000000000000001E-3</v>
      </c>
      <c r="D10" s="217">
        <v>50</v>
      </c>
      <c r="E10" s="217">
        <v>1</v>
      </c>
      <c r="F10" s="195">
        <v>1.9400000000000001E-2</v>
      </c>
      <c r="G10" s="196">
        <f t="shared" si="1"/>
        <v>25.572881355932207</v>
      </c>
      <c r="H10"/>
      <c r="I10"/>
      <c r="J10"/>
      <c r="K10" s="207" t="s">
        <v>54</v>
      </c>
      <c r="L10" s="68">
        <f>SUM(L4:L9)</f>
        <v>3.5415000000000001</v>
      </c>
    </row>
    <row r="11" spans="1:13" s="1" customFormat="1" ht="17" thickBot="1" x14ac:dyDescent="0.25">
      <c r="A11" s="194">
        <v>8</v>
      </c>
      <c r="B11" s="194" t="str">
        <f>Cadastro!A10</f>
        <v>2025/16</v>
      </c>
      <c r="C11" s="231">
        <v>5.0000000000000001E-3</v>
      </c>
      <c r="D11" s="217">
        <v>50</v>
      </c>
      <c r="E11" s="217">
        <v>1</v>
      </c>
      <c r="F11" s="195">
        <v>2.0199999999999999E-2</v>
      </c>
      <c r="G11" s="196">
        <f t="shared" si="1"/>
        <v>26.711864406779668</v>
      </c>
      <c r="H11"/>
      <c r="I11"/>
    </row>
    <row r="12" spans="1:13" s="1" customFormat="1" ht="16" x14ac:dyDescent="0.2">
      <c r="A12" s="194">
        <v>9</v>
      </c>
      <c r="B12" s="194" t="str">
        <f>Cadastro!A11</f>
        <v>2025/17</v>
      </c>
      <c r="C12" s="231">
        <v>5.0000000000000001E-3</v>
      </c>
      <c r="D12" s="217">
        <v>50</v>
      </c>
      <c r="E12" s="217">
        <v>1</v>
      </c>
      <c r="F12" s="195">
        <v>2.4899999999999999E-2</v>
      </c>
      <c r="G12" s="196">
        <f t="shared" si="1"/>
        <v>33.403389830508473</v>
      </c>
      <c r="H12"/>
      <c r="I12"/>
      <c r="J12" s="36" t="s">
        <v>49</v>
      </c>
      <c r="K12" s="38">
        <f>SUM(J4:J9)</f>
        <v>45</v>
      </c>
      <c r="L12" s="37" t="s">
        <v>55</v>
      </c>
      <c r="M12" s="39">
        <f>L10</f>
        <v>3.5415000000000001</v>
      </c>
    </row>
    <row r="13" spans="1:13" s="1" customFormat="1" ht="16" x14ac:dyDescent="0.2">
      <c r="A13" s="194">
        <v>10</v>
      </c>
      <c r="B13" s="194" t="str">
        <f>Cadastro!A12</f>
        <v>2025/18</v>
      </c>
      <c r="C13" s="231">
        <v>5.0000000000000001E-3</v>
      </c>
      <c r="D13" s="217">
        <v>50</v>
      </c>
      <c r="E13" s="217">
        <v>1</v>
      </c>
      <c r="F13" s="195">
        <v>3.6799999999999999E-2</v>
      </c>
      <c r="G13" s="196">
        <f t="shared" si="1"/>
        <v>50.345762711864403</v>
      </c>
      <c r="H13"/>
      <c r="I13"/>
      <c r="J13" s="40" t="s">
        <v>50</v>
      </c>
      <c r="K13" s="42">
        <f>J4^2+J5^2+J6^2+J7^2+J8^2+J9^2</f>
        <v>495</v>
      </c>
      <c r="L13" s="41" t="s">
        <v>57</v>
      </c>
      <c r="M13" s="43">
        <f>AVERAGE(K4:K9)</f>
        <v>5.4116666666666667E-2</v>
      </c>
    </row>
    <row r="14" spans="1:13" s="1" customFormat="1" ht="16" x14ac:dyDescent="0.2">
      <c r="A14" s="194">
        <v>11</v>
      </c>
      <c r="B14" s="194" t="str">
        <f>Cadastro!A13</f>
        <v>2025/19</v>
      </c>
      <c r="C14" s="231">
        <v>5.0000000000000001E-3</v>
      </c>
      <c r="D14" s="217">
        <v>50</v>
      </c>
      <c r="E14" s="217">
        <v>1</v>
      </c>
      <c r="F14" s="195">
        <v>2.92E-2</v>
      </c>
      <c r="G14" s="196">
        <f t="shared" si="1"/>
        <v>39.525423728813564</v>
      </c>
      <c r="H14"/>
      <c r="I14"/>
      <c r="J14" s="40" t="s">
        <v>51</v>
      </c>
      <c r="K14" s="42">
        <f>SUM(J4:J9)^2</f>
        <v>2025</v>
      </c>
      <c r="L14" s="44" t="s">
        <v>59</v>
      </c>
      <c r="M14" s="43">
        <f>AVERAGE(J4:J9)</f>
        <v>7.5</v>
      </c>
    </row>
    <row r="15" spans="1:13" s="1" customFormat="1" ht="16" x14ac:dyDescent="0.2">
      <c r="A15" s="194">
        <v>12</v>
      </c>
      <c r="B15" s="194" t="str">
        <f>Cadastro!A14</f>
        <v>2025/20</v>
      </c>
      <c r="C15" s="231">
        <v>5.0000000000000001E-3</v>
      </c>
      <c r="D15" s="217">
        <v>50</v>
      </c>
      <c r="E15" s="217">
        <v>1</v>
      </c>
      <c r="F15" s="195">
        <v>3.3300000000000003E-2</v>
      </c>
      <c r="G15" s="196">
        <f t="shared" si="1"/>
        <v>45.362711864406776</v>
      </c>
      <c r="H15"/>
      <c r="I15"/>
      <c r="J15" s="58" t="s">
        <v>52</v>
      </c>
      <c r="K15" s="52">
        <f>SUM(K4:K9)</f>
        <v>0.32469999999999999</v>
      </c>
      <c r="L15" s="52"/>
      <c r="M15" s="59"/>
    </row>
    <row r="16" spans="1:13" s="1" customFormat="1" ht="16" x14ac:dyDescent="0.2">
      <c r="A16" s="194">
        <v>13</v>
      </c>
      <c r="B16" s="194" t="str">
        <f>Cadastro!A15</f>
        <v>2025/21</v>
      </c>
      <c r="C16" s="231">
        <v>5.0000000000000001E-3</v>
      </c>
      <c r="D16" s="217">
        <v>50</v>
      </c>
      <c r="E16" s="217">
        <v>1</v>
      </c>
      <c r="F16" s="195">
        <v>4.0500000000000001E-2</v>
      </c>
      <c r="G16" s="196">
        <f t="shared" si="1"/>
        <v>55.613559322033886</v>
      </c>
      <c r="H16"/>
      <c r="I16"/>
      <c r="J16" s="45"/>
      <c r="K16" s="49" t="s">
        <v>56</v>
      </c>
      <c r="L16" s="50">
        <f>(M12-(K12*K15/6))/((K13-(K14/6)))</f>
        <v>7.0238095238095251E-3</v>
      </c>
      <c r="M16" s="43"/>
    </row>
    <row r="17" spans="1:13" s="1" customFormat="1" ht="17" thickBot="1" x14ac:dyDescent="0.25">
      <c r="A17" s="194">
        <v>14</v>
      </c>
      <c r="B17" s="194" t="str">
        <f>Cadastro!A16</f>
        <v>2025/22</v>
      </c>
      <c r="C17" s="231">
        <v>5.0000000000000001E-3</v>
      </c>
      <c r="D17" s="217">
        <v>50</v>
      </c>
      <c r="E17" s="217">
        <v>1</v>
      </c>
      <c r="F17" s="195">
        <v>3.4800000000000005E-2</v>
      </c>
      <c r="G17" s="196">
        <f t="shared" si="1"/>
        <v>47.498305084745773</v>
      </c>
      <c r="H17"/>
      <c r="I17"/>
      <c r="J17" s="46"/>
      <c r="K17" s="60" t="s">
        <v>58</v>
      </c>
      <c r="L17" s="61">
        <f>M13-(L16*M14)</f>
        <v>1.4380952380952314E-3</v>
      </c>
      <c r="M17" s="48"/>
    </row>
    <row r="18" spans="1:13" s="1" customFormat="1" x14ac:dyDescent="0.2">
      <c r="A18"/>
      <c r="B18"/>
      <c r="C18"/>
      <c r="D18"/>
      <c r="E18"/>
      <c r="F18"/>
      <c r="G18"/>
      <c r="H18"/>
      <c r="I18"/>
    </row>
    <row r="19" spans="1:13" s="1" customFormat="1" x14ac:dyDescent="0.2">
      <c r="A19"/>
      <c r="B19"/>
      <c r="C19"/>
      <c r="D19"/>
      <c r="E19"/>
      <c r="F19"/>
      <c r="G19"/>
      <c r="H19"/>
      <c r="I19"/>
    </row>
  </sheetData>
  <mergeCells count="2">
    <mergeCell ref="J2:L2"/>
    <mergeCell ref="B1:G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9"/>
  <sheetViews>
    <sheetView workbookViewId="0">
      <selection activeCell="F10" sqref="F10"/>
    </sheetView>
  </sheetViews>
  <sheetFormatPr baseColWidth="10" defaultColWidth="8.83203125" defaultRowHeight="15" x14ac:dyDescent="0.2"/>
  <cols>
    <col min="2" max="2" width="16.5" customWidth="1"/>
    <col min="3" max="3" width="12.1640625" bestFit="1" customWidth="1"/>
    <col min="4" max="4" width="14.6640625" bestFit="1" customWidth="1"/>
    <col min="5" max="5" width="12.1640625" bestFit="1" customWidth="1"/>
    <col min="6" max="6" width="12.6640625" bestFit="1" customWidth="1"/>
    <col min="7" max="7" width="21.83203125" bestFit="1" customWidth="1"/>
    <col min="8" max="8" width="21.83203125" customWidth="1"/>
  </cols>
  <sheetData>
    <row r="1" spans="1:13" s="1" customFormat="1" ht="19" x14ac:dyDescent="0.25">
      <c r="A1" s="148"/>
      <c r="B1" s="312" t="s">
        <v>86</v>
      </c>
      <c r="C1" s="312"/>
      <c r="D1" s="312"/>
      <c r="E1" s="312"/>
      <c r="F1" s="312"/>
      <c r="G1" s="312"/>
      <c r="H1"/>
    </row>
    <row r="2" spans="1:13" s="1" customFormat="1" x14ac:dyDescent="0.2">
      <c r="A2" s="30" t="s">
        <v>128</v>
      </c>
      <c r="B2" s="35" t="s">
        <v>39</v>
      </c>
      <c r="C2" s="35" t="s">
        <v>47</v>
      </c>
      <c r="D2" s="35" t="s">
        <v>41</v>
      </c>
      <c r="E2" s="35" t="s">
        <v>42</v>
      </c>
      <c r="F2" s="35" t="s">
        <v>43</v>
      </c>
      <c r="G2" s="35" t="s">
        <v>105</v>
      </c>
      <c r="H2"/>
      <c r="J2" s="325" t="s">
        <v>45</v>
      </c>
      <c r="K2" s="326"/>
      <c r="L2" s="327"/>
    </row>
    <row r="3" spans="1:13" s="1" customFormat="1" ht="17" thickBot="1" x14ac:dyDescent="0.25">
      <c r="A3" s="194" t="s">
        <v>107</v>
      </c>
      <c r="B3" s="194" t="str">
        <f>Cadastro!A2</f>
        <v>*</v>
      </c>
      <c r="C3" s="217"/>
      <c r="D3" s="217"/>
      <c r="E3" s="217"/>
      <c r="F3" s="195"/>
      <c r="G3" s="196"/>
      <c r="H3"/>
      <c r="J3" s="33" t="s">
        <v>90</v>
      </c>
      <c r="K3" s="64" t="s">
        <v>82</v>
      </c>
      <c r="L3" s="85" t="s">
        <v>53</v>
      </c>
    </row>
    <row r="4" spans="1:13" s="1" customFormat="1" ht="17" thickBot="1" x14ac:dyDescent="0.25">
      <c r="A4" s="197">
        <v>1</v>
      </c>
      <c r="B4" s="197" t="str">
        <f>Cadastro!A3</f>
        <v>Padrão A</v>
      </c>
      <c r="C4" s="215">
        <v>5.0000000000000001E-3</v>
      </c>
      <c r="D4" s="198">
        <v>50</v>
      </c>
      <c r="E4" s="198">
        <v>1</v>
      </c>
      <c r="F4" s="198" t="s">
        <v>133</v>
      </c>
      <c r="G4" s="198">
        <v>1.4</v>
      </c>
      <c r="H4"/>
      <c r="J4" s="93">
        <v>0</v>
      </c>
      <c r="K4" s="94">
        <v>-2.9999999999999997E-4</v>
      </c>
      <c r="L4" s="95">
        <f>J4*K4</f>
        <v>0</v>
      </c>
    </row>
    <row r="5" spans="1:13" s="1" customFormat="1" ht="16" x14ac:dyDescent="0.2">
      <c r="A5" s="197">
        <v>2</v>
      </c>
      <c r="B5" s="197" t="str">
        <f>Cadastro!A4</f>
        <v>Padrão B</v>
      </c>
      <c r="C5" s="215">
        <v>5.0000000000000001E-3</v>
      </c>
      <c r="D5" s="198">
        <v>50</v>
      </c>
      <c r="E5" s="198">
        <v>1</v>
      </c>
      <c r="F5" s="198">
        <v>6.3600000000000004E-2</v>
      </c>
      <c r="G5" s="198">
        <v>10.199999999999999</v>
      </c>
      <c r="H5"/>
      <c r="J5" s="96">
        <v>1</v>
      </c>
      <c r="K5" s="94">
        <v>1.8200000000000001E-2</v>
      </c>
      <c r="L5" s="97">
        <f t="shared" ref="L5:L9" si="0">J5*K5</f>
        <v>1.8200000000000001E-2</v>
      </c>
    </row>
    <row r="6" spans="1:13" s="1" customFormat="1" ht="16" x14ac:dyDescent="0.2">
      <c r="A6" s="194">
        <v>3</v>
      </c>
      <c r="B6" s="194" t="str">
        <f>Cadastro!A5</f>
        <v>P. Labas A</v>
      </c>
      <c r="C6" s="231">
        <v>5.0000000000000001E-3</v>
      </c>
      <c r="D6" s="217">
        <v>50</v>
      </c>
      <c r="E6" s="217">
        <v>1</v>
      </c>
      <c r="F6" s="195">
        <v>4.3999999999999994E-3</v>
      </c>
      <c r="G6" s="196">
        <f t="shared" ref="G6:G17" si="1">((F6-L$17)/L$16)*E6*D6/1000/C6</f>
        <v>2.2993973993022614</v>
      </c>
      <c r="H6"/>
      <c r="J6" s="96">
        <v>2</v>
      </c>
      <c r="K6" s="6">
        <v>3.6900000000000002E-2</v>
      </c>
      <c r="L6" s="97">
        <f t="shared" si="0"/>
        <v>7.3800000000000004E-2</v>
      </c>
    </row>
    <row r="7" spans="1:13" s="1" customFormat="1" ht="16" x14ac:dyDescent="0.2">
      <c r="A7" s="194">
        <v>4</v>
      </c>
      <c r="B7" s="194" t="str">
        <f>Cadastro!A6</f>
        <v>P. Labas B</v>
      </c>
      <c r="C7" s="231">
        <v>5.0000000000000001E-3</v>
      </c>
      <c r="D7" s="217">
        <v>50</v>
      </c>
      <c r="E7" s="217">
        <v>1</v>
      </c>
      <c r="F7" s="195">
        <v>3.2000000000000001E-2</v>
      </c>
      <c r="G7" s="196">
        <f t="shared" si="1"/>
        <v>17.618141452584844</v>
      </c>
      <c r="H7"/>
      <c r="J7" s="96">
        <v>3</v>
      </c>
      <c r="K7" s="6">
        <v>5.5E-2</v>
      </c>
      <c r="L7" s="97">
        <f t="shared" si="0"/>
        <v>0.16500000000000001</v>
      </c>
    </row>
    <row r="8" spans="1:13" s="1" customFormat="1" ht="16" x14ac:dyDescent="0.2">
      <c r="A8" s="194">
        <v>5</v>
      </c>
      <c r="B8" s="194" t="str">
        <f>Cadastro!A7</f>
        <v>2025/13</v>
      </c>
      <c r="C8" s="231">
        <v>5.0000000000000001E-3</v>
      </c>
      <c r="D8" s="217">
        <v>50</v>
      </c>
      <c r="E8" s="217">
        <v>1</v>
      </c>
      <c r="F8" s="195">
        <v>6.7400000000000002E-2</v>
      </c>
      <c r="G8" s="196">
        <f t="shared" si="1"/>
        <v>37.266095781795116</v>
      </c>
      <c r="H8"/>
      <c r="J8" s="96">
        <v>4</v>
      </c>
      <c r="K8" s="6">
        <v>7.22E-2</v>
      </c>
      <c r="L8" s="97">
        <f t="shared" si="0"/>
        <v>0.2888</v>
      </c>
    </row>
    <row r="9" spans="1:13" s="1" customFormat="1" ht="17" thickBot="1" x14ac:dyDescent="0.25">
      <c r="A9" s="194">
        <v>6</v>
      </c>
      <c r="B9" s="194" t="str">
        <f>Cadastro!A8</f>
        <v>2025/14</v>
      </c>
      <c r="C9" s="231">
        <v>5.0000000000000001E-3</v>
      </c>
      <c r="D9" s="217">
        <v>50</v>
      </c>
      <c r="E9" s="217">
        <v>1</v>
      </c>
      <c r="F9" s="195">
        <v>3.3300000000000003E-2</v>
      </c>
      <c r="G9" s="196">
        <f t="shared" si="1"/>
        <v>18.339676498572793</v>
      </c>
      <c r="H9"/>
      <c r="J9" s="98">
        <v>5</v>
      </c>
      <c r="K9" s="6">
        <v>8.9800000000000005E-2</v>
      </c>
      <c r="L9" s="100">
        <f t="shared" si="0"/>
        <v>0.44900000000000001</v>
      </c>
    </row>
    <row r="10" spans="1:13" s="1" customFormat="1" ht="17" thickBot="1" x14ac:dyDescent="0.25">
      <c r="A10" s="194">
        <v>7</v>
      </c>
      <c r="B10" s="194" t="str">
        <f>Cadastro!A9</f>
        <v>2025/15</v>
      </c>
      <c r="C10" s="231">
        <v>5.0000000000000001E-3</v>
      </c>
      <c r="D10" s="217">
        <v>50</v>
      </c>
      <c r="E10" s="217">
        <v>1</v>
      </c>
      <c r="F10" s="195">
        <v>3.2199999999999999E-2</v>
      </c>
      <c r="G10" s="196">
        <f t="shared" si="1"/>
        <v>17.729146844275302</v>
      </c>
      <c r="H10"/>
      <c r="I10"/>
      <c r="J10"/>
      <c r="K10" s="80" t="s">
        <v>54</v>
      </c>
      <c r="L10" s="68">
        <f>SUM(L4:L9)</f>
        <v>0.99480000000000013</v>
      </c>
    </row>
    <row r="11" spans="1:13" s="1" customFormat="1" ht="17" thickBot="1" x14ac:dyDescent="0.25">
      <c r="A11" s="194">
        <v>8</v>
      </c>
      <c r="B11" s="194" t="str">
        <f>Cadastro!A10</f>
        <v>2025/16</v>
      </c>
      <c r="C11" s="231">
        <v>5.0000000000000001E-3</v>
      </c>
      <c r="D11" s="217">
        <v>50</v>
      </c>
      <c r="E11" s="217">
        <v>1</v>
      </c>
      <c r="F11" s="195">
        <v>4.7100000000000003E-2</v>
      </c>
      <c r="G11" s="196">
        <f t="shared" si="1"/>
        <v>25.999048525214086</v>
      </c>
      <c r="H11"/>
      <c r="I11"/>
    </row>
    <row r="12" spans="1:13" s="1" customFormat="1" ht="16" x14ac:dyDescent="0.2">
      <c r="A12" s="194">
        <v>9</v>
      </c>
      <c r="B12" s="194" t="str">
        <f>Cadastro!A11</f>
        <v>2025/17</v>
      </c>
      <c r="C12" s="231">
        <v>5.0000000000000001E-3</v>
      </c>
      <c r="D12" s="217">
        <v>50</v>
      </c>
      <c r="E12" s="217">
        <v>1</v>
      </c>
      <c r="F12" s="195">
        <v>9.2999999999999999E-2</v>
      </c>
      <c r="G12" s="196">
        <f t="shared" si="1"/>
        <v>51.474785918173147</v>
      </c>
      <c r="H12"/>
      <c r="I12"/>
      <c r="J12" s="36" t="s">
        <v>49</v>
      </c>
      <c r="K12" s="38">
        <f>SUM(J4:J9)</f>
        <v>15</v>
      </c>
      <c r="L12" s="37" t="s">
        <v>55</v>
      </c>
      <c r="M12" s="39">
        <f>L10</f>
        <v>0.99480000000000013</v>
      </c>
    </row>
    <row r="13" spans="1:13" s="1" customFormat="1" ht="16" x14ac:dyDescent="0.2">
      <c r="A13" s="194">
        <v>10</v>
      </c>
      <c r="B13" s="194" t="str">
        <f>Cadastro!A12</f>
        <v>2025/18</v>
      </c>
      <c r="C13" s="231">
        <v>5.0000000000000001E-3</v>
      </c>
      <c r="D13" s="217">
        <v>50</v>
      </c>
      <c r="E13" s="217">
        <v>1</v>
      </c>
      <c r="F13" s="195">
        <v>5.4699999999999999E-2</v>
      </c>
      <c r="G13" s="196">
        <f t="shared" si="1"/>
        <v>30.21725340945131</v>
      </c>
      <c r="H13"/>
      <c r="I13"/>
      <c r="J13" s="40" t="s">
        <v>50</v>
      </c>
      <c r="K13" s="42">
        <f>J4^2+J5^2+J6^2+J7^2+J8^2+J9^2</f>
        <v>55</v>
      </c>
      <c r="L13" s="41" t="s">
        <v>57</v>
      </c>
      <c r="M13" s="43">
        <f>AVERAGE(K4:K9)</f>
        <v>4.53E-2</v>
      </c>
    </row>
    <row r="14" spans="1:13" s="1" customFormat="1" ht="16" x14ac:dyDescent="0.2">
      <c r="A14" s="194">
        <v>11</v>
      </c>
      <c r="B14" s="194" t="str">
        <f>Cadastro!A13</f>
        <v>2025/19</v>
      </c>
      <c r="C14" s="231">
        <v>5.0000000000000001E-3</v>
      </c>
      <c r="D14" s="217">
        <v>50</v>
      </c>
      <c r="E14" s="217">
        <v>1</v>
      </c>
      <c r="F14" s="195">
        <v>0.25240000000000001</v>
      </c>
      <c r="G14" s="196">
        <f t="shared" si="1"/>
        <v>139.94608309546462</v>
      </c>
      <c r="H14"/>
      <c r="I14"/>
      <c r="J14" s="40" t="s">
        <v>51</v>
      </c>
      <c r="K14" s="42">
        <f>SUM(J4:J9)^2</f>
        <v>225</v>
      </c>
      <c r="L14" s="44" t="s">
        <v>59</v>
      </c>
      <c r="M14" s="43">
        <f>AVERAGE(J4:J9)</f>
        <v>2.5</v>
      </c>
    </row>
    <row r="15" spans="1:13" s="1" customFormat="1" ht="16" x14ac:dyDescent="0.2">
      <c r="A15" s="194">
        <v>12</v>
      </c>
      <c r="B15" s="194" t="str">
        <f>Cadastro!A14</f>
        <v>2025/20</v>
      </c>
      <c r="C15" s="231">
        <v>5.0000000000000001E-3</v>
      </c>
      <c r="D15" s="217">
        <v>50</v>
      </c>
      <c r="E15" s="217">
        <v>1</v>
      </c>
      <c r="F15" s="195">
        <v>0.15859999999999999</v>
      </c>
      <c r="G15" s="196">
        <f t="shared" si="1"/>
        <v>87.884554392641903</v>
      </c>
      <c r="H15"/>
      <c r="I15"/>
      <c r="J15" s="58" t="s">
        <v>52</v>
      </c>
      <c r="K15" s="52">
        <f>SUM(K4:K9)</f>
        <v>0.27179999999999999</v>
      </c>
      <c r="L15" s="52"/>
      <c r="M15" s="59"/>
    </row>
    <row r="16" spans="1:13" s="1" customFormat="1" ht="16" x14ac:dyDescent="0.2">
      <c r="A16" s="194">
        <v>13</v>
      </c>
      <c r="B16" s="194" t="str">
        <f>Cadastro!A15</f>
        <v>2025/21</v>
      </c>
      <c r="C16" s="231">
        <v>5.0000000000000001E-3</v>
      </c>
      <c r="D16" s="217">
        <v>50</v>
      </c>
      <c r="E16" s="217">
        <v>1</v>
      </c>
      <c r="F16" s="195">
        <v>0.18779999999999999</v>
      </c>
      <c r="G16" s="196">
        <f t="shared" si="1"/>
        <v>104.0913415794481</v>
      </c>
      <c r="H16"/>
      <c r="I16"/>
      <c r="J16" s="45"/>
      <c r="K16" s="49" t="s">
        <v>56</v>
      </c>
      <c r="L16" s="50">
        <f>(M12-(K12*K15/6))/((K13-(K14/6)))</f>
        <v>1.8017142857142864E-2</v>
      </c>
      <c r="M16" s="43"/>
    </row>
    <row r="17" spans="1:13" s="1" customFormat="1" ht="17" thickBot="1" x14ac:dyDescent="0.25">
      <c r="A17" s="194">
        <v>14</v>
      </c>
      <c r="B17" s="194" t="str">
        <f>Cadastro!A16</f>
        <v>2025/22</v>
      </c>
      <c r="C17" s="231">
        <v>5.0000000000000001E-3</v>
      </c>
      <c r="D17" s="217">
        <v>50</v>
      </c>
      <c r="E17" s="217">
        <v>1</v>
      </c>
      <c r="F17" s="195">
        <v>0.10250000000000001</v>
      </c>
      <c r="G17" s="196">
        <f t="shared" si="1"/>
        <v>56.747542023469698</v>
      </c>
      <c r="H17"/>
      <c r="I17"/>
      <c r="J17" s="46"/>
      <c r="K17" s="60" t="s">
        <v>58</v>
      </c>
      <c r="L17" s="61">
        <f>M13-(L16*M14)</f>
        <v>2.5714285714283774E-4</v>
      </c>
      <c r="M17" s="48"/>
    </row>
    <row r="18" spans="1:13" s="1" customFormat="1" x14ac:dyDescent="0.2">
      <c r="A18"/>
      <c r="B18"/>
      <c r="C18"/>
      <c r="D18"/>
      <c r="E18"/>
      <c r="F18"/>
      <c r="G18"/>
      <c r="H18"/>
      <c r="I18"/>
    </row>
    <row r="19" spans="1:13" s="1" customFormat="1" x14ac:dyDescent="0.2">
      <c r="A19"/>
      <c r="B19"/>
      <c r="C19"/>
      <c r="D19"/>
      <c r="E19"/>
      <c r="F19"/>
      <c r="G19"/>
      <c r="H19"/>
      <c r="I19"/>
    </row>
  </sheetData>
  <mergeCells count="2">
    <mergeCell ref="J2:L2"/>
    <mergeCell ref="B1:G1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9"/>
  <sheetViews>
    <sheetView topLeftCell="B1" workbookViewId="0">
      <selection activeCell="F9" sqref="F9"/>
    </sheetView>
  </sheetViews>
  <sheetFormatPr baseColWidth="10" defaultColWidth="8.83203125" defaultRowHeight="15" x14ac:dyDescent="0.2"/>
  <cols>
    <col min="2" max="2" width="17.5" customWidth="1"/>
    <col min="3" max="3" width="12.1640625" bestFit="1" customWidth="1"/>
    <col min="4" max="4" width="14.6640625" bestFit="1" customWidth="1"/>
    <col min="5" max="5" width="12.1640625" bestFit="1" customWidth="1"/>
    <col min="6" max="6" width="12.6640625" bestFit="1" customWidth="1"/>
    <col min="7" max="7" width="21.83203125" bestFit="1" customWidth="1"/>
    <col min="8" max="8" width="21.83203125" customWidth="1"/>
  </cols>
  <sheetData>
    <row r="1" spans="1:13" s="1" customFormat="1" ht="20" thickBot="1" x14ac:dyDescent="0.3">
      <c r="A1" s="148"/>
      <c r="B1" s="312" t="s">
        <v>88</v>
      </c>
      <c r="C1" s="312"/>
      <c r="D1" s="312"/>
      <c r="E1" s="312"/>
      <c r="F1" s="312"/>
      <c r="G1" s="312"/>
      <c r="H1"/>
    </row>
    <row r="2" spans="1:13" s="1" customFormat="1" x14ac:dyDescent="0.2">
      <c r="A2" s="30" t="s">
        <v>128</v>
      </c>
      <c r="B2" s="35" t="s">
        <v>39</v>
      </c>
      <c r="C2" s="35" t="s">
        <v>47</v>
      </c>
      <c r="D2" s="35" t="s">
        <v>41</v>
      </c>
      <c r="E2" s="35" t="s">
        <v>42</v>
      </c>
      <c r="F2" s="35" t="s">
        <v>43</v>
      </c>
      <c r="G2" s="35" t="s">
        <v>96</v>
      </c>
      <c r="H2"/>
      <c r="J2" s="309" t="s">
        <v>45</v>
      </c>
      <c r="K2" s="310"/>
      <c r="L2" s="311"/>
    </row>
    <row r="3" spans="1:13" s="1" customFormat="1" ht="16" x14ac:dyDescent="0.2">
      <c r="A3" s="194" t="s">
        <v>107</v>
      </c>
      <c r="B3" s="194" t="str">
        <f>Cadastro!A2</f>
        <v>*</v>
      </c>
      <c r="C3" s="217"/>
      <c r="D3" s="217"/>
      <c r="E3" s="217"/>
      <c r="F3" s="195"/>
      <c r="G3" s="196"/>
      <c r="H3"/>
      <c r="J3" s="86" t="s">
        <v>92</v>
      </c>
      <c r="K3" s="64" t="s">
        <v>82</v>
      </c>
      <c r="L3" s="87" t="s">
        <v>53</v>
      </c>
    </row>
    <row r="4" spans="1:13" s="1" customFormat="1" ht="16" x14ac:dyDescent="0.2">
      <c r="A4" s="197">
        <v>1</v>
      </c>
      <c r="B4" s="197" t="str">
        <f>Cadastro!A3</f>
        <v>Padrão A</v>
      </c>
      <c r="C4" s="215">
        <v>5.0000000000000001E-3</v>
      </c>
      <c r="D4" s="198">
        <v>50</v>
      </c>
      <c r="E4" s="198">
        <v>1</v>
      </c>
      <c r="F4" s="198" t="s">
        <v>133</v>
      </c>
      <c r="G4" s="198">
        <v>0.18</v>
      </c>
      <c r="H4"/>
      <c r="J4" s="96">
        <v>0</v>
      </c>
      <c r="K4" s="6">
        <v>0</v>
      </c>
      <c r="L4" s="97">
        <f>J4*K4</f>
        <v>0</v>
      </c>
    </row>
    <row r="5" spans="1:13" s="1" customFormat="1" ht="16" x14ac:dyDescent="0.2">
      <c r="A5" s="197">
        <v>2</v>
      </c>
      <c r="B5" s="197" t="str">
        <f>Cadastro!A4</f>
        <v>Padrão B</v>
      </c>
      <c r="C5" s="215">
        <v>5.0000000000000001E-3</v>
      </c>
      <c r="D5" s="198">
        <v>50</v>
      </c>
      <c r="E5" s="198">
        <v>1</v>
      </c>
      <c r="F5" s="198">
        <v>6.3999999999999994E-3</v>
      </c>
      <c r="G5" s="198">
        <v>2.2599999999999998</v>
      </c>
      <c r="H5"/>
      <c r="J5" s="96">
        <v>0.4</v>
      </c>
      <c r="K5" s="6">
        <v>2.3300000000000001E-2</v>
      </c>
      <c r="L5" s="97">
        <f t="shared" ref="L5:L9" si="0">J5*K5</f>
        <v>9.3200000000000002E-3</v>
      </c>
    </row>
    <row r="6" spans="1:13" s="1" customFormat="1" ht="16" x14ac:dyDescent="0.2">
      <c r="A6" s="194">
        <v>3</v>
      </c>
      <c r="B6" s="194" t="str">
        <f>Cadastro!A5</f>
        <v>P. Labas A</v>
      </c>
      <c r="C6" s="231">
        <v>5.0000000000000001E-3</v>
      </c>
      <c r="D6" s="217">
        <v>50</v>
      </c>
      <c r="E6" s="217">
        <v>1</v>
      </c>
      <c r="F6" s="195">
        <v>8.9999999999999976E-4</v>
      </c>
      <c r="G6" s="196">
        <f>((F6)/L$16)*E6*D6/1000/C6</f>
        <v>0.16682113067655227</v>
      </c>
      <c r="H6"/>
      <c r="I6"/>
      <c r="J6" s="96">
        <v>0.8</v>
      </c>
      <c r="K6" s="6">
        <v>4.6300000000000001E-2</v>
      </c>
      <c r="L6" s="97">
        <f t="shared" si="0"/>
        <v>3.7040000000000003E-2</v>
      </c>
    </row>
    <row r="7" spans="1:13" s="1" customFormat="1" ht="16" x14ac:dyDescent="0.2">
      <c r="A7" s="194">
        <v>4</v>
      </c>
      <c r="B7" s="194" t="str">
        <f>Cadastro!A6</f>
        <v>P. Labas B</v>
      </c>
      <c r="C7" s="231">
        <v>5.0000000000000001E-3</v>
      </c>
      <c r="D7" s="217">
        <v>50</v>
      </c>
      <c r="E7" s="217">
        <v>1</v>
      </c>
      <c r="F7" s="195">
        <v>1.11E-2</v>
      </c>
      <c r="G7" s="196">
        <f t="shared" ref="G7:G17" si="1">((F7-L$17)/L$16)*E7*D7/1000/C7</f>
        <v>1.7732468334878011</v>
      </c>
      <c r="H7"/>
      <c r="I7"/>
      <c r="J7" s="96">
        <v>1.2</v>
      </c>
      <c r="K7" s="6">
        <v>6.7100000000000007E-2</v>
      </c>
      <c r="L7" s="97">
        <f t="shared" si="0"/>
        <v>8.0520000000000008E-2</v>
      </c>
    </row>
    <row r="8" spans="1:13" s="1" customFormat="1" ht="16" x14ac:dyDescent="0.2">
      <c r="A8" s="194">
        <v>5</v>
      </c>
      <c r="B8" s="194" t="str">
        <f>Cadastro!A7</f>
        <v>2025/13</v>
      </c>
      <c r="C8" s="231">
        <v>5.0000000000000001E-3</v>
      </c>
      <c r="D8" s="217">
        <v>50</v>
      </c>
      <c r="E8" s="217">
        <v>1</v>
      </c>
      <c r="F8" s="195">
        <v>5.3000000000000005E-2</v>
      </c>
      <c r="G8" s="196">
        <f t="shared" si="1"/>
        <v>9.5396972505406268</v>
      </c>
      <c r="H8"/>
      <c r="I8"/>
      <c r="J8" s="96">
        <v>1.6</v>
      </c>
      <c r="K8" s="6">
        <v>8.8300000000000003E-2</v>
      </c>
      <c r="L8" s="97">
        <f t="shared" si="0"/>
        <v>0.14128000000000002</v>
      </c>
    </row>
    <row r="9" spans="1:13" s="1" customFormat="1" ht="17" thickBot="1" x14ac:dyDescent="0.25">
      <c r="A9" s="194">
        <v>6</v>
      </c>
      <c r="B9" s="194" t="str">
        <f>Cadastro!A8</f>
        <v>2025/14</v>
      </c>
      <c r="C9" s="231">
        <v>5.0000000000000001E-3</v>
      </c>
      <c r="D9" s="217">
        <v>50</v>
      </c>
      <c r="E9" s="217">
        <v>1</v>
      </c>
      <c r="F9" s="195">
        <v>3.4600000000000006E-2</v>
      </c>
      <c r="G9" s="196">
        <f t="shared" si="1"/>
        <v>6.1291319122644463</v>
      </c>
      <c r="H9"/>
      <c r="I9"/>
      <c r="J9" s="98">
        <v>2</v>
      </c>
      <c r="K9" s="99">
        <v>0.1079</v>
      </c>
      <c r="L9" s="100">
        <f t="shared" si="0"/>
        <v>0.21579999999999999</v>
      </c>
    </row>
    <row r="10" spans="1:13" s="1" customFormat="1" ht="17" thickBot="1" x14ac:dyDescent="0.25">
      <c r="A10" s="194">
        <v>7</v>
      </c>
      <c r="B10" s="194" t="str">
        <f>Cadastro!A9</f>
        <v>2025/15</v>
      </c>
      <c r="C10" s="231">
        <v>5.0000000000000001E-3</v>
      </c>
      <c r="D10" s="217">
        <v>50</v>
      </c>
      <c r="E10" s="217">
        <v>1</v>
      </c>
      <c r="F10" s="195">
        <v>5.6400000000000006E-2</v>
      </c>
      <c r="G10" s="196">
        <f t="shared" si="1"/>
        <v>10.169910410874268</v>
      </c>
      <c r="H10"/>
      <c r="I10"/>
      <c r="J10"/>
      <c r="K10" s="80" t="s">
        <v>54</v>
      </c>
      <c r="L10" s="68">
        <f>SUM(L4:L9)</f>
        <v>0.48396000000000006</v>
      </c>
    </row>
    <row r="11" spans="1:13" s="1" customFormat="1" ht="17" thickBot="1" x14ac:dyDescent="0.25">
      <c r="A11" s="194">
        <v>8</v>
      </c>
      <c r="B11" s="194" t="str">
        <f>Cadastro!A10</f>
        <v>2025/16</v>
      </c>
      <c r="C11" s="231">
        <v>5.0000000000000001E-3</v>
      </c>
      <c r="D11" s="217">
        <v>50</v>
      </c>
      <c r="E11" s="217">
        <v>1</v>
      </c>
      <c r="F11" s="195">
        <v>8.6099999999999996E-2</v>
      </c>
      <c r="G11" s="196">
        <f t="shared" si="1"/>
        <v>15.675007723200491</v>
      </c>
      <c r="H11"/>
      <c r="I11"/>
    </row>
    <row r="12" spans="1:13" s="1" customFormat="1" ht="16" x14ac:dyDescent="0.2">
      <c r="A12" s="194">
        <v>9</v>
      </c>
      <c r="B12" s="194" t="str">
        <f>Cadastro!A11</f>
        <v>2025/17</v>
      </c>
      <c r="C12" s="231">
        <v>5.0000000000000001E-3</v>
      </c>
      <c r="D12" s="217">
        <v>50</v>
      </c>
      <c r="E12" s="217">
        <v>1</v>
      </c>
      <c r="F12" s="195">
        <v>0.1515</v>
      </c>
      <c r="G12" s="196">
        <f t="shared" si="1"/>
        <v>27.797343219029962</v>
      </c>
      <c r="H12"/>
      <c r="I12"/>
      <c r="J12" s="36" t="s">
        <v>49</v>
      </c>
      <c r="K12" s="38">
        <f>SUM(J4:J9)</f>
        <v>6</v>
      </c>
      <c r="L12" s="37" t="s">
        <v>55</v>
      </c>
      <c r="M12" s="39">
        <f>L10</f>
        <v>0.48396000000000006</v>
      </c>
    </row>
    <row r="13" spans="1:13" s="1" customFormat="1" ht="16" x14ac:dyDescent="0.2">
      <c r="A13" s="194">
        <v>10</v>
      </c>
      <c r="B13" s="194" t="str">
        <f>Cadastro!A12</f>
        <v>2025/18</v>
      </c>
      <c r="C13" s="231">
        <v>5.0000000000000001E-3</v>
      </c>
      <c r="D13" s="217">
        <v>50</v>
      </c>
      <c r="E13" s="217">
        <v>1</v>
      </c>
      <c r="F13" s="195">
        <v>0.1245</v>
      </c>
      <c r="G13" s="196">
        <f t="shared" si="1"/>
        <v>22.792709298733389</v>
      </c>
      <c r="H13"/>
      <c r="I13"/>
      <c r="J13" s="40" t="s">
        <v>50</v>
      </c>
      <c r="K13" s="42">
        <f>J4^2+J5^2+J6^2+J7^2+J8^2+J9^2</f>
        <v>8.8000000000000007</v>
      </c>
      <c r="L13" s="41" t="s">
        <v>57</v>
      </c>
      <c r="M13" s="43">
        <f>AVERAGE(K4:K9)</f>
        <v>5.5483333333333329E-2</v>
      </c>
    </row>
    <row r="14" spans="1:13" s="1" customFormat="1" ht="16" x14ac:dyDescent="0.2">
      <c r="A14" s="194">
        <v>11</v>
      </c>
      <c r="B14" s="194" t="str">
        <f>Cadastro!A13</f>
        <v>2025/19</v>
      </c>
      <c r="C14" s="231">
        <v>5.0000000000000001E-3</v>
      </c>
      <c r="D14" s="217">
        <v>50</v>
      </c>
      <c r="E14" s="217">
        <v>1</v>
      </c>
      <c r="F14" s="195">
        <v>1.0800000000000001E-2</v>
      </c>
      <c r="G14" s="196">
        <f t="shared" si="1"/>
        <v>1.7176397899289499</v>
      </c>
      <c r="H14"/>
      <c r="I14"/>
      <c r="J14" s="40" t="s">
        <v>51</v>
      </c>
      <c r="K14" s="42">
        <f>SUM(J4:J9)^2</f>
        <v>36</v>
      </c>
      <c r="L14" s="44" t="s">
        <v>59</v>
      </c>
      <c r="M14" s="43">
        <f>AVERAGE(J4:J9)</f>
        <v>1</v>
      </c>
    </row>
    <row r="15" spans="1:13" s="1" customFormat="1" ht="16" x14ac:dyDescent="0.2">
      <c r="A15" s="194">
        <v>12</v>
      </c>
      <c r="B15" s="194" t="str">
        <f>Cadastro!A14</f>
        <v>2025/20</v>
      </c>
      <c r="C15" s="231">
        <v>5.0000000000000001E-3</v>
      </c>
      <c r="D15" s="217">
        <v>50</v>
      </c>
      <c r="E15" s="234">
        <v>1</v>
      </c>
      <c r="F15" s="195">
        <v>7.7999999999999996E-3</v>
      </c>
      <c r="G15" s="196">
        <f t="shared" si="1"/>
        <v>1.1615693543404424</v>
      </c>
      <c r="H15"/>
      <c r="I15"/>
      <c r="J15" s="58" t="s">
        <v>52</v>
      </c>
      <c r="K15" s="52">
        <f>SUM(K4:K9)</f>
        <v>0.33289999999999997</v>
      </c>
      <c r="L15" s="52"/>
      <c r="M15" s="59"/>
    </row>
    <row r="16" spans="1:13" s="1" customFormat="1" ht="16" x14ac:dyDescent="0.2">
      <c r="A16" s="194">
        <v>13</v>
      </c>
      <c r="B16" s="194" t="str">
        <f>Cadastro!A15</f>
        <v>2025/21</v>
      </c>
      <c r="C16" s="231">
        <v>5.0000000000000001E-3</v>
      </c>
      <c r="D16" s="217">
        <v>50</v>
      </c>
      <c r="E16" s="234">
        <v>1</v>
      </c>
      <c r="F16" s="195">
        <v>1.3399999999999999E-2</v>
      </c>
      <c r="G16" s="196">
        <f t="shared" si="1"/>
        <v>2.1995675007723232</v>
      </c>
      <c r="H16"/>
      <c r="I16"/>
      <c r="J16" s="45"/>
      <c r="K16" s="49" t="s">
        <v>56</v>
      </c>
      <c r="L16" s="50">
        <f>(M12-(K12*K15/6))/((K13-(K14/6)))</f>
        <v>5.3950000000000019E-2</v>
      </c>
      <c r="M16" s="43"/>
    </row>
    <row r="17" spans="1:13" s="1" customFormat="1" ht="17" thickBot="1" x14ac:dyDescent="0.25">
      <c r="A17" s="194">
        <v>14</v>
      </c>
      <c r="B17" s="194" t="str">
        <f>Cadastro!A16</f>
        <v>2025/22</v>
      </c>
      <c r="C17" s="231">
        <v>5.0000000000000001E-3</v>
      </c>
      <c r="D17" s="217">
        <v>50</v>
      </c>
      <c r="E17" s="234">
        <v>1</v>
      </c>
      <c r="F17" s="195">
        <v>1.01E-2</v>
      </c>
      <c r="G17" s="196">
        <f t="shared" si="1"/>
        <v>1.5878900216249652</v>
      </c>
      <c r="H17"/>
      <c r="I17"/>
      <c r="J17" s="46"/>
      <c r="K17" s="60" t="s">
        <v>58</v>
      </c>
      <c r="L17" s="61">
        <f>M13-(L16*M14)</f>
        <v>1.5333333333333102E-3</v>
      </c>
      <c r="M17" s="48"/>
    </row>
    <row r="18" spans="1:13" s="1" customFormat="1" x14ac:dyDescent="0.2">
      <c r="A18"/>
      <c r="B18"/>
      <c r="C18"/>
      <c r="D18"/>
      <c r="E18"/>
      <c r="F18"/>
      <c r="G18"/>
      <c r="H18"/>
    </row>
    <row r="19" spans="1:13" s="1" customFormat="1" x14ac:dyDescent="0.2">
      <c r="A19"/>
      <c r="B19"/>
      <c r="C19"/>
      <c r="D19"/>
      <c r="E19"/>
      <c r="F19"/>
      <c r="G19"/>
      <c r="H19"/>
    </row>
  </sheetData>
  <mergeCells count="2">
    <mergeCell ref="J2:L2"/>
    <mergeCell ref="B1:G1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B9E7-352A-4353-A6AD-87F1F0FF1B6E}">
  <dimension ref="A1:S29"/>
  <sheetViews>
    <sheetView zoomScale="125" workbookViewId="0">
      <selection activeCell="A6" sqref="A6:XFD6"/>
    </sheetView>
  </sheetViews>
  <sheetFormatPr baseColWidth="10" defaultColWidth="8.83203125" defaultRowHeight="15" x14ac:dyDescent="0.2"/>
  <sheetData>
    <row r="1" spans="1:14" x14ac:dyDescent="0.2">
      <c r="A1" s="192" t="s">
        <v>152</v>
      </c>
      <c r="B1" s="192" t="s">
        <v>17</v>
      </c>
      <c r="C1" s="192" t="s">
        <v>153</v>
      </c>
      <c r="D1" s="192" t="s">
        <v>32</v>
      </c>
      <c r="E1" s="192" t="s">
        <v>34</v>
      </c>
      <c r="F1" s="192" t="s">
        <v>33</v>
      </c>
      <c r="G1" s="192" t="s">
        <v>35</v>
      </c>
      <c r="H1" s="125"/>
      <c r="I1" s="192" t="s">
        <v>17</v>
      </c>
      <c r="J1" s="192" t="s">
        <v>153</v>
      </c>
      <c r="K1" s="192" t="s">
        <v>32</v>
      </c>
      <c r="L1" s="192" t="s">
        <v>34</v>
      </c>
      <c r="M1" s="192" t="s">
        <v>33</v>
      </c>
      <c r="N1" s="192" t="s">
        <v>35</v>
      </c>
    </row>
    <row r="2" spans="1:14" x14ac:dyDescent="0.2">
      <c r="A2" s="192" t="s">
        <v>154</v>
      </c>
      <c r="B2" s="192" t="s">
        <v>155</v>
      </c>
      <c r="C2" s="192" t="s">
        <v>155</v>
      </c>
      <c r="D2" s="192" t="s">
        <v>156</v>
      </c>
      <c r="E2" s="192" t="s">
        <v>156</v>
      </c>
      <c r="F2" s="192" t="s">
        <v>156</v>
      </c>
      <c r="G2" s="192" t="s">
        <v>156</v>
      </c>
      <c r="H2" s="125"/>
      <c r="I2" s="192" t="s">
        <v>155</v>
      </c>
      <c r="J2" s="192" t="s">
        <v>155</v>
      </c>
      <c r="K2" s="192" t="s">
        <v>156</v>
      </c>
      <c r="L2" s="192" t="s">
        <v>156</v>
      </c>
      <c r="M2" s="192" t="s">
        <v>156</v>
      </c>
      <c r="N2" s="192" t="s">
        <v>156</v>
      </c>
    </row>
    <row r="3" spans="1:14" x14ac:dyDescent="0.2">
      <c r="A3" t="s">
        <v>157</v>
      </c>
      <c r="B3">
        <v>0.22059999999999999</v>
      </c>
      <c r="C3">
        <v>2.2200000000000001E-2</v>
      </c>
      <c r="D3">
        <v>-5.0000000000000001E-4</v>
      </c>
      <c r="E3">
        <v>4.0000000000000002E-4</v>
      </c>
      <c r="F3">
        <v>-1.5E-3</v>
      </c>
      <c r="G3">
        <v>4.0000000000000001E-3</v>
      </c>
      <c r="H3" s="125"/>
    </row>
    <row r="4" spans="1:14" x14ac:dyDescent="0.2">
      <c r="A4" t="s">
        <v>196</v>
      </c>
      <c r="B4">
        <v>0.23</v>
      </c>
      <c r="C4">
        <v>2.4400000000000002E-2</v>
      </c>
      <c r="D4">
        <v>8.0000000000000004E-4</v>
      </c>
      <c r="E4">
        <v>3.2000000000000001E-2</v>
      </c>
      <c r="F4">
        <v>2.8999999999999998E-3</v>
      </c>
      <c r="G4">
        <v>4.8999999999999998E-3</v>
      </c>
      <c r="H4" s="125"/>
      <c r="I4">
        <f>B4-B$3</f>
        <v>9.4000000000000195E-3</v>
      </c>
      <c r="J4">
        <f t="shared" ref="J4:N15" si="0">C4-C$3</f>
        <v>2.2000000000000006E-3</v>
      </c>
      <c r="K4">
        <f t="shared" si="0"/>
        <v>1.2999999999999999E-3</v>
      </c>
      <c r="L4">
        <f t="shared" si="0"/>
        <v>3.1600000000000003E-2</v>
      </c>
      <c r="M4">
        <f t="shared" si="0"/>
        <v>4.3999999999999994E-3</v>
      </c>
      <c r="N4">
        <f t="shared" si="0"/>
        <v>8.9999999999999976E-4</v>
      </c>
    </row>
    <row r="5" spans="1:14" x14ac:dyDescent="0.2">
      <c r="A5" t="s">
        <v>197</v>
      </c>
      <c r="B5">
        <v>0.64700000000000002</v>
      </c>
      <c r="C5">
        <v>0.1221</v>
      </c>
      <c r="D5">
        <v>2.0000000000000001E-4</v>
      </c>
      <c r="E5">
        <v>2.35E-2</v>
      </c>
      <c r="F5">
        <v>3.0499999999999999E-2</v>
      </c>
      <c r="G5">
        <v>1.5100000000000001E-2</v>
      </c>
      <c r="H5" s="125"/>
      <c r="I5">
        <f t="shared" ref="I5:I15" si="1">B5-B$3</f>
        <v>0.4264</v>
      </c>
      <c r="J5">
        <f t="shared" si="0"/>
        <v>9.9900000000000003E-2</v>
      </c>
      <c r="K5">
        <f t="shared" si="0"/>
        <v>6.9999999999999999E-4</v>
      </c>
      <c r="L5">
        <f t="shared" si="0"/>
        <v>2.3099999999999999E-2</v>
      </c>
      <c r="M5">
        <f t="shared" si="0"/>
        <v>3.2000000000000001E-2</v>
      </c>
      <c r="N5">
        <f t="shared" si="0"/>
        <v>1.11E-2</v>
      </c>
    </row>
    <row r="6" spans="1:14" x14ac:dyDescent="0.2">
      <c r="A6">
        <v>1</v>
      </c>
      <c r="B6">
        <v>0.39369999999999999</v>
      </c>
      <c r="C6">
        <v>7.6899999999999996E-2</v>
      </c>
      <c r="D6">
        <v>1.6000000000000001E-3</v>
      </c>
      <c r="E6">
        <v>2.0299999999999999E-2</v>
      </c>
      <c r="F6">
        <v>6.59E-2</v>
      </c>
      <c r="G6">
        <v>5.7000000000000002E-2</v>
      </c>
      <c r="H6" s="125"/>
      <c r="I6">
        <f t="shared" si="1"/>
        <v>0.1731</v>
      </c>
      <c r="J6">
        <f t="shared" si="0"/>
        <v>5.4699999999999999E-2</v>
      </c>
      <c r="K6">
        <f t="shared" si="0"/>
        <v>2.1000000000000003E-3</v>
      </c>
      <c r="L6">
        <f t="shared" si="0"/>
        <v>1.9899999999999998E-2</v>
      </c>
      <c r="M6">
        <f t="shared" si="0"/>
        <v>6.7400000000000002E-2</v>
      </c>
      <c r="N6">
        <f t="shared" si="0"/>
        <v>5.3000000000000005E-2</v>
      </c>
    </row>
    <row r="7" spans="1:14" x14ac:dyDescent="0.2">
      <c r="A7">
        <v>2</v>
      </c>
      <c r="B7">
        <v>0.45019999999999999</v>
      </c>
      <c r="C7">
        <v>6.7900000000000002E-2</v>
      </c>
      <c r="D7">
        <v>1.1000000000000001E-3</v>
      </c>
      <c r="E7">
        <v>1.34E-2</v>
      </c>
      <c r="F7">
        <v>3.1800000000000002E-2</v>
      </c>
      <c r="G7">
        <v>3.8600000000000002E-2</v>
      </c>
      <c r="H7" s="125"/>
      <c r="I7">
        <f t="shared" si="1"/>
        <v>0.2296</v>
      </c>
      <c r="J7">
        <f t="shared" si="0"/>
        <v>4.5700000000000005E-2</v>
      </c>
      <c r="K7">
        <f t="shared" si="0"/>
        <v>1.6000000000000001E-3</v>
      </c>
      <c r="L7">
        <f t="shared" si="0"/>
        <v>1.3000000000000001E-2</v>
      </c>
      <c r="M7">
        <f t="shared" si="0"/>
        <v>3.3300000000000003E-2</v>
      </c>
      <c r="N7">
        <f t="shared" si="0"/>
        <v>3.4600000000000006E-2</v>
      </c>
    </row>
    <row r="8" spans="1:14" x14ac:dyDescent="0.2">
      <c r="A8">
        <v>3</v>
      </c>
      <c r="B8">
        <v>0.45329999999999998</v>
      </c>
      <c r="C8">
        <v>6.2600000000000003E-2</v>
      </c>
      <c r="D8">
        <v>5.5999999999999999E-3</v>
      </c>
      <c r="E8">
        <v>1.9800000000000002E-2</v>
      </c>
      <c r="F8">
        <v>3.0700000000000002E-2</v>
      </c>
      <c r="G8">
        <v>6.0400000000000002E-2</v>
      </c>
      <c r="H8" s="125"/>
      <c r="I8">
        <f t="shared" si="1"/>
        <v>0.23269999999999999</v>
      </c>
      <c r="J8">
        <f t="shared" si="0"/>
        <v>4.0400000000000005E-2</v>
      </c>
      <c r="K8">
        <f t="shared" si="0"/>
        <v>6.0999999999999995E-3</v>
      </c>
      <c r="L8">
        <f t="shared" si="0"/>
        <v>1.9400000000000001E-2</v>
      </c>
      <c r="M8">
        <f t="shared" si="0"/>
        <v>3.2199999999999999E-2</v>
      </c>
      <c r="N8">
        <f t="shared" si="0"/>
        <v>5.6400000000000006E-2</v>
      </c>
    </row>
    <row r="9" spans="1:14" x14ac:dyDescent="0.2">
      <c r="A9">
        <v>4</v>
      </c>
      <c r="B9">
        <v>0.47660000000000002</v>
      </c>
      <c r="C9">
        <v>7.0999999999999994E-2</v>
      </c>
      <c r="D9">
        <v>6.7000000000000002E-3</v>
      </c>
      <c r="E9">
        <v>2.06E-2</v>
      </c>
      <c r="F9">
        <v>4.5600000000000002E-2</v>
      </c>
      <c r="G9">
        <v>9.01E-2</v>
      </c>
      <c r="H9" s="125"/>
      <c r="I9">
        <f t="shared" si="1"/>
        <v>0.25600000000000001</v>
      </c>
      <c r="J9">
        <f t="shared" si="0"/>
        <v>4.8799999999999996E-2</v>
      </c>
      <c r="K9">
        <f t="shared" si="0"/>
        <v>7.1999999999999998E-3</v>
      </c>
      <c r="L9">
        <f t="shared" si="0"/>
        <v>2.0199999999999999E-2</v>
      </c>
      <c r="M9">
        <f t="shared" si="0"/>
        <v>4.7100000000000003E-2</v>
      </c>
      <c r="N9">
        <f t="shared" si="0"/>
        <v>8.6099999999999996E-2</v>
      </c>
    </row>
    <row r="10" spans="1:14" x14ac:dyDescent="0.2">
      <c r="A10">
        <v>5</v>
      </c>
      <c r="B10">
        <v>0.54910000000000003</v>
      </c>
      <c r="C10">
        <v>8.2500000000000004E-2</v>
      </c>
      <c r="D10">
        <v>6.3E-3</v>
      </c>
      <c r="E10">
        <v>2.53E-2</v>
      </c>
      <c r="F10">
        <v>9.1499999999999998E-2</v>
      </c>
      <c r="G10">
        <v>0.1555</v>
      </c>
      <c r="H10" s="125"/>
      <c r="I10">
        <f t="shared" si="1"/>
        <v>0.32850000000000001</v>
      </c>
      <c r="J10">
        <f t="shared" si="0"/>
        <v>6.0300000000000006E-2</v>
      </c>
      <c r="K10">
        <f t="shared" si="0"/>
        <v>6.8000000000000005E-3</v>
      </c>
      <c r="L10">
        <f t="shared" si="0"/>
        <v>2.4899999999999999E-2</v>
      </c>
      <c r="M10">
        <f t="shared" si="0"/>
        <v>9.2999999999999999E-2</v>
      </c>
      <c r="N10">
        <f t="shared" si="0"/>
        <v>0.1515</v>
      </c>
    </row>
    <row r="11" spans="1:14" x14ac:dyDescent="0.2">
      <c r="A11">
        <v>6</v>
      </c>
      <c r="B11">
        <v>0.49230000000000002</v>
      </c>
      <c r="C11">
        <v>5.6599999999999998E-2</v>
      </c>
      <c r="D11">
        <v>1.0800000000000001E-2</v>
      </c>
      <c r="E11">
        <v>3.7199999999999997E-2</v>
      </c>
      <c r="F11">
        <v>5.3199999999999997E-2</v>
      </c>
      <c r="G11">
        <v>0.1285</v>
      </c>
      <c r="H11" s="125"/>
      <c r="I11">
        <f t="shared" si="1"/>
        <v>0.27170000000000005</v>
      </c>
      <c r="J11">
        <f t="shared" si="0"/>
        <v>3.44E-2</v>
      </c>
      <c r="K11">
        <f t="shared" si="0"/>
        <v>1.1300000000000001E-2</v>
      </c>
      <c r="L11">
        <f t="shared" si="0"/>
        <v>3.6799999999999999E-2</v>
      </c>
      <c r="M11">
        <f t="shared" si="0"/>
        <v>5.4699999999999999E-2</v>
      </c>
      <c r="N11">
        <f t="shared" si="0"/>
        <v>0.1245</v>
      </c>
    </row>
    <row r="12" spans="1:14" x14ac:dyDescent="0.2">
      <c r="A12">
        <v>7</v>
      </c>
      <c r="B12">
        <v>0.61950000000000005</v>
      </c>
      <c r="C12">
        <v>9.5600000000000004E-2</v>
      </c>
      <c r="D12">
        <v>5.0000000000000001E-4</v>
      </c>
      <c r="E12">
        <v>2.9600000000000001E-2</v>
      </c>
      <c r="F12">
        <v>0.25090000000000001</v>
      </c>
      <c r="G12">
        <v>1.4800000000000001E-2</v>
      </c>
      <c r="H12" s="125"/>
      <c r="I12">
        <f t="shared" si="1"/>
        <v>0.39890000000000003</v>
      </c>
      <c r="J12">
        <f t="shared" si="0"/>
        <v>7.3400000000000007E-2</v>
      </c>
      <c r="K12">
        <f t="shared" si="0"/>
        <v>1E-3</v>
      </c>
      <c r="L12">
        <f t="shared" si="0"/>
        <v>2.92E-2</v>
      </c>
      <c r="M12">
        <f t="shared" si="0"/>
        <v>0.25240000000000001</v>
      </c>
      <c r="N12">
        <f t="shared" si="0"/>
        <v>1.0800000000000001E-2</v>
      </c>
    </row>
    <row r="13" spans="1:14" x14ac:dyDescent="0.2">
      <c r="A13">
        <v>8</v>
      </c>
      <c r="B13">
        <v>0.4602</v>
      </c>
      <c r="C13">
        <v>8.5800000000000001E-2</v>
      </c>
      <c r="D13">
        <v>5.0000000000000001E-4</v>
      </c>
      <c r="E13">
        <v>3.3700000000000001E-2</v>
      </c>
      <c r="F13">
        <v>0.15709999999999999</v>
      </c>
      <c r="G13">
        <v>1.18E-2</v>
      </c>
      <c r="H13" s="125"/>
      <c r="I13">
        <f t="shared" si="1"/>
        <v>0.23960000000000001</v>
      </c>
      <c r="J13">
        <f t="shared" si="0"/>
        <v>6.3600000000000004E-2</v>
      </c>
      <c r="K13">
        <f t="shared" si="0"/>
        <v>1E-3</v>
      </c>
      <c r="L13">
        <f t="shared" si="0"/>
        <v>3.3300000000000003E-2</v>
      </c>
      <c r="M13">
        <f t="shared" si="0"/>
        <v>0.15859999999999999</v>
      </c>
      <c r="N13">
        <f t="shared" si="0"/>
        <v>7.7999999999999996E-3</v>
      </c>
    </row>
    <row r="14" spans="1:14" x14ac:dyDescent="0.2">
      <c r="A14">
        <v>9</v>
      </c>
      <c r="B14">
        <v>1.0946</v>
      </c>
      <c r="C14">
        <v>0.17979999999999999</v>
      </c>
      <c r="D14">
        <v>2.9999999999999997E-4</v>
      </c>
      <c r="E14">
        <v>4.0899999999999999E-2</v>
      </c>
      <c r="F14">
        <v>0.18629999999999999</v>
      </c>
      <c r="G14">
        <v>1.7399999999999999E-2</v>
      </c>
      <c r="H14" s="125"/>
      <c r="I14">
        <f t="shared" si="1"/>
        <v>0.874</v>
      </c>
      <c r="J14">
        <f t="shared" si="0"/>
        <v>0.15759999999999999</v>
      </c>
      <c r="K14">
        <f t="shared" si="0"/>
        <v>7.9999999999999993E-4</v>
      </c>
      <c r="L14">
        <f t="shared" si="0"/>
        <v>4.0500000000000001E-2</v>
      </c>
      <c r="M14">
        <f t="shared" si="0"/>
        <v>0.18779999999999999</v>
      </c>
      <c r="N14">
        <f t="shared" si="0"/>
        <v>1.3399999999999999E-2</v>
      </c>
    </row>
    <row r="15" spans="1:14" x14ac:dyDescent="0.2">
      <c r="A15">
        <v>10</v>
      </c>
      <c r="B15">
        <v>0.96499999999999997</v>
      </c>
      <c r="C15">
        <v>0.15890000000000001</v>
      </c>
      <c r="D15">
        <v>2.9999999999999997E-4</v>
      </c>
      <c r="E15">
        <v>3.5200000000000002E-2</v>
      </c>
      <c r="F15">
        <v>0.10100000000000001</v>
      </c>
      <c r="G15">
        <v>1.41E-2</v>
      </c>
      <c r="H15" s="125"/>
      <c r="I15">
        <f t="shared" si="1"/>
        <v>0.74439999999999995</v>
      </c>
      <c r="J15">
        <f t="shared" si="0"/>
        <v>0.13670000000000002</v>
      </c>
      <c r="K15">
        <f t="shared" si="0"/>
        <v>7.9999999999999993E-4</v>
      </c>
      <c r="L15">
        <f t="shared" si="0"/>
        <v>3.4800000000000005E-2</v>
      </c>
      <c r="M15">
        <f t="shared" si="0"/>
        <v>0.10250000000000001</v>
      </c>
      <c r="N15">
        <f t="shared" si="0"/>
        <v>1.01E-2</v>
      </c>
    </row>
    <row r="16" spans="1:14" x14ac:dyDescent="0.2">
      <c r="H16" s="125"/>
    </row>
    <row r="17" spans="8:19" x14ac:dyDescent="0.2">
      <c r="H17" s="125"/>
    </row>
    <row r="18" spans="8:19" x14ac:dyDescent="0.2">
      <c r="H18" s="125"/>
    </row>
    <row r="19" spans="8:19" x14ac:dyDescent="0.2">
      <c r="H19" s="125"/>
    </row>
    <row r="20" spans="8:19" x14ac:dyDescent="0.2">
      <c r="H20" s="125"/>
    </row>
    <row r="24" spans="8:19" x14ac:dyDescent="0.2">
      <c r="O24" t="s">
        <v>211</v>
      </c>
    </row>
    <row r="25" spans="8:19" x14ac:dyDescent="0.2">
      <c r="O25" t="s">
        <v>212</v>
      </c>
      <c r="S25" t="s">
        <v>216</v>
      </c>
    </row>
    <row r="27" spans="8:19" x14ac:dyDescent="0.2">
      <c r="M27" t="s">
        <v>217</v>
      </c>
    </row>
    <row r="29" spans="8:19" x14ac:dyDescent="0.2">
      <c r="O29" t="s">
        <v>218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766"/>
  <sheetViews>
    <sheetView tabSelected="1" zoomScale="141" zoomScaleNormal="143" workbookViewId="0">
      <pane xSplit="1" topLeftCell="R1" activePane="topRight" state="frozen"/>
      <selection pane="topRight" activeCell="T20" sqref="T20"/>
    </sheetView>
  </sheetViews>
  <sheetFormatPr baseColWidth="10" defaultColWidth="8.83203125" defaultRowHeight="15" x14ac:dyDescent="0.2"/>
  <cols>
    <col min="1" max="1" width="15.5" customWidth="1"/>
    <col min="2" max="2" width="33.5" style="27" customWidth="1"/>
    <col min="8" max="8" width="8.83203125" style="272"/>
    <col min="9" max="9" width="8.83203125" style="125"/>
    <col min="10" max="11" width="8.83203125" style="272"/>
    <col min="12" max="13" width="8.83203125" style="279"/>
    <col min="14" max="16" width="8.83203125" style="272"/>
    <col min="17" max="18" width="8.83203125" style="293"/>
    <col min="20" max="20" width="8.83203125" style="279"/>
    <col min="21" max="30" width="8.83203125" style="272"/>
  </cols>
  <sheetData>
    <row r="1" spans="1:30" x14ac:dyDescent="0.2">
      <c r="A1" s="28"/>
      <c r="B1" s="28">
        <v>1</v>
      </c>
      <c r="C1" s="28">
        <v>2</v>
      </c>
      <c r="D1" s="28">
        <v>3</v>
      </c>
      <c r="E1" s="28">
        <v>4</v>
      </c>
      <c r="F1" s="28">
        <v>5</v>
      </c>
      <c r="G1" s="28">
        <v>6</v>
      </c>
      <c r="H1" s="269">
        <v>7</v>
      </c>
      <c r="I1" s="180">
        <v>8</v>
      </c>
      <c r="J1" s="269">
        <v>9</v>
      </c>
      <c r="K1" s="269">
        <v>10</v>
      </c>
      <c r="L1" s="275">
        <v>11</v>
      </c>
      <c r="M1" s="275">
        <v>12</v>
      </c>
      <c r="N1" s="269">
        <v>13</v>
      </c>
      <c r="O1" s="269">
        <v>14</v>
      </c>
      <c r="P1" s="269">
        <v>15</v>
      </c>
      <c r="Q1" s="289">
        <v>16</v>
      </c>
      <c r="R1" s="289">
        <v>17</v>
      </c>
      <c r="S1" s="28">
        <v>18</v>
      </c>
      <c r="T1" s="275">
        <v>19</v>
      </c>
      <c r="U1" s="269">
        <v>20</v>
      </c>
      <c r="V1" s="269">
        <v>21</v>
      </c>
      <c r="W1" s="269">
        <v>22</v>
      </c>
      <c r="X1" s="269">
        <v>23</v>
      </c>
      <c r="Y1" s="269">
        <v>24</v>
      </c>
      <c r="Z1" s="269">
        <v>25</v>
      </c>
      <c r="AA1" s="269">
        <v>26</v>
      </c>
      <c r="AB1" s="269">
        <v>27</v>
      </c>
      <c r="AC1" s="269">
        <v>28</v>
      </c>
      <c r="AD1" s="269">
        <v>29</v>
      </c>
    </row>
    <row r="2" spans="1:30" x14ac:dyDescent="0.2">
      <c r="A2" s="107" t="s">
        <v>4</v>
      </c>
      <c r="B2" s="108" t="s">
        <v>108</v>
      </c>
      <c r="C2" s="107" t="s">
        <v>101</v>
      </c>
      <c r="D2" s="107" t="s">
        <v>102</v>
      </c>
      <c r="E2" s="107" t="s">
        <v>103</v>
      </c>
      <c r="F2" s="265" t="s">
        <v>79</v>
      </c>
      <c r="G2" s="265" t="s">
        <v>80</v>
      </c>
      <c r="H2" s="271" t="s">
        <v>15</v>
      </c>
      <c r="I2" s="180" t="s">
        <v>16</v>
      </c>
      <c r="J2" s="271" t="s">
        <v>17</v>
      </c>
      <c r="K2" s="285" t="s">
        <v>20</v>
      </c>
      <c r="L2" s="287" t="s">
        <v>21</v>
      </c>
      <c r="M2" s="288" t="s">
        <v>22</v>
      </c>
      <c r="N2" s="270" t="s">
        <v>23</v>
      </c>
      <c r="O2" s="270" t="s">
        <v>24</v>
      </c>
      <c r="P2" s="270" t="s">
        <v>25</v>
      </c>
      <c r="Q2" s="290" t="s">
        <v>26</v>
      </c>
      <c r="R2" s="290" t="s">
        <v>27</v>
      </c>
      <c r="S2" s="30" t="s">
        <v>28</v>
      </c>
      <c r="T2" s="276" t="s">
        <v>30</v>
      </c>
      <c r="U2" s="282" t="s">
        <v>31</v>
      </c>
      <c r="V2" s="270" t="s">
        <v>35</v>
      </c>
      <c r="W2" s="270" t="s">
        <v>32</v>
      </c>
      <c r="X2" s="270" t="s">
        <v>33</v>
      </c>
      <c r="Y2" s="270" t="s">
        <v>34</v>
      </c>
      <c r="Z2" s="270" t="s">
        <v>64</v>
      </c>
      <c r="AA2" s="295" t="s">
        <v>121</v>
      </c>
      <c r="AB2" s="295" t="s">
        <v>123</v>
      </c>
      <c r="AC2" s="295" t="s">
        <v>122</v>
      </c>
      <c r="AD2" s="295" t="s">
        <v>146</v>
      </c>
    </row>
    <row r="3" spans="1:30" x14ac:dyDescent="0.2">
      <c r="A3" s="107" t="str">
        <f>Cadastro!A2</f>
        <v>*</v>
      </c>
      <c r="B3" s="107" t="str">
        <f>Cadastro!E2</f>
        <v>*</v>
      </c>
      <c r="C3" s="107" t="s">
        <v>107</v>
      </c>
      <c r="D3" s="107" t="s">
        <v>107</v>
      </c>
      <c r="E3" s="107" t="s">
        <v>107</v>
      </c>
      <c r="F3" s="265" t="s">
        <v>107</v>
      </c>
      <c r="G3" s="265" t="s">
        <v>107</v>
      </c>
      <c r="H3" s="271" t="s">
        <v>107</v>
      </c>
      <c r="I3" s="180" t="s">
        <v>107</v>
      </c>
      <c r="J3" s="271" t="s">
        <v>107</v>
      </c>
      <c r="K3" s="271" t="s">
        <v>107</v>
      </c>
      <c r="L3" s="277" t="s">
        <v>107</v>
      </c>
      <c r="M3" s="277" t="s">
        <v>107</v>
      </c>
      <c r="N3" s="271" t="s">
        <v>107</v>
      </c>
      <c r="O3" s="271" t="s">
        <v>107</v>
      </c>
      <c r="P3" s="271" t="s">
        <v>107</v>
      </c>
      <c r="Q3" s="291" t="s">
        <v>107</v>
      </c>
      <c r="R3" s="291" t="s">
        <v>107</v>
      </c>
      <c r="S3" s="107" t="s">
        <v>107</v>
      </c>
      <c r="T3" s="277" t="s">
        <v>107</v>
      </c>
      <c r="U3" s="271" t="s">
        <v>107</v>
      </c>
      <c r="V3" s="271" t="s">
        <v>107</v>
      </c>
      <c r="W3" s="271" t="s">
        <v>107</v>
      </c>
      <c r="X3" s="271" t="s">
        <v>107</v>
      </c>
      <c r="Y3" s="271" t="s">
        <v>107</v>
      </c>
      <c r="Z3" s="271" t="s">
        <v>107</v>
      </c>
      <c r="AA3" s="271" t="s">
        <v>107</v>
      </c>
      <c r="AB3" s="271" t="s">
        <v>107</v>
      </c>
      <c r="AC3" s="271" t="s">
        <v>107</v>
      </c>
      <c r="AD3" s="269"/>
    </row>
    <row r="4" spans="1:30" x14ac:dyDescent="0.2">
      <c r="A4" s="107" t="str">
        <f>Cadastro!A5</f>
        <v>P. Labas A</v>
      </c>
      <c r="B4" s="107" t="str">
        <f>Cadastro!E5</f>
        <v>Padrão A</v>
      </c>
      <c r="C4" s="235">
        <f>pH_água!C5</f>
        <v>4.8073333333333332</v>
      </c>
      <c r="D4" s="235" t="str">
        <f>pH_KCl!C5</f>
        <v>*</v>
      </c>
      <c r="E4" s="235" t="s">
        <v>107</v>
      </c>
      <c r="F4" s="266">
        <f>P_Mehlich1!H6</f>
        <v>0.57159491217614677</v>
      </c>
      <c r="G4" s="266" t="e">
        <f>P_resina!H6</f>
        <v>#VALUE!</v>
      </c>
      <c r="H4" s="268">
        <f>K!G6</f>
        <v>1.5108593012275822</v>
      </c>
      <c r="I4" s="283" t="s">
        <v>107</v>
      </c>
      <c r="J4" s="268">
        <f>'Ca2+'!G6</f>
        <v>0.11530886586002867</v>
      </c>
      <c r="K4" s="268">
        <f>Mg²!G6</f>
        <v>3.4236240674317679E-2</v>
      </c>
      <c r="L4" s="278">
        <f>Al³!C6</f>
        <v>0.39</v>
      </c>
      <c r="M4" s="278">
        <f>'H + Al'!C6</f>
        <v>1.2123555361976124</v>
      </c>
      <c r="N4" s="268">
        <f t="shared" ref="N4:N15" si="0">(H4/390)+J4+K4</f>
        <v>0.15341910474262221</v>
      </c>
      <c r="O4" s="268">
        <f t="shared" ref="O4:O15" si="1">N4+L4</f>
        <v>0.54341910474262223</v>
      </c>
      <c r="P4" s="268">
        <f t="shared" ref="P4:P15" si="2">N4+M4</f>
        <v>1.3657746409402347</v>
      </c>
      <c r="Q4" s="292">
        <f t="shared" ref="Q4:Q15" si="3">(N4/P4)*100</f>
        <v>11.233120029011852</v>
      </c>
      <c r="R4" s="292">
        <f t="shared" ref="R4:R15" si="4">(L4/O4)*100</f>
        <v>71.767811730637334</v>
      </c>
      <c r="S4" s="235">
        <f>Prem!H6</f>
        <v>39.792952020177871</v>
      </c>
      <c r="T4" s="278">
        <f>S!H6</f>
        <v>24.791177177587986</v>
      </c>
      <c r="U4" s="268">
        <f>B!H6</f>
        <v>7.9106240832936495E-3</v>
      </c>
      <c r="V4" s="268">
        <f>Zn!G6</f>
        <v>0.16682113067655227</v>
      </c>
      <c r="W4" s="268">
        <f>Cu!G6</f>
        <v>1.1088709677419344</v>
      </c>
      <c r="X4" s="268">
        <f>Mn!G6</f>
        <v>2.2993973993022614</v>
      </c>
      <c r="Y4" s="268">
        <f>Fe!G6</f>
        <v>42.942372881355936</v>
      </c>
      <c r="Z4" s="268">
        <f>M.O!H6</f>
        <v>0.59332131371614116</v>
      </c>
      <c r="AA4" s="268">
        <f t="shared" ref="AA4:AA15" si="5">J4/K4</f>
        <v>3.3680352628940255</v>
      </c>
      <c r="AB4" s="268">
        <f t="shared" ref="AB4:AB15" si="6">J4/(H4/390)</f>
        <v>29.764821680531348</v>
      </c>
      <c r="AC4" s="268">
        <f t="shared" ref="AC4:AC15" si="7">K4/(H4/390)</f>
        <v>8.8374436005624126</v>
      </c>
      <c r="AD4" s="296">
        <f t="shared" ref="AD4:AD15" si="8">Z4/1.72</f>
        <v>0.3449542521605472</v>
      </c>
    </row>
    <row r="5" spans="1:30" x14ac:dyDescent="0.2">
      <c r="A5" s="107" t="str">
        <f>Cadastro!A6</f>
        <v>P. Labas B</v>
      </c>
      <c r="B5" s="107" t="str">
        <f>Cadastro!E6</f>
        <v>Padrão B</v>
      </c>
      <c r="C5" s="235">
        <f>pH_água!C6</f>
        <v>6.7079069767441855</v>
      </c>
      <c r="D5" s="235" t="str">
        <f>pH_KCl!C6</f>
        <v>*</v>
      </c>
      <c r="E5" s="235" t="str">
        <f>'pH CaCl2'!C6</f>
        <v>*</v>
      </c>
      <c r="F5" s="266">
        <f>P_Mehlich1!H7</f>
        <v>3.7937907108310358</v>
      </c>
      <c r="G5" s="266" t="e">
        <f>P_resina!H7</f>
        <v>#VALUE!</v>
      </c>
      <c r="H5" s="268">
        <f>K!G7</f>
        <v>37.204910292728997</v>
      </c>
      <c r="I5" s="283" t="s">
        <v>107</v>
      </c>
      <c r="J5" s="268">
        <f>'Ca2+'!G7</f>
        <v>4.9653609860553045</v>
      </c>
      <c r="K5" s="268">
        <f>Mg²!G7</f>
        <v>1.1578518745453337</v>
      </c>
      <c r="L5" s="278">
        <f>Al³!C7</f>
        <v>0.5</v>
      </c>
      <c r="M5" s="278">
        <f>'H + Al'!C7</f>
        <v>1.4718718521606269</v>
      </c>
      <c r="N5" s="268">
        <f t="shared" si="0"/>
        <v>6.2186100664794308</v>
      </c>
      <c r="O5" s="268">
        <f t="shared" si="1"/>
        <v>6.7186100664794308</v>
      </c>
      <c r="P5" s="268">
        <f t="shared" si="2"/>
        <v>7.6904819186400575</v>
      </c>
      <c r="Q5" s="292">
        <f t="shared" si="3"/>
        <v>80.861123298487598</v>
      </c>
      <c r="R5" s="292">
        <f t="shared" si="4"/>
        <v>7.4420154623142363</v>
      </c>
      <c r="S5" s="235" t="e">
        <f>Prem!H7</f>
        <v>#VALUE!</v>
      </c>
      <c r="T5" s="278">
        <f>S!H7</f>
        <v>1.3318784197092111</v>
      </c>
      <c r="U5" s="268">
        <f>B!H7</f>
        <v>0.28852013771210888</v>
      </c>
      <c r="V5" s="268">
        <f>Zn!G7</f>
        <v>1.7732468334878011</v>
      </c>
      <c r="W5" s="268">
        <f>Cu!G7</f>
        <v>0.68548387096774088</v>
      </c>
      <c r="X5" s="268">
        <f>Mn!G7</f>
        <v>17.618141452584844</v>
      </c>
      <c r="Y5" s="268">
        <f>Fe!G7</f>
        <v>30.840677966101698</v>
      </c>
      <c r="Z5" s="268">
        <f>M.O!H7</f>
        <v>2.8732588157016412</v>
      </c>
      <c r="AA5" s="268">
        <f t="shared" si="5"/>
        <v>4.2884250526476944</v>
      </c>
      <c r="AB5" s="268">
        <f t="shared" si="6"/>
        <v>52.049333524129466</v>
      </c>
      <c r="AC5" s="268">
        <f t="shared" si="7"/>
        <v>12.13716758136975</v>
      </c>
      <c r="AD5" s="296">
        <f t="shared" si="8"/>
        <v>1.6704993114544426</v>
      </c>
    </row>
    <row r="6" spans="1:30" x14ac:dyDescent="0.2">
      <c r="A6" s="107" t="str">
        <f>Cadastro!A7</f>
        <v>2025/13</v>
      </c>
      <c r="B6" s="107" t="str">
        <f>Cadastro!E7</f>
        <v>Carlos Ace</v>
      </c>
      <c r="C6" s="235">
        <f>pH_água!C7</f>
        <v>5.8135193798449611</v>
      </c>
      <c r="D6" s="235" t="str">
        <f>pH_KCl!C7</f>
        <v>*</v>
      </c>
      <c r="E6" s="235" t="str">
        <f>'pH CaCl2'!C7</f>
        <v>*</v>
      </c>
      <c r="F6" s="266">
        <f>P_Mehlich1!H8</f>
        <v>137.11124126187624</v>
      </c>
      <c r="G6" s="266">
        <f>P_resina!H8</f>
        <v>219.04024612348874</v>
      </c>
      <c r="H6" s="268">
        <f>K!G8</f>
        <v>51.085930122757325</v>
      </c>
      <c r="I6" s="283"/>
      <c r="J6" s="268">
        <f>'Ca2+'!G8</f>
        <v>1.8581550581462398</v>
      </c>
      <c r="K6" s="268">
        <f>Mg²!G8</f>
        <v>0.45445274796389784</v>
      </c>
      <c r="L6" s="278">
        <f>Al³!C8</f>
        <v>0.48</v>
      </c>
      <c r="M6" s="278">
        <f>'H + Al'!C8</f>
        <v>1.4718718521606269</v>
      </c>
      <c r="N6" s="268">
        <f t="shared" si="0"/>
        <v>2.4435973705274643</v>
      </c>
      <c r="O6" s="268">
        <f t="shared" si="1"/>
        <v>2.9235973705274643</v>
      </c>
      <c r="P6" s="268">
        <f t="shared" si="2"/>
        <v>3.9154692226880909</v>
      </c>
      <c r="Q6" s="292">
        <f t="shared" si="3"/>
        <v>62.408800364668913</v>
      </c>
      <c r="R6" s="292">
        <f t="shared" si="4"/>
        <v>16.418129419558213</v>
      </c>
      <c r="S6" s="235" t="e">
        <f>Prem!H8</f>
        <v>#VALUE!</v>
      </c>
      <c r="T6" s="278">
        <f>S!H8</f>
        <v>12.935636955691532</v>
      </c>
      <c r="U6" s="268">
        <f>B!H8</f>
        <v>6.6230958772856327E-2</v>
      </c>
      <c r="V6" s="268">
        <f>Zn!G8</f>
        <v>9.5396972505406268</v>
      </c>
      <c r="W6" s="268">
        <f>Cu!G8</f>
        <v>1.6733870967741928</v>
      </c>
      <c r="X6" s="268">
        <f>Mn!G8</f>
        <v>37.266095781795116</v>
      </c>
      <c r="Y6" s="268">
        <f>Fe!G8</f>
        <v>26.284745762711868</v>
      </c>
      <c r="Z6" s="268">
        <f>M.O!H8</f>
        <v>0.98886923683946559</v>
      </c>
      <c r="AA6" s="268">
        <f t="shared" si="5"/>
        <v>4.0887750519089243</v>
      </c>
      <c r="AB6" s="268">
        <f t="shared" si="6"/>
        <v>14.185519788631762</v>
      </c>
      <c r="AC6" s="268">
        <f t="shared" si="7"/>
        <v>3.4693813204541479</v>
      </c>
      <c r="AD6" s="296">
        <f t="shared" si="8"/>
        <v>0.57492397490666602</v>
      </c>
    </row>
    <row r="7" spans="1:30" s="358" customFormat="1" x14ac:dyDescent="0.2">
      <c r="A7" s="351" t="str">
        <f>Cadastro!A8</f>
        <v>2025/14</v>
      </c>
      <c r="B7" s="351" t="str">
        <f>Cadastro!E8</f>
        <v>Carlos Amostra</v>
      </c>
      <c r="C7" s="352">
        <f>pH_água!C8</f>
        <v>6.1302816537467697</v>
      </c>
      <c r="D7" s="352" t="str">
        <f>pH_KCl!C8</f>
        <v>*</v>
      </c>
      <c r="E7" s="352" t="str">
        <f>'pH CaCl2'!C8</f>
        <v>*</v>
      </c>
      <c r="F7" s="353">
        <f>P_Mehlich1!H9</f>
        <v>127.99162846095018</v>
      </c>
      <c r="G7" s="354">
        <f>P_resina!H9</f>
        <v>287.92271685672625</v>
      </c>
      <c r="H7" s="354">
        <f>K!G9</f>
        <v>64.966949952785654</v>
      </c>
      <c r="I7" s="352" t="s">
        <v>107</v>
      </c>
      <c r="J7" s="354">
        <f>'Ca2+'!G9</f>
        <v>2.5512349433687511</v>
      </c>
      <c r="K7" s="359">
        <f>Mg²!G9</f>
        <v>0.31439539975078012</v>
      </c>
      <c r="L7" s="355">
        <f>Al³!C9</f>
        <v>0</v>
      </c>
      <c r="M7" s="355">
        <f>'H + Al'!C9</f>
        <v>0.49433345135938378</v>
      </c>
      <c r="N7" s="354">
        <f t="shared" si="0"/>
        <v>3.0322122660753918</v>
      </c>
      <c r="O7" s="354">
        <f t="shared" si="1"/>
        <v>3.0322122660753918</v>
      </c>
      <c r="P7" s="354">
        <f t="shared" si="2"/>
        <v>3.5265457174347756</v>
      </c>
      <c r="Q7" s="356">
        <f t="shared" si="3"/>
        <v>85.982502682002263</v>
      </c>
      <c r="R7" s="356">
        <f t="shared" si="4"/>
        <v>0</v>
      </c>
      <c r="S7" s="352">
        <f>Prem!H9</f>
        <v>51.979629194748597</v>
      </c>
      <c r="T7" s="355">
        <f>S!H9</f>
        <v>1.2480036823487908</v>
      </c>
      <c r="U7" s="354">
        <f>B!H9</f>
        <v>4.3906115370104776E-2</v>
      </c>
      <c r="V7" s="354">
        <f>Zn!G9</f>
        <v>6.1291319122644463</v>
      </c>
      <c r="W7" s="354">
        <f>Cu!G9</f>
        <v>1.3205645161290314</v>
      </c>
      <c r="X7" s="354">
        <f>Mn!G9</f>
        <v>18.339676498572793</v>
      </c>
      <c r="Y7" s="354">
        <f>Fe!G9</f>
        <v>16.461016949152551</v>
      </c>
      <c r="Z7" s="354">
        <f>M.O!H9</f>
        <v>0.70275259711905147</v>
      </c>
      <c r="AA7" s="359">
        <f t="shared" si="5"/>
        <v>8.1147336932763778</v>
      </c>
      <c r="AB7" s="354">
        <f t="shared" si="6"/>
        <v>15.315196859894298</v>
      </c>
      <c r="AC7" s="354">
        <f t="shared" si="7"/>
        <v>1.8873320356260128</v>
      </c>
      <c r="AD7" s="357">
        <f t="shared" si="8"/>
        <v>0.40857709134828574</v>
      </c>
    </row>
    <row r="8" spans="1:30" x14ac:dyDescent="0.2">
      <c r="A8" s="107" t="str">
        <f>Cadastro!A9</f>
        <v>2025/15</v>
      </c>
      <c r="B8" s="107" t="str">
        <f>Cadastro!E9</f>
        <v>Rubens alface 1</v>
      </c>
      <c r="C8" s="235">
        <f>pH_água!C9</f>
        <v>6.1209651162790699</v>
      </c>
      <c r="D8" s="235" t="str">
        <f>pH_KCl!C9</f>
        <v>*</v>
      </c>
      <c r="E8" s="235" t="str">
        <f>'pH CaCl2'!C9</f>
        <v>*</v>
      </c>
      <c r="F8" s="266">
        <f>P_Mehlich1!H10</f>
        <v>179.10732551546971</v>
      </c>
      <c r="G8" s="266" t="e">
        <f>P_resina!H10</f>
        <v>#VALUE!</v>
      </c>
      <c r="H8" s="268">
        <f>K!G10</f>
        <v>33.238904627006612</v>
      </c>
      <c r="I8" s="283" t="s">
        <v>107</v>
      </c>
      <c r="J8" s="268">
        <f>'Ca2+'!G10</f>
        <v>2.5892623353013136</v>
      </c>
      <c r="K8" s="268">
        <f>Mg²!G10</f>
        <v>0.23191718358083299</v>
      </c>
      <c r="L8" s="278">
        <f>Al³!C10</f>
        <v>0</v>
      </c>
      <c r="M8" s="278">
        <f>'H + Al'!C10</f>
        <v>0.84271359462401396</v>
      </c>
      <c r="N8" s="268">
        <f t="shared" si="0"/>
        <v>2.9064074794642147</v>
      </c>
      <c r="O8" s="268">
        <f t="shared" si="1"/>
        <v>2.9064074794642147</v>
      </c>
      <c r="P8" s="268">
        <f t="shared" si="2"/>
        <v>3.7491210740882286</v>
      </c>
      <c r="Q8" s="292">
        <f t="shared" si="3"/>
        <v>77.522369164112462</v>
      </c>
      <c r="R8" s="292">
        <f t="shared" si="4"/>
        <v>0</v>
      </c>
      <c r="S8" s="235">
        <f>Prem!H10</f>
        <v>39.792952020177871</v>
      </c>
      <c r="T8" s="278">
        <f>S!H10</f>
        <v>0.74653652276593485</v>
      </c>
      <c r="U8" s="268">
        <f>B!H10</f>
        <v>3.5850193709973437E-2</v>
      </c>
      <c r="V8" s="268">
        <f>Zn!G10</f>
        <v>10.169910410874268</v>
      </c>
      <c r="W8" s="268">
        <f>Cu!G10</f>
        <v>4.4959677419354822</v>
      </c>
      <c r="X8" s="268">
        <f>Mn!G10</f>
        <v>17.729146844275302</v>
      </c>
      <c r="Y8" s="268">
        <f>Fe!G10</f>
        <v>25.572881355932207</v>
      </c>
      <c r="Z8" s="268">
        <f>M.O!H10</f>
        <v>0.61888959459622739</v>
      </c>
      <c r="AA8" s="268">
        <f t="shared" si="5"/>
        <v>11.164598911226626</v>
      </c>
      <c r="AB8" s="268">
        <f t="shared" si="6"/>
        <v>30.380432872238508</v>
      </c>
      <c r="AC8" s="268">
        <f t="shared" si="7"/>
        <v>2.7211396588272678</v>
      </c>
      <c r="AD8" s="296">
        <f t="shared" si="8"/>
        <v>0.35981953174199266</v>
      </c>
    </row>
    <row r="9" spans="1:30" x14ac:dyDescent="0.2">
      <c r="A9" s="107" t="str">
        <f>Cadastro!A10</f>
        <v>2025/16</v>
      </c>
      <c r="B9" s="107" t="str">
        <f>Cadastro!E10</f>
        <v>Rubens Alface 2</v>
      </c>
      <c r="C9" s="235">
        <f>pH_água!C10</f>
        <v>6.2420801033591724</v>
      </c>
      <c r="D9" s="235" t="str">
        <f>pH_KCl!C10</f>
        <v>*</v>
      </c>
      <c r="E9" s="235" t="str">
        <f>'pH CaCl2'!C10</f>
        <v>*</v>
      </c>
      <c r="F9" s="266">
        <f>P_Mehlich1!H11</f>
        <v>172.84153000769544</v>
      </c>
      <c r="G9" s="266" t="e">
        <f>P_resina!H11</f>
        <v>#VALUE!</v>
      </c>
      <c r="H9" s="268">
        <f>K!G11</f>
        <v>120.49102927289898</v>
      </c>
      <c r="I9" s="283" t="s">
        <v>107</v>
      </c>
      <c r="J9" s="268">
        <f>'Ca2+'!G11</f>
        <v>2.8750811198267034</v>
      </c>
      <c r="K9" s="268">
        <f>Mg²!G11</f>
        <v>0.36263737524640954</v>
      </c>
      <c r="L9" s="278">
        <f>Al³!C11</f>
        <v>0</v>
      </c>
      <c r="M9" s="278">
        <f>'H + Al'!C11</f>
        <v>0.82252669154678215</v>
      </c>
      <c r="N9" s="268">
        <f t="shared" si="0"/>
        <v>3.5466698521831104</v>
      </c>
      <c r="O9" s="268">
        <f t="shared" si="1"/>
        <v>3.5466698521831104</v>
      </c>
      <c r="P9" s="268">
        <f t="shared" si="2"/>
        <v>4.3691965437298927</v>
      </c>
      <c r="Q9" s="292">
        <f t="shared" si="3"/>
        <v>81.174417691802702</v>
      </c>
      <c r="R9" s="292">
        <f t="shared" si="4"/>
        <v>0</v>
      </c>
      <c r="S9" s="235">
        <f>Prem!H11</f>
        <v>29.283467857244695</v>
      </c>
      <c r="T9" s="278">
        <f>S!H11</f>
        <v>0.24809634636673217</v>
      </c>
      <c r="U9" s="268">
        <f>B!H11</f>
        <v>9.087683239978761E-2</v>
      </c>
      <c r="V9" s="268">
        <f>Zn!G11</f>
        <v>15.675007723200491</v>
      </c>
      <c r="W9" s="268">
        <f>Cu!G11</f>
        <v>5.2721774193548381</v>
      </c>
      <c r="X9" s="268">
        <f>Mn!G11</f>
        <v>25.999048525214086</v>
      </c>
      <c r="Y9" s="268">
        <f>Fe!G11</f>
        <v>26.711864406779668</v>
      </c>
      <c r="Z9" s="268">
        <f>M.O!H11</f>
        <v>0.7878130250293105</v>
      </c>
      <c r="AA9" s="268">
        <f t="shared" si="5"/>
        <v>7.9282537214293098</v>
      </c>
      <c r="AB9" s="268">
        <f t="shared" si="6"/>
        <v>9.3059345869876697</v>
      </c>
      <c r="AC9" s="268">
        <f t="shared" si="7"/>
        <v>1.1737685137188054</v>
      </c>
      <c r="AD9" s="296">
        <f t="shared" si="8"/>
        <v>0.4580308285054131</v>
      </c>
    </row>
    <row r="10" spans="1:30" x14ac:dyDescent="0.2">
      <c r="A10" s="107" t="str">
        <f>Cadastro!A11</f>
        <v>2025/17</v>
      </c>
      <c r="B10" s="107" t="str">
        <f>Cadastro!E11</f>
        <v>Rubens Brócolis Y28</v>
      </c>
      <c r="C10" s="235">
        <f>pH_água!C11</f>
        <v>6.9780865633074933</v>
      </c>
      <c r="D10" s="235" t="str">
        <f>pH_KCl!C11</f>
        <v>*</v>
      </c>
      <c r="E10" s="235" t="str">
        <f>'pH CaCl2'!C11</f>
        <v>*</v>
      </c>
      <c r="F10" s="266">
        <f>P_Mehlich1!H12</f>
        <v>218.00670148230878</v>
      </c>
      <c r="G10" s="266" t="e">
        <f>P_resina!H12</f>
        <v>#VALUE!</v>
      </c>
      <c r="H10" s="268">
        <f>K!G12</f>
        <v>152.21907459867799</v>
      </c>
      <c r="I10" s="283" t="s">
        <v>107</v>
      </c>
      <c r="J10" s="268">
        <f>'Ca2+'!G12</f>
        <v>3.7644314150237315</v>
      </c>
      <c r="K10" s="268">
        <f>Mg²!G12</f>
        <v>0.54159954240761565</v>
      </c>
      <c r="L10" s="278">
        <f>Al³!C12</f>
        <v>0</v>
      </c>
      <c r="M10" s="278">
        <f>'H + Al'!C12</f>
        <v>0.50646565518082898</v>
      </c>
      <c r="N10" s="268">
        <f t="shared" si="0"/>
        <v>4.6963362769151367</v>
      </c>
      <c r="O10" s="268">
        <f t="shared" si="1"/>
        <v>4.6963362769151367</v>
      </c>
      <c r="P10" s="268">
        <f t="shared" si="2"/>
        <v>5.2028019320959658</v>
      </c>
      <c r="Q10" s="292">
        <f t="shared" si="3"/>
        <v>90.265521121293233</v>
      </c>
      <c r="R10" s="292">
        <f t="shared" si="4"/>
        <v>0</v>
      </c>
      <c r="S10" s="235">
        <f>Prem!H12</f>
        <v>21.890206333378799</v>
      </c>
      <c r="T10" s="278">
        <f>S!H12</f>
        <v>3.1353936068491177</v>
      </c>
      <c r="U10" s="268">
        <f>B!H12</f>
        <v>0.11374246858668359</v>
      </c>
      <c r="V10" s="268">
        <f>Zn!G12</f>
        <v>27.797343219029962</v>
      </c>
      <c r="W10" s="268">
        <f>Cu!G12</f>
        <v>4.9899193548387091</v>
      </c>
      <c r="X10" s="268">
        <f>Mn!G12</f>
        <v>51.474785918173147</v>
      </c>
      <c r="Y10" s="268">
        <f>Fe!G12</f>
        <v>33.403389830508473</v>
      </c>
      <c r="Z10" s="268">
        <f>M.O!H12</f>
        <v>0.76807562331830792</v>
      </c>
      <c r="AA10" s="268">
        <f t="shared" si="5"/>
        <v>6.9505808632876684</v>
      </c>
      <c r="AB10" s="268">
        <f t="shared" si="6"/>
        <v>9.644837585105158</v>
      </c>
      <c r="AC10" s="268">
        <f t="shared" si="7"/>
        <v>1.3876304405072541</v>
      </c>
      <c r="AD10" s="296">
        <f t="shared" si="8"/>
        <v>0.44655559495250463</v>
      </c>
    </row>
    <row r="11" spans="1:30" x14ac:dyDescent="0.2">
      <c r="A11" s="107" t="str">
        <f>Cadastro!A12</f>
        <v>2025/18</v>
      </c>
      <c r="B11" s="107" t="str">
        <f>Cadastro!E12</f>
        <v>Rubens Couve 1 329</v>
      </c>
      <c r="C11" s="235">
        <f>pH_água!C12</f>
        <v>6.1302816537467697</v>
      </c>
      <c r="D11" s="235" t="str">
        <f>pH_KCl!C12</f>
        <v>*</v>
      </c>
      <c r="E11" s="235" t="str">
        <f>'pH CaCl2'!C12</f>
        <v>*</v>
      </c>
      <c r="F11" s="266">
        <f>P_Mehlich1!H13</f>
        <v>201.83357529279954</v>
      </c>
      <c r="G11" s="266" t="e">
        <f>P_resina!H13</f>
        <v>#VALUE!</v>
      </c>
      <c r="H11" s="268">
        <f>K!G13</f>
        <v>43.15391879131257</v>
      </c>
      <c r="I11" s="283" t="s">
        <v>107</v>
      </c>
      <c r="J11" s="268">
        <f>'Ca2+'!G13</f>
        <v>3.0676714596141981</v>
      </c>
      <c r="K11" s="268">
        <f>Mg²!G13</f>
        <v>0.13854561810542107</v>
      </c>
      <c r="L11" s="278">
        <f>Al³!C13</f>
        <v>0</v>
      </c>
      <c r="M11" s="278">
        <f>'H + Al'!C13</f>
        <v>0.84271359462401396</v>
      </c>
      <c r="N11" s="268">
        <f t="shared" si="0"/>
        <v>3.3168681515434977</v>
      </c>
      <c r="O11" s="268">
        <f t="shared" si="1"/>
        <v>3.3168681515434977</v>
      </c>
      <c r="P11" s="268">
        <f t="shared" si="2"/>
        <v>4.159581746167512</v>
      </c>
      <c r="Q11" s="292">
        <f t="shared" si="3"/>
        <v>79.740424733797809</v>
      </c>
      <c r="R11" s="292">
        <f t="shared" si="4"/>
        <v>0</v>
      </c>
      <c r="S11" s="235">
        <f>Prem!H13</f>
        <v>0</v>
      </c>
      <c r="T11" s="278">
        <f>S!H13</f>
        <v>27.841156646258597</v>
      </c>
      <c r="U11" s="268">
        <f>B!H13</f>
        <v>6.4190960589569468E-2</v>
      </c>
      <c r="V11" s="268">
        <f>Zn!G13</f>
        <v>22.792709298733389</v>
      </c>
      <c r="W11" s="268">
        <f>Cu!G13</f>
        <v>8.1653225806451601</v>
      </c>
      <c r="X11" s="268">
        <f>Mn!G13</f>
        <v>30.21725340945131</v>
      </c>
      <c r="Y11" s="268">
        <f>Fe!G13</f>
        <v>50.345762711864403</v>
      </c>
      <c r="Z11" s="268">
        <f>M.O!H13</f>
        <v>0.56786229932696286</v>
      </c>
      <c r="AA11" s="268">
        <f t="shared" si="5"/>
        <v>22.141959461178836</v>
      </c>
      <c r="AB11" s="268">
        <f t="shared" si="6"/>
        <v>27.723829092675267</v>
      </c>
      <c r="AC11" s="268">
        <f t="shared" si="7"/>
        <v>1.2520946550048127</v>
      </c>
      <c r="AD11" s="296">
        <f t="shared" si="8"/>
        <v>0.33015249960869936</v>
      </c>
    </row>
    <row r="12" spans="1:30" x14ac:dyDescent="0.2">
      <c r="A12" s="107" t="str">
        <f>Cadastro!A13</f>
        <v>2025/19</v>
      </c>
      <c r="B12" s="107" t="str">
        <f>Cadastro!E13</f>
        <v>Área 1 0-20</v>
      </c>
      <c r="C12" s="235">
        <f>pH_água!C13</f>
        <v>6.7731227390180866</v>
      </c>
      <c r="D12" s="235" t="str">
        <f>pH_KCl!C13</f>
        <v>*</v>
      </c>
      <c r="E12" s="235" t="str">
        <f>'pH CaCl2'!C13</f>
        <v>*</v>
      </c>
      <c r="F12" s="266">
        <f>P_Mehlich1!H14</f>
        <v>4.422754173340909</v>
      </c>
      <c r="G12" s="266" t="e">
        <f>P_resina!H14</f>
        <v>#VALUE!</v>
      </c>
      <c r="H12" s="268">
        <f>K!G14</f>
        <v>102.64400377714826</v>
      </c>
      <c r="I12" s="283" t="s">
        <v>107</v>
      </c>
      <c r="J12" s="268">
        <f>'Ca2+'!G14</f>
        <v>4.6280212189116048</v>
      </c>
      <c r="K12" s="268">
        <f>Mg²!G14</f>
        <v>0.74546079369559826</v>
      </c>
      <c r="L12" s="278">
        <f>Al³!C14</f>
        <v>0</v>
      </c>
      <c r="M12" s="278">
        <f>'H + Al'!C14</f>
        <v>0.58577387685420057</v>
      </c>
      <c r="N12" s="268">
        <f t="shared" si="0"/>
        <v>5.6366717658819425</v>
      </c>
      <c r="O12" s="268">
        <f t="shared" si="1"/>
        <v>5.6366717658819425</v>
      </c>
      <c r="P12" s="268">
        <f t="shared" si="2"/>
        <v>6.222445642736143</v>
      </c>
      <c r="Q12" s="292">
        <f t="shared" si="3"/>
        <v>90.586115002257799</v>
      </c>
      <c r="R12" s="292">
        <f t="shared" si="4"/>
        <v>0</v>
      </c>
      <c r="S12" s="235">
        <f>Prem!H14</f>
        <v>0</v>
      </c>
      <c r="T12" s="278">
        <f>S!H14</f>
        <v>0.41390899612210907</v>
      </c>
      <c r="U12" s="268">
        <f>B!H14</f>
        <v>6.4190960589569468E-2</v>
      </c>
      <c r="V12" s="268">
        <f>Zn!G14</f>
        <v>1.7176397899289499</v>
      </c>
      <c r="W12" s="268">
        <f>Cu!G14</f>
        <v>0.89717741935483764</v>
      </c>
      <c r="X12" s="268">
        <f>Mn!G14</f>
        <v>139.94608309546462</v>
      </c>
      <c r="Y12" s="268">
        <f>Fe!G14</f>
        <v>39.525423728813564</v>
      </c>
      <c r="Z12" s="268">
        <f>M.O!H14</f>
        <v>0.96166644847595928</v>
      </c>
      <c r="AA12" s="268">
        <f t="shared" si="5"/>
        <v>6.2082691109324966</v>
      </c>
      <c r="AB12" s="268">
        <f t="shared" si="6"/>
        <v>17.584351827255581</v>
      </c>
      <c r="AC12" s="268">
        <f t="shared" si="7"/>
        <v>2.832408117794103</v>
      </c>
      <c r="AD12" s="296">
        <f t="shared" si="8"/>
        <v>0.55910840027672049</v>
      </c>
    </row>
    <row r="13" spans="1:30" x14ac:dyDescent="0.2">
      <c r="A13" s="107" t="str">
        <f>Cadastro!A14</f>
        <v>2025/20</v>
      </c>
      <c r="B13" s="107" t="str">
        <f>Cadastro!E14</f>
        <v>Área 1 20-40</v>
      </c>
      <c r="C13" s="235">
        <f>pH_água!C14</f>
        <v>6.1023320413436686</v>
      </c>
      <c r="D13" s="235" t="str">
        <f>pH_KCl!C14</f>
        <v>*</v>
      </c>
      <c r="E13" s="235" t="str">
        <f>'pH CaCl2'!C14</f>
        <v>*</v>
      </c>
      <c r="F13" s="266">
        <f>P_Mehlich1!H15</f>
        <v>1.8869987499841465</v>
      </c>
      <c r="G13" s="266" t="e">
        <f>P_resina!H15</f>
        <v>#VALUE!</v>
      </c>
      <c r="H13" s="268">
        <f>K!G15</f>
        <v>92.728989612842327</v>
      </c>
      <c r="I13" s="283" t="s">
        <v>107</v>
      </c>
      <c r="J13" s="268">
        <f>'Ca2+'!G15</f>
        <v>2.6739039496028241</v>
      </c>
      <c r="K13" s="268">
        <f>Mg²!G15</f>
        <v>0.59295390341909215</v>
      </c>
      <c r="L13" s="278">
        <f>Al³!C15</f>
        <v>0</v>
      </c>
      <c r="M13" s="278">
        <f>'H + Al'!C15</f>
        <v>0.88458587437330238</v>
      </c>
      <c r="N13" s="268">
        <f t="shared" si="0"/>
        <v>3.5046244930548451</v>
      </c>
      <c r="O13" s="268">
        <f t="shared" si="1"/>
        <v>3.5046244930548451</v>
      </c>
      <c r="P13" s="268">
        <f t="shared" si="2"/>
        <v>4.3892103674281477</v>
      </c>
      <c r="Q13" s="292">
        <f t="shared" si="3"/>
        <v>79.846355031471759</v>
      </c>
      <c r="R13" s="292">
        <f t="shared" si="4"/>
        <v>0</v>
      </c>
      <c r="S13" s="235">
        <f>Prem!H15</f>
        <v>0</v>
      </c>
      <c r="T13" s="278">
        <f>S!H15</f>
        <v>0.24809634636673217</v>
      </c>
      <c r="U13" s="268">
        <f>B!H15</f>
        <v>6.6230958772856327E-2</v>
      </c>
      <c r="V13" s="268">
        <f>Zn!G15</f>
        <v>1.1615693543404424</v>
      </c>
      <c r="W13" s="268">
        <f>Cu!G15</f>
        <v>0.89717741935483764</v>
      </c>
      <c r="X13" s="268">
        <f>Mn!G15</f>
        <v>87.884554392641903</v>
      </c>
      <c r="Y13" s="268">
        <f>Fe!G15</f>
        <v>45.362711864406776</v>
      </c>
      <c r="Z13" s="268">
        <f>M.O!H15</f>
        <v>0.41116204218745567</v>
      </c>
      <c r="AA13" s="268">
        <f t="shared" si="5"/>
        <v>4.5094634408923744</v>
      </c>
      <c r="AB13" s="268">
        <f t="shared" si="6"/>
        <v>11.245917212071916</v>
      </c>
      <c r="AC13" s="268">
        <f t="shared" si="7"/>
        <v>2.4938481838199511</v>
      </c>
      <c r="AD13" s="296">
        <f t="shared" si="8"/>
        <v>0.23904769894619515</v>
      </c>
    </row>
    <row r="14" spans="1:30" x14ac:dyDescent="0.2">
      <c r="A14" s="107" t="str">
        <f>Cadastro!A15</f>
        <v>2025/21</v>
      </c>
      <c r="B14" s="107" t="str">
        <f>Cadastro!E15</f>
        <v>Área Nova 0-20</v>
      </c>
      <c r="C14" s="235">
        <f>pH_água!C15</f>
        <v>6.689273901808785</v>
      </c>
      <c r="D14" s="235" t="str">
        <f>pH_KCl!C15</f>
        <v>*</v>
      </c>
      <c r="E14" s="235" t="str">
        <f>'pH CaCl2'!C15</f>
        <v>*</v>
      </c>
      <c r="F14" s="266">
        <f>P_Mehlich1!H16</f>
        <v>7.655093993578661</v>
      </c>
      <c r="G14" s="266">
        <f>P_resina!H16</f>
        <v>0</v>
      </c>
      <c r="H14" s="268">
        <f>K!G16</f>
        <v>66.949952785646843</v>
      </c>
      <c r="I14" s="283" t="s">
        <v>107</v>
      </c>
      <c r="J14" s="268">
        <f>'Ca2+'!G16</f>
        <v>10.456025705092403</v>
      </c>
      <c r="K14" s="268">
        <f>Mg²!G16</f>
        <v>2.0557750958672107</v>
      </c>
      <c r="L14" s="278">
        <f>Al³!C16</f>
        <v>0</v>
      </c>
      <c r="M14" s="278">
        <f>'H + Al'!C16</f>
        <v>1.183313992474462</v>
      </c>
      <c r="N14" s="268">
        <f t="shared" si="0"/>
        <v>12.683467346563837</v>
      </c>
      <c r="O14" s="268">
        <f t="shared" si="1"/>
        <v>12.683467346563837</v>
      </c>
      <c r="P14" s="268">
        <f t="shared" si="2"/>
        <v>13.866781339038299</v>
      </c>
      <c r="Q14" s="292">
        <f t="shared" si="3"/>
        <v>91.466556199720614</v>
      </c>
      <c r="R14" s="292">
        <f t="shared" si="4"/>
        <v>0</v>
      </c>
      <c r="S14" s="235">
        <f>Prem!H16</f>
        <v>0</v>
      </c>
      <c r="T14" s="278">
        <f>S!H16</f>
        <v>9.2957372621755141</v>
      </c>
      <c r="U14" s="268">
        <f>B!H16</f>
        <v>9.5014565711096871E-2</v>
      </c>
      <c r="V14" s="268">
        <f>Zn!G16</f>
        <v>2.1995675007723232</v>
      </c>
      <c r="W14" s="268">
        <f>Cu!G16</f>
        <v>0.75604838709677324</v>
      </c>
      <c r="X14" s="268">
        <f>Mn!G16</f>
        <v>104.0913415794481</v>
      </c>
      <c r="Y14" s="268">
        <f>Fe!G16</f>
        <v>55.613559322033886</v>
      </c>
      <c r="Z14" s="268">
        <f>M.O!H16</f>
        <v>2.8639138721376916</v>
      </c>
      <c r="AA14" s="268">
        <f t="shared" si="5"/>
        <v>5.0861719874476927</v>
      </c>
      <c r="AB14" s="268">
        <f t="shared" si="6"/>
        <v>60.908930556561536</v>
      </c>
      <c r="AC14" s="268">
        <f t="shared" si="7"/>
        <v>11.975397353231546</v>
      </c>
      <c r="AD14" s="296">
        <f t="shared" si="8"/>
        <v>1.6650662047312161</v>
      </c>
    </row>
    <row r="15" spans="1:30" x14ac:dyDescent="0.2">
      <c r="A15" s="107" t="str">
        <f>Cadastro!A16</f>
        <v>2025/22</v>
      </c>
      <c r="B15" s="107" t="str">
        <f>Cadastro!E16</f>
        <v>Área Nova 20-40</v>
      </c>
      <c r="C15" s="235">
        <f>pH_água!C16</f>
        <v>6.7265400516795859</v>
      </c>
      <c r="D15" s="235" t="str">
        <f>pH_KCl!C16</f>
        <v>*</v>
      </c>
      <c r="E15" s="235" t="str">
        <f>'pH CaCl2'!C16</f>
        <v>*</v>
      </c>
      <c r="F15" s="266">
        <f>P_Mehlich1!H17</f>
        <v>7.2031756088951902</v>
      </c>
      <c r="G15" s="266">
        <f>P_resina!H17</f>
        <v>0</v>
      </c>
      <c r="H15" s="268">
        <f>K!G17</f>
        <v>57.034938621340892</v>
      </c>
      <c r="I15" s="283" t="s">
        <v>107</v>
      </c>
      <c r="J15" s="268">
        <f>'Ca2+'!G17</f>
        <v>8.8662353842988182</v>
      </c>
      <c r="K15" s="268">
        <f>Mg²!G17</f>
        <v>1.7305308094611933</v>
      </c>
      <c r="L15" s="278">
        <f>Al³!C17</f>
        <v>0</v>
      </c>
      <c r="M15" s="278">
        <f>'H + Al'!C17</f>
        <v>1.2725943771171231</v>
      </c>
      <c r="N15" s="268">
        <f t="shared" si="0"/>
        <v>10.743009626122424</v>
      </c>
      <c r="O15" s="268">
        <f t="shared" si="1"/>
        <v>10.743009626122424</v>
      </c>
      <c r="P15" s="268">
        <f t="shared" si="2"/>
        <v>12.015604003239547</v>
      </c>
      <c r="Q15" s="292">
        <f t="shared" si="3"/>
        <v>89.408818926006404</v>
      </c>
      <c r="R15" s="292">
        <f t="shared" si="4"/>
        <v>0</v>
      </c>
      <c r="S15" s="235">
        <f>Prem!H17</f>
        <v>0</v>
      </c>
      <c r="T15" s="278">
        <f>S!H17</f>
        <v>6.5727327338865047</v>
      </c>
      <c r="U15" s="268">
        <f>B!H17</f>
        <v>0.12002480195439397</v>
      </c>
      <c r="V15" s="268">
        <f>Zn!G17</f>
        <v>1.5878900216249652</v>
      </c>
      <c r="W15" s="268">
        <f>Cu!G17</f>
        <v>0.75604838709677324</v>
      </c>
      <c r="X15" s="268">
        <f>Mn!G17</f>
        <v>56.747542023469698</v>
      </c>
      <c r="Y15" s="268">
        <f>Fe!G17</f>
        <v>47.498305084745773</v>
      </c>
      <c r="Z15" s="268">
        <f>M.O!H17</f>
        <v>2.0777588571599837</v>
      </c>
      <c r="AA15" s="268">
        <f t="shared" si="5"/>
        <v>5.1234195518653323</v>
      </c>
      <c r="AB15" s="268">
        <f t="shared" si="6"/>
        <v>60.626554239557194</v>
      </c>
      <c r="AC15" s="268">
        <f t="shared" si="7"/>
        <v>11.833220688999459</v>
      </c>
      <c r="AD15" s="296">
        <f t="shared" si="8"/>
        <v>1.20799933555813</v>
      </c>
    </row>
    <row r="16" spans="1:30" x14ac:dyDescent="0.2">
      <c r="B16"/>
      <c r="G16" s="264"/>
    </row>
    <row r="17" spans="2:20" x14ac:dyDescent="0.2">
      <c r="B17"/>
      <c r="F17" s="267" t="s">
        <v>220</v>
      </c>
      <c r="G17" s="264"/>
    </row>
    <row r="18" spans="2:20" x14ac:dyDescent="0.2">
      <c r="B18"/>
      <c r="F18" t="s">
        <v>244</v>
      </c>
      <c r="G18" s="264"/>
    </row>
    <row r="19" spans="2:20" x14ac:dyDescent="0.2">
      <c r="B19"/>
      <c r="G19" s="264" t="s">
        <v>224</v>
      </c>
      <c r="L19" s="279" t="s">
        <v>228</v>
      </c>
      <c r="T19" s="279" t="s">
        <v>225</v>
      </c>
    </row>
    <row r="20" spans="2:20" x14ac:dyDescent="0.2">
      <c r="B20"/>
      <c r="F20" t="s">
        <v>245</v>
      </c>
      <c r="L20" s="279" t="s">
        <v>229</v>
      </c>
      <c r="O20" s="272" t="s">
        <v>236</v>
      </c>
      <c r="T20" s="279" t="s">
        <v>247</v>
      </c>
    </row>
    <row r="21" spans="2:20" x14ac:dyDescent="0.2">
      <c r="B21"/>
      <c r="F21" t="s">
        <v>246</v>
      </c>
      <c r="L21" s="279" t="s">
        <v>230</v>
      </c>
    </row>
    <row r="22" spans="2:20" x14ac:dyDescent="0.2">
      <c r="B22"/>
      <c r="I22" s="125" t="s">
        <v>226</v>
      </c>
      <c r="L22" s="279" t="s">
        <v>231</v>
      </c>
      <c r="Q22" s="293" t="s">
        <v>237</v>
      </c>
    </row>
    <row r="23" spans="2:20" x14ac:dyDescent="0.2">
      <c r="B23"/>
      <c r="I23" s="125" t="s">
        <v>227</v>
      </c>
      <c r="Q23" s="293" t="s">
        <v>238</v>
      </c>
    </row>
    <row r="24" spans="2:20" x14ac:dyDescent="0.2">
      <c r="B24"/>
      <c r="Q24" s="293" t="s">
        <v>239</v>
      </c>
    </row>
    <row r="25" spans="2:20" x14ac:dyDescent="0.2">
      <c r="B25"/>
      <c r="K25" s="272" t="s">
        <v>232</v>
      </c>
      <c r="Q25" s="293" t="s">
        <v>240</v>
      </c>
    </row>
    <row r="26" spans="2:20" x14ac:dyDescent="0.2">
      <c r="B26"/>
      <c r="K26" s="272" t="s">
        <v>233</v>
      </c>
      <c r="Q26" s="293" t="s">
        <v>241</v>
      </c>
    </row>
    <row r="27" spans="2:20" x14ac:dyDescent="0.2">
      <c r="B27"/>
      <c r="K27" s="272" t="s">
        <v>234</v>
      </c>
      <c r="Q27" s="293" t="s">
        <v>242</v>
      </c>
    </row>
    <row r="28" spans="2:20" x14ac:dyDescent="0.2">
      <c r="B28"/>
      <c r="K28" s="272" t="s">
        <v>235</v>
      </c>
      <c r="Q28" s="293" t="s">
        <v>243</v>
      </c>
    </row>
    <row r="29" spans="2:20" x14ac:dyDescent="0.2">
      <c r="B29"/>
    </row>
    <row r="30" spans="2:20" x14ac:dyDescent="0.2">
      <c r="B30"/>
    </row>
    <row r="31" spans="2:20" x14ac:dyDescent="0.2">
      <c r="B31"/>
    </row>
    <row r="32" spans="2:20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  <row r="44" spans="2:2" x14ac:dyDescent="0.2">
      <c r="B44"/>
    </row>
    <row r="45" spans="2:2" x14ac:dyDescent="0.2">
      <c r="B45"/>
    </row>
    <row r="46" spans="2:2" x14ac:dyDescent="0.2">
      <c r="B46"/>
    </row>
    <row r="47" spans="2:2" x14ac:dyDescent="0.2">
      <c r="B47"/>
    </row>
    <row r="48" spans="2:2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1:29" x14ac:dyDescent="0.2">
      <c r="B177"/>
    </row>
    <row r="178" spans="1:29" x14ac:dyDescent="0.2">
      <c r="B178"/>
    </row>
    <row r="179" spans="1:29" x14ac:dyDescent="0.2">
      <c r="B179"/>
    </row>
    <row r="180" spans="1:29" x14ac:dyDescent="0.2">
      <c r="A180" s="106">
        <f>Cadastro!A184</f>
        <v>0</v>
      </c>
      <c r="B180" s="27">
        <f>Cadastro!E182</f>
        <v>0</v>
      </c>
      <c r="C180" s="123">
        <f>pH_água!C180</f>
        <v>6.42</v>
      </c>
      <c r="D180" s="123">
        <f>pH_KCl!B181</f>
        <v>0</v>
      </c>
      <c r="E180" s="123">
        <f>'pH CaCl2'!C180</f>
        <v>0</v>
      </c>
      <c r="F180" s="123">
        <f>P_Mehlich1!H165</f>
        <v>0</v>
      </c>
      <c r="G180" s="123">
        <f>P_resina!H185</f>
        <v>0</v>
      </c>
      <c r="H180" s="273">
        <f>K!G150</f>
        <v>0</v>
      </c>
      <c r="I180" s="284">
        <v>0</v>
      </c>
      <c r="J180" s="273">
        <f>'Ca2+'!G181</f>
        <v>0</v>
      </c>
      <c r="K180" s="273">
        <f>Mg²!G183</f>
        <v>0</v>
      </c>
      <c r="L180" s="280">
        <f>Al³!C182</f>
        <v>0</v>
      </c>
      <c r="M180" s="280">
        <f>'H + Al'!D182</f>
        <v>0</v>
      </c>
      <c r="N180" s="273">
        <f t="shared" ref="N180:N243" si="9">(H180/390)+(I180/230)+J180+K180</f>
        <v>0</v>
      </c>
      <c r="O180" s="273">
        <f t="shared" ref="O180:O243" si="10">N180+L180</f>
        <v>0</v>
      </c>
      <c r="P180" s="273">
        <f t="shared" ref="P180:P243" si="11">N180+M180</f>
        <v>0</v>
      </c>
      <c r="Q180" s="294" t="e">
        <f t="shared" ref="Q180:Q243" si="12">(N180/P180)*100</f>
        <v>#DIV/0!</v>
      </c>
      <c r="R180" s="294" t="e">
        <f t="shared" ref="R180:R243" si="13">(L180/O180)*100</f>
        <v>#DIV/0!</v>
      </c>
      <c r="S180" s="123">
        <f>Prem!H182</f>
        <v>0</v>
      </c>
      <c r="T180" s="280">
        <f>S!H186</f>
        <v>0</v>
      </c>
      <c r="U180" s="273">
        <f>B!H181</f>
        <v>0</v>
      </c>
      <c r="V180" s="273">
        <f>Zn!G182</f>
        <v>0</v>
      </c>
      <c r="W180" s="273">
        <f>Cu!G182</f>
        <v>0</v>
      </c>
      <c r="X180" s="273">
        <f>Mn!G182</f>
        <v>0</v>
      </c>
      <c r="Y180" s="273">
        <f>Fe!G182</f>
        <v>0</v>
      </c>
      <c r="Z180" s="273">
        <f>M.O!H182</f>
        <v>0</v>
      </c>
      <c r="AA180" s="273" t="e">
        <f t="shared" ref="AA180:AA243" si="14">J180/K180</f>
        <v>#DIV/0!</v>
      </c>
      <c r="AB180" s="273" t="e">
        <f t="shared" ref="AB180:AB243" si="15">J180/(H180/390)</f>
        <v>#DIV/0!</v>
      </c>
      <c r="AC180" s="273" t="e">
        <f t="shared" ref="AC180:AC243" si="16">K180/(H180/390)</f>
        <v>#DIV/0!</v>
      </c>
    </row>
    <row r="181" spans="1:29" x14ac:dyDescent="0.2">
      <c r="A181" s="106">
        <f>Cadastro!A185</f>
        <v>0</v>
      </c>
      <c r="B181" s="27">
        <f>Cadastro!E183</f>
        <v>0</v>
      </c>
      <c r="C181" s="123">
        <f>pH_água!C181</f>
        <v>6.42</v>
      </c>
      <c r="D181" s="123">
        <f>pH_KCl!B182</f>
        <v>0</v>
      </c>
      <c r="E181" s="123">
        <f>'pH CaCl2'!C181</f>
        <v>0</v>
      </c>
      <c r="F181" s="123">
        <f>P_Mehlich1!H166</f>
        <v>0</v>
      </c>
      <c r="G181" s="123">
        <f>P_resina!H186</f>
        <v>0</v>
      </c>
      <c r="H181" s="273">
        <f>K!G151</f>
        <v>0</v>
      </c>
      <c r="I181" s="284">
        <v>0</v>
      </c>
      <c r="J181" s="273">
        <f>'Ca2+'!G182</f>
        <v>0</v>
      </c>
      <c r="K181" s="273">
        <f>Mg²!G184</f>
        <v>0</v>
      </c>
      <c r="L181" s="280">
        <f>Al³!C183</f>
        <v>0</v>
      </c>
      <c r="M181" s="280">
        <f>'H + Al'!D183</f>
        <v>0</v>
      </c>
      <c r="N181" s="273">
        <f t="shared" si="9"/>
        <v>0</v>
      </c>
      <c r="O181" s="273">
        <f t="shared" si="10"/>
        <v>0</v>
      </c>
      <c r="P181" s="273">
        <f t="shared" si="11"/>
        <v>0</v>
      </c>
      <c r="Q181" s="294" t="e">
        <f t="shared" si="12"/>
        <v>#DIV/0!</v>
      </c>
      <c r="R181" s="294" t="e">
        <f t="shared" si="13"/>
        <v>#DIV/0!</v>
      </c>
      <c r="S181" s="123">
        <f>Prem!H183</f>
        <v>0</v>
      </c>
      <c r="T181" s="280">
        <f>S!H187</f>
        <v>0</v>
      </c>
      <c r="U181" s="273">
        <f>B!H182</f>
        <v>0</v>
      </c>
      <c r="V181" s="273">
        <f>Zn!G183</f>
        <v>0</v>
      </c>
      <c r="W181" s="273">
        <f>Cu!G183</f>
        <v>0</v>
      </c>
      <c r="X181" s="273">
        <f>Mn!G183</f>
        <v>0</v>
      </c>
      <c r="Y181" s="273">
        <f>Fe!G183</f>
        <v>0</v>
      </c>
      <c r="Z181" s="273">
        <f>M.O!H183</f>
        <v>0</v>
      </c>
      <c r="AA181" s="273" t="e">
        <f t="shared" si="14"/>
        <v>#DIV/0!</v>
      </c>
      <c r="AB181" s="273" t="e">
        <f t="shared" si="15"/>
        <v>#DIV/0!</v>
      </c>
      <c r="AC181" s="273" t="e">
        <f t="shared" si="16"/>
        <v>#DIV/0!</v>
      </c>
    </row>
    <row r="182" spans="1:29" x14ac:dyDescent="0.2">
      <c r="A182" s="106">
        <f>Cadastro!A186</f>
        <v>0</v>
      </c>
      <c r="B182" s="27">
        <f>Cadastro!E184</f>
        <v>0</v>
      </c>
      <c r="C182" s="123">
        <f>pH_água!C182</f>
        <v>6.42</v>
      </c>
      <c r="D182" s="123">
        <f>pH_KCl!B183</f>
        <v>0</v>
      </c>
      <c r="E182" s="123">
        <f>'pH CaCl2'!C182</f>
        <v>0</v>
      </c>
      <c r="F182" s="123">
        <f>P_Mehlich1!H167</f>
        <v>0</v>
      </c>
      <c r="G182" s="123">
        <f>P_resina!H187</f>
        <v>0</v>
      </c>
      <c r="H182" s="273">
        <f>K!G152</f>
        <v>0</v>
      </c>
      <c r="I182" s="284">
        <v>0</v>
      </c>
      <c r="J182" s="273">
        <f>'Ca2+'!G183</f>
        <v>0</v>
      </c>
      <c r="K182" s="273">
        <f>Mg²!G185</f>
        <v>0</v>
      </c>
      <c r="L182" s="280">
        <f>Al³!C184</f>
        <v>0</v>
      </c>
      <c r="M182" s="280">
        <f>'H + Al'!D184</f>
        <v>0</v>
      </c>
      <c r="N182" s="273">
        <f t="shared" si="9"/>
        <v>0</v>
      </c>
      <c r="O182" s="273">
        <f t="shared" si="10"/>
        <v>0</v>
      </c>
      <c r="P182" s="273">
        <f t="shared" si="11"/>
        <v>0</v>
      </c>
      <c r="Q182" s="294" t="e">
        <f t="shared" si="12"/>
        <v>#DIV/0!</v>
      </c>
      <c r="R182" s="294" t="e">
        <f t="shared" si="13"/>
        <v>#DIV/0!</v>
      </c>
      <c r="S182" s="123">
        <f>Prem!H184</f>
        <v>0</v>
      </c>
      <c r="T182" s="280">
        <f>S!H188</f>
        <v>0</v>
      </c>
      <c r="U182" s="273">
        <f>B!H183</f>
        <v>0</v>
      </c>
      <c r="V182" s="273">
        <f>Zn!G184</f>
        <v>0</v>
      </c>
      <c r="W182" s="273">
        <f>Cu!G184</f>
        <v>0</v>
      </c>
      <c r="X182" s="273">
        <f>Mn!G184</f>
        <v>0</v>
      </c>
      <c r="Y182" s="273">
        <f>Fe!G184</f>
        <v>0</v>
      </c>
      <c r="Z182" s="273">
        <f>M.O!H184</f>
        <v>0</v>
      </c>
      <c r="AA182" s="273" t="e">
        <f t="shared" si="14"/>
        <v>#DIV/0!</v>
      </c>
      <c r="AB182" s="273" t="e">
        <f t="shared" si="15"/>
        <v>#DIV/0!</v>
      </c>
      <c r="AC182" s="273" t="e">
        <f t="shared" si="16"/>
        <v>#DIV/0!</v>
      </c>
    </row>
    <row r="183" spans="1:29" x14ac:dyDescent="0.2">
      <c r="A183" s="106">
        <f>Cadastro!A187</f>
        <v>0</v>
      </c>
      <c r="B183" s="27">
        <f>Cadastro!E185</f>
        <v>0</v>
      </c>
      <c r="C183" s="123">
        <f>pH_água!C183</f>
        <v>6.42</v>
      </c>
      <c r="D183" s="123">
        <f>pH_KCl!B184</f>
        <v>0</v>
      </c>
      <c r="E183" s="123">
        <f>'pH CaCl2'!C183</f>
        <v>0</v>
      </c>
      <c r="F183" s="123">
        <f>P_Mehlich1!H168</f>
        <v>0</v>
      </c>
      <c r="G183" s="123">
        <f>P_resina!H188</f>
        <v>0</v>
      </c>
      <c r="H183" s="273">
        <f>K!G153</f>
        <v>0</v>
      </c>
      <c r="I183" s="284">
        <v>0</v>
      </c>
      <c r="J183" s="273">
        <f>'Ca2+'!G184</f>
        <v>0</v>
      </c>
      <c r="K183" s="273">
        <f>Mg²!G186</f>
        <v>0</v>
      </c>
      <c r="L183" s="280">
        <f>Al³!C185</f>
        <v>0</v>
      </c>
      <c r="M183" s="280">
        <f>'H + Al'!D185</f>
        <v>0</v>
      </c>
      <c r="N183" s="273">
        <f t="shared" si="9"/>
        <v>0</v>
      </c>
      <c r="O183" s="273">
        <f t="shared" si="10"/>
        <v>0</v>
      </c>
      <c r="P183" s="273">
        <f t="shared" si="11"/>
        <v>0</v>
      </c>
      <c r="Q183" s="294" t="e">
        <f t="shared" si="12"/>
        <v>#DIV/0!</v>
      </c>
      <c r="R183" s="294" t="e">
        <f t="shared" si="13"/>
        <v>#DIV/0!</v>
      </c>
      <c r="S183" s="123">
        <f>Prem!H185</f>
        <v>0</v>
      </c>
      <c r="T183" s="280">
        <f>S!H189</f>
        <v>0</v>
      </c>
      <c r="U183" s="273">
        <f>B!H184</f>
        <v>0</v>
      </c>
      <c r="V183" s="273">
        <f>Zn!G185</f>
        <v>0</v>
      </c>
      <c r="W183" s="273">
        <f>Cu!G185</f>
        <v>0</v>
      </c>
      <c r="X183" s="273">
        <f>Mn!G185</f>
        <v>0</v>
      </c>
      <c r="Y183" s="273">
        <f>Fe!G185</f>
        <v>0</v>
      </c>
      <c r="Z183" s="273">
        <f>M.O!H185</f>
        <v>0</v>
      </c>
      <c r="AA183" s="273" t="e">
        <f t="shared" si="14"/>
        <v>#DIV/0!</v>
      </c>
      <c r="AB183" s="273" t="e">
        <f t="shared" si="15"/>
        <v>#DIV/0!</v>
      </c>
      <c r="AC183" s="273" t="e">
        <f t="shared" si="16"/>
        <v>#DIV/0!</v>
      </c>
    </row>
    <row r="184" spans="1:29" x14ac:dyDescent="0.2">
      <c r="A184" s="106">
        <f>Cadastro!A188</f>
        <v>0</v>
      </c>
      <c r="B184" s="27">
        <f>Cadastro!E186</f>
        <v>0</v>
      </c>
      <c r="C184" s="123">
        <f>pH_água!C184</f>
        <v>6.42</v>
      </c>
      <c r="D184" s="123">
        <f>pH_KCl!B185</f>
        <v>0</v>
      </c>
      <c r="E184" s="123">
        <f>'pH CaCl2'!C184</f>
        <v>0</v>
      </c>
      <c r="F184" s="123">
        <f>P_Mehlich1!H169</f>
        <v>0</v>
      </c>
      <c r="G184" s="123">
        <f>P_resina!H189</f>
        <v>0</v>
      </c>
      <c r="H184" s="273">
        <f>K!G154</f>
        <v>0</v>
      </c>
      <c r="I184" s="284">
        <v>0</v>
      </c>
      <c r="J184" s="273">
        <f>'Ca2+'!G185</f>
        <v>0</v>
      </c>
      <c r="K184" s="273">
        <f>Mg²!G187</f>
        <v>0</v>
      </c>
      <c r="L184" s="280">
        <f>Al³!C186</f>
        <v>0</v>
      </c>
      <c r="M184" s="280">
        <f>'H + Al'!D186</f>
        <v>0</v>
      </c>
      <c r="N184" s="273">
        <f t="shared" si="9"/>
        <v>0</v>
      </c>
      <c r="O184" s="273">
        <f t="shared" si="10"/>
        <v>0</v>
      </c>
      <c r="P184" s="273">
        <f t="shared" si="11"/>
        <v>0</v>
      </c>
      <c r="Q184" s="294" t="e">
        <f t="shared" si="12"/>
        <v>#DIV/0!</v>
      </c>
      <c r="R184" s="294" t="e">
        <f t="shared" si="13"/>
        <v>#DIV/0!</v>
      </c>
      <c r="S184" s="123">
        <f>Prem!H186</f>
        <v>0</v>
      </c>
      <c r="T184" s="280">
        <f>S!H190</f>
        <v>0</v>
      </c>
      <c r="U184" s="273">
        <f>B!H185</f>
        <v>0</v>
      </c>
      <c r="V184" s="273">
        <f>Zn!G186</f>
        <v>0</v>
      </c>
      <c r="W184" s="273">
        <f>Cu!G186</f>
        <v>0</v>
      </c>
      <c r="X184" s="273">
        <f>Mn!G186</f>
        <v>0</v>
      </c>
      <c r="Y184" s="273">
        <f>Fe!G186</f>
        <v>0</v>
      </c>
      <c r="Z184" s="273">
        <f>M.O!H186</f>
        <v>0</v>
      </c>
      <c r="AA184" s="273" t="e">
        <f t="shared" si="14"/>
        <v>#DIV/0!</v>
      </c>
      <c r="AB184" s="273" t="e">
        <f t="shared" si="15"/>
        <v>#DIV/0!</v>
      </c>
      <c r="AC184" s="273" t="e">
        <f t="shared" si="16"/>
        <v>#DIV/0!</v>
      </c>
    </row>
    <row r="185" spans="1:29" x14ac:dyDescent="0.2">
      <c r="A185" s="106">
        <f>Cadastro!A189</f>
        <v>0</v>
      </c>
      <c r="B185" s="27">
        <f>Cadastro!E187</f>
        <v>0</v>
      </c>
      <c r="C185" s="123">
        <f>pH_água!C185</f>
        <v>6.42</v>
      </c>
      <c r="D185" s="123">
        <f>pH_KCl!B186</f>
        <v>0</v>
      </c>
      <c r="E185" s="123">
        <f>'pH CaCl2'!C185</f>
        <v>0</v>
      </c>
      <c r="F185" s="123">
        <f>P_Mehlich1!H170</f>
        <v>0</v>
      </c>
      <c r="G185" s="123">
        <f>P_resina!H190</f>
        <v>0</v>
      </c>
      <c r="H185" s="273">
        <f>K!G155</f>
        <v>0</v>
      </c>
      <c r="I185" s="284">
        <v>0</v>
      </c>
      <c r="J185" s="273">
        <f>'Ca2+'!G186</f>
        <v>0</v>
      </c>
      <c r="K185" s="273">
        <f>Mg²!G188</f>
        <v>0</v>
      </c>
      <c r="L185" s="280">
        <f>Al³!C187</f>
        <v>0</v>
      </c>
      <c r="M185" s="280">
        <f>'H + Al'!D187</f>
        <v>0</v>
      </c>
      <c r="N185" s="273">
        <f t="shared" si="9"/>
        <v>0</v>
      </c>
      <c r="O185" s="273">
        <f t="shared" si="10"/>
        <v>0</v>
      </c>
      <c r="P185" s="273">
        <f t="shared" si="11"/>
        <v>0</v>
      </c>
      <c r="Q185" s="294" t="e">
        <f t="shared" si="12"/>
        <v>#DIV/0!</v>
      </c>
      <c r="R185" s="294" t="e">
        <f t="shared" si="13"/>
        <v>#DIV/0!</v>
      </c>
      <c r="S185" s="123">
        <f>Prem!H187</f>
        <v>0</v>
      </c>
      <c r="T185" s="280">
        <f>S!H191</f>
        <v>0</v>
      </c>
      <c r="U185" s="273">
        <f>B!H186</f>
        <v>0</v>
      </c>
      <c r="V185" s="273">
        <f>Zn!G187</f>
        <v>0</v>
      </c>
      <c r="W185" s="273">
        <f>Cu!G187</f>
        <v>0</v>
      </c>
      <c r="X185" s="273">
        <f>Mn!G187</f>
        <v>0</v>
      </c>
      <c r="Y185" s="273">
        <f>Fe!G187</f>
        <v>0</v>
      </c>
      <c r="Z185" s="273">
        <f>M.O!H187</f>
        <v>0</v>
      </c>
      <c r="AA185" s="273" t="e">
        <f t="shared" si="14"/>
        <v>#DIV/0!</v>
      </c>
      <c r="AB185" s="273" t="e">
        <f t="shared" si="15"/>
        <v>#DIV/0!</v>
      </c>
      <c r="AC185" s="273" t="e">
        <f t="shared" si="16"/>
        <v>#DIV/0!</v>
      </c>
    </row>
    <row r="186" spans="1:29" x14ac:dyDescent="0.2">
      <c r="A186" s="106">
        <f>Cadastro!A190</f>
        <v>0</v>
      </c>
      <c r="B186" s="27">
        <f>Cadastro!E188</f>
        <v>0</v>
      </c>
      <c r="C186" s="123">
        <f>pH_água!C186</f>
        <v>6.42</v>
      </c>
      <c r="D186" s="123">
        <f>pH_KCl!B187</f>
        <v>0</v>
      </c>
      <c r="E186" s="123">
        <f>'pH CaCl2'!C186</f>
        <v>0</v>
      </c>
      <c r="F186" s="123">
        <f>P_Mehlich1!H171</f>
        <v>0</v>
      </c>
      <c r="G186" s="123">
        <f>P_resina!H191</f>
        <v>0</v>
      </c>
      <c r="H186" s="273">
        <f>K!G156</f>
        <v>0</v>
      </c>
      <c r="I186" s="284">
        <v>0</v>
      </c>
      <c r="J186" s="273">
        <f>'Ca2+'!G187</f>
        <v>0</v>
      </c>
      <c r="K186" s="273">
        <f>Mg²!G189</f>
        <v>0</v>
      </c>
      <c r="L186" s="280">
        <f>Al³!C188</f>
        <v>0</v>
      </c>
      <c r="M186" s="280">
        <f>'H + Al'!D188</f>
        <v>0</v>
      </c>
      <c r="N186" s="273">
        <f t="shared" si="9"/>
        <v>0</v>
      </c>
      <c r="O186" s="273">
        <f t="shared" si="10"/>
        <v>0</v>
      </c>
      <c r="P186" s="273">
        <f t="shared" si="11"/>
        <v>0</v>
      </c>
      <c r="Q186" s="294" t="e">
        <f t="shared" si="12"/>
        <v>#DIV/0!</v>
      </c>
      <c r="R186" s="294" t="e">
        <f t="shared" si="13"/>
        <v>#DIV/0!</v>
      </c>
      <c r="S186" s="123">
        <f>Prem!H188</f>
        <v>0</v>
      </c>
      <c r="T186" s="280">
        <f>S!H192</f>
        <v>0</v>
      </c>
      <c r="U186" s="273">
        <f>B!H187</f>
        <v>0</v>
      </c>
      <c r="V186" s="273">
        <f>Zn!G188</f>
        <v>0</v>
      </c>
      <c r="W186" s="273">
        <f>Cu!G188</f>
        <v>0</v>
      </c>
      <c r="X186" s="273">
        <f>Mn!G188</f>
        <v>0</v>
      </c>
      <c r="Y186" s="273">
        <f>Fe!G188</f>
        <v>0</v>
      </c>
      <c r="Z186" s="273">
        <f>M.O!H188</f>
        <v>0</v>
      </c>
      <c r="AA186" s="273" t="e">
        <f t="shared" si="14"/>
        <v>#DIV/0!</v>
      </c>
      <c r="AB186" s="273" t="e">
        <f t="shared" si="15"/>
        <v>#DIV/0!</v>
      </c>
      <c r="AC186" s="273" t="e">
        <f t="shared" si="16"/>
        <v>#DIV/0!</v>
      </c>
    </row>
    <row r="187" spans="1:29" x14ac:dyDescent="0.2">
      <c r="A187" s="106">
        <f>Cadastro!A191</f>
        <v>0</v>
      </c>
      <c r="B187" s="27">
        <f>Cadastro!E189</f>
        <v>0</v>
      </c>
      <c r="C187" s="123">
        <f>pH_água!C187</f>
        <v>6.42</v>
      </c>
      <c r="D187" s="123">
        <f>pH_KCl!B188</f>
        <v>0</v>
      </c>
      <c r="E187" s="123">
        <f>'pH CaCl2'!C187</f>
        <v>0</v>
      </c>
      <c r="F187" s="123">
        <f>P_Mehlich1!H172</f>
        <v>0</v>
      </c>
      <c r="G187" s="123">
        <f>P_resina!H192</f>
        <v>0</v>
      </c>
      <c r="H187" s="273">
        <f>K!G157</f>
        <v>0</v>
      </c>
      <c r="I187" s="284">
        <v>0</v>
      </c>
      <c r="J187" s="273">
        <f>'Ca2+'!G188</f>
        <v>0</v>
      </c>
      <c r="K187" s="273">
        <f>Mg²!G190</f>
        <v>0</v>
      </c>
      <c r="L187" s="280">
        <f>Al³!C189</f>
        <v>0</v>
      </c>
      <c r="M187" s="280">
        <f>'H + Al'!D189</f>
        <v>0</v>
      </c>
      <c r="N187" s="273">
        <f t="shared" si="9"/>
        <v>0</v>
      </c>
      <c r="O187" s="273">
        <f t="shared" si="10"/>
        <v>0</v>
      </c>
      <c r="P187" s="273">
        <f t="shared" si="11"/>
        <v>0</v>
      </c>
      <c r="Q187" s="294" t="e">
        <f t="shared" si="12"/>
        <v>#DIV/0!</v>
      </c>
      <c r="R187" s="294" t="e">
        <f t="shared" si="13"/>
        <v>#DIV/0!</v>
      </c>
      <c r="S187" s="123">
        <f>Prem!H189</f>
        <v>0</v>
      </c>
      <c r="T187" s="280">
        <f>S!H193</f>
        <v>0</v>
      </c>
      <c r="U187" s="273">
        <f>B!H188</f>
        <v>0</v>
      </c>
      <c r="V187" s="273">
        <f>Zn!G189</f>
        <v>0</v>
      </c>
      <c r="W187" s="273">
        <f>Cu!G189</f>
        <v>0</v>
      </c>
      <c r="X187" s="273">
        <f>Mn!G189</f>
        <v>0</v>
      </c>
      <c r="Y187" s="273">
        <f>Fe!G189</f>
        <v>0</v>
      </c>
      <c r="Z187" s="273">
        <f>M.O!H189</f>
        <v>0</v>
      </c>
      <c r="AA187" s="273" t="e">
        <f t="shared" si="14"/>
        <v>#DIV/0!</v>
      </c>
      <c r="AB187" s="273" t="e">
        <f t="shared" si="15"/>
        <v>#DIV/0!</v>
      </c>
      <c r="AC187" s="273" t="e">
        <f t="shared" si="16"/>
        <v>#DIV/0!</v>
      </c>
    </row>
    <row r="188" spans="1:29" x14ac:dyDescent="0.2">
      <c r="A188" s="106">
        <f>Cadastro!A192</f>
        <v>0</v>
      </c>
      <c r="B188" s="27">
        <f>Cadastro!E190</f>
        <v>0</v>
      </c>
      <c r="C188" s="123">
        <f>pH_água!C188</f>
        <v>6.42</v>
      </c>
      <c r="D188" s="123">
        <f>pH_KCl!B189</f>
        <v>0</v>
      </c>
      <c r="E188" s="123">
        <f>'pH CaCl2'!C188</f>
        <v>0</v>
      </c>
      <c r="F188" s="123">
        <f>P_Mehlich1!H173</f>
        <v>0</v>
      </c>
      <c r="G188" s="123">
        <f>P_resina!H193</f>
        <v>0</v>
      </c>
      <c r="H188" s="273">
        <f>K!G158</f>
        <v>0</v>
      </c>
      <c r="I188" s="284">
        <v>0</v>
      </c>
      <c r="J188" s="273">
        <f>'Ca2+'!G189</f>
        <v>0</v>
      </c>
      <c r="K188" s="273">
        <f>Mg²!G191</f>
        <v>0</v>
      </c>
      <c r="L188" s="280">
        <f>Al³!C190</f>
        <v>0</v>
      </c>
      <c r="M188" s="280">
        <f>'H + Al'!D190</f>
        <v>0</v>
      </c>
      <c r="N188" s="273">
        <f t="shared" si="9"/>
        <v>0</v>
      </c>
      <c r="O188" s="273">
        <f t="shared" si="10"/>
        <v>0</v>
      </c>
      <c r="P188" s="273">
        <f t="shared" si="11"/>
        <v>0</v>
      </c>
      <c r="Q188" s="294" t="e">
        <f t="shared" si="12"/>
        <v>#DIV/0!</v>
      </c>
      <c r="R188" s="294" t="e">
        <f t="shared" si="13"/>
        <v>#DIV/0!</v>
      </c>
      <c r="S188" s="123">
        <f>Prem!H190</f>
        <v>0</v>
      </c>
      <c r="T188" s="280">
        <f>S!H194</f>
        <v>0</v>
      </c>
      <c r="U188" s="273">
        <f>B!H189</f>
        <v>0</v>
      </c>
      <c r="V188" s="273">
        <f>Zn!G190</f>
        <v>0</v>
      </c>
      <c r="W188" s="273">
        <f>Cu!G190</f>
        <v>0</v>
      </c>
      <c r="X188" s="273">
        <f>Mn!G190</f>
        <v>0</v>
      </c>
      <c r="Y188" s="273">
        <f>Fe!G190</f>
        <v>0</v>
      </c>
      <c r="Z188" s="273">
        <f>M.O!H190</f>
        <v>0</v>
      </c>
      <c r="AA188" s="273" t="e">
        <f t="shared" si="14"/>
        <v>#DIV/0!</v>
      </c>
      <c r="AB188" s="273" t="e">
        <f t="shared" si="15"/>
        <v>#DIV/0!</v>
      </c>
      <c r="AC188" s="273" t="e">
        <f t="shared" si="16"/>
        <v>#DIV/0!</v>
      </c>
    </row>
    <row r="189" spans="1:29" x14ac:dyDescent="0.2">
      <c r="A189" s="106">
        <f>Cadastro!A193</f>
        <v>0</v>
      </c>
      <c r="B189" s="27">
        <f>Cadastro!E191</f>
        <v>0</v>
      </c>
      <c r="C189" s="123">
        <f>pH_água!C189</f>
        <v>6.42</v>
      </c>
      <c r="D189" s="123">
        <f>pH_KCl!B190</f>
        <v>0</v>
      </c>
      <c r="E189" s="123">
        <f>'pH CaCl2'!C189</f>
        <v>0</v>
      </c>
      <c r="F189" s="123">
        <f>P_Mehlich1!H174</f>
        <v>0</v>
      </c>
      <c r="G189" s="123">
        <f>P_resina!H194</f>
        <v>0</v>
      </c>
      <c r="H189" s="273">
        <f>K!G159</f>
        <v>0</v>
      </c>
      <c r="I189" s="284">
        <v>0</v>
      </c>
      <c r="J189" s="273">
        <f>'Ca2+'!G190</f>
        <v>0</v>
      </c>
      <c r="K189" s="273">
        <f>Mg²!G192</f>
        <v>0</v>
      </c>
      <c r="L189" s="280">
        <f>Al³!C191</f>
        <v>0</v>
      </c>
      <c r="M189" s="280">
        <f>'H + Al'!D191</f>
        <v>0</v>
      </c>
      <c r="N189" s="273">
        <f t="shared" si="9"/>
        <v>0</v>
      </c>
      <c r="O189" s="273">
        <f t="shared" si="10"/>
        <v>0</v>
      </c>
      <c r="P189" s="273">
        <f t="shared" si="11"/>
        <v>0</v>
      </c>
      <c r="Q189" s="294" t="e">
        <f t="shared" si="12"/>
        <v>#DIV/0!</v>
      </c>
      <c r="R189" s="294" t="e">
        <f t="shared" si="13"/>
        <v>#DIV/0!</v>
      </c>
      <c r="S189" s="123">
        <f>Prem!H191</f>
        <v>0</v>
      </c>
      <c r="T189" s="280">
        <f>S!H195</f>
        <v>0</v>
      </c>
      <c r="U189" s="273">
        <f>B!H190</f>
        <v>0</v>
      </c>
      <c r="V189" s="273">
        <f>Zn!G191</f>
        <v>0</v>
      </c>
      <c r="W189" s="273">
        <f>Cu!G191</f>
        <v>0</v>
      </c>
      <c r="X189" s="273">
        <f>Mn!G191</f>
        <v>0</v>
      </c>
      <c r="Y189" s="273">
        <f>Fe!G191</f>
        <v>0</v>
      </c>
      <c r="Z189" s="273">
        <f>M.O!H191</f>
        <v>0</v>
      </c>
      <c r="AA189" s="273" t="e">
        <f t="shared" si="14"/>
        <v>#DIV/0!</v>
      </c>
      <c r="AB189" s="273" t="e">
        <f t="shared" si="15"/>
        <v>#DIV/0!</v>
      </c>
      <c r="AC189" s="273" t="e">
        <f t="shared" si="16"/>
        <v>#DIV/0!</v>
      </c>
    </row>
    <row r="190" spans="1:29" x14ac:dyDescent="0.2">
      <c r="A190" s="106">
        <f>Cadastro!A194</f>
        <v>0</v>
      </c>
      <c r="B190" s="27">
        <f>Cadastro!E192</f>
        <v>0</v>
      </c>
      <c r="C190" s="123">
        <f>pH_água!C190</f>
        <v>6.42</v>
      </c>
      <c r="D190" s="123">
        <f>pH_KCl!B191</f>
        <v>0</v>
      </c>
      <c r="E190" s="123">
        <f>'pH CaCl2'!C190</f>
        <v>0</v>
      </c>
      <c r="F190" s="123">
        <f>P_Mehlich1!H175</f>
        <v>0</v>
      </c>
      <c r="G190" s="123">
        <f>P_resina!H195</f>
        <v>0</v>
      </c>
      <c r="H190" s="273">
        <f>K!G160</f>
        <v>0</v>
      </c>
      <c r="I190" s="284">
        <v>0</v>
      </c>
      <c r="J190" s="273">
        <f>'Ca2+'!G191</f>
        <v>0</v>
      </c>
      <c r="K190" s="273">
        <f>Mg²!G193</f>
        <v>0</v>
      </c>
      <c r="L190" s="280">
        <f>Al³!C192</f>
        <v>0</v>
      </c>
      <c r="M190" s="280">
        <f>'H + Al'!D192</f>
        <v>0</v>
      </c>
      <c r="N190" s="273">
        <f t="shared" si="9"/>
        <v>0</v>
      </c>
      <c r="O190" s="273">
        <f t="shared" si="10"/>
        <v>0</v>
      </c>
      <c r="P190" s="273">
        <f t="shared" si="11"/>
        <v>0</v>
      </c>
      <c r="Q190" s="294" t="e">
        <f t="shared" si="12"/>
        <v>#DIV/0!</v>
      </c>
      <c r="R190" s="294" t="e">
        <f t="shared" si="13"/>
        <v>#DIV/0!</v>
      </c>
      <c r="S190" s="123">
        <f>Prem!H192</f>
        <v>0</v>
      </c>
      <c r="T190" s="280">
        <f>S!H196</f>
        <v>0</v>
      </c>
      <c r="U190" s="273">
        <f>B!H191</f>
        <v>0</v>
      </c>
      <c r="V190" s="273">
        <f>Zn!G192</f>
        <v>0</v>
      </c>
      <c r="W190" s="273">
        <f>Cu!G192</f>
        <v>0</v>
      </c>
      <c r="X190" s="273">
        <f>Mn!G192</f>
        <v>0</v>
      </c>
      <c r="Y190" s="273">
        <f>Fe!G192</f>
        <v>0</v>
      </c>
      <c r="Z190" s="273">
        <f>M.O!H192</f>
        <v>0</v>
      </c>
      <c r="AA190" s="273" t="e">
        <f t="shared" si="14"/>
        <v>#DIV/0!</v>
      </c>
      <c r="AB190" s="273" t="e">
        <f t="shared" si="15"/>
        <v>#DIV/0!</v>
      </c>
      <c r="AC190" s="273" t="e">
        <f t="shared" si="16"/>
        <v>#DIV/0!</v>
      </c>
    </row>
    <row r="191" spans="1:29" x14ac:dyDescent="0.2">
      <c r="A191" s="106">
        <f>Cadastro!A195</f>
        <v>0</v>
      </c>
      <c r="B191" s="27">
        <f>Cadastro!E193</f>
        <v>0</v>
      </c>
      <c r="C191" s="123">
        <f>pH_água!C191</f>
        <v>6.42</v>
      </c>
      <c r="D191" s="123">
        <f>pH_KCl!B192</f>
        <v>0</v>
      </c>
      <c r="E191" s="123">
        <f>'pH CaCl2'!C191</f>
        <v>0</v>
      </c>
      <c r="F191" s="123">
        <f>P_Mehlich1!H176</f>
        <v>0</v>
      </c>
      <c r="G191" s="123">
        <f>P_resina!H196</f>
        <v>0</v>
      </c>
      <c r="H191" s="273">
        <f>K!G161</f>
        <v>0</v>
      </c>
      <c r="I191" s="284">
        <v>0</v>
      </c>
      <c r="J191" s="273">
        <f>'Ca2+'!G192</f>
        <v>0</v>
      </c>
      <c r="K191" s="273">
        <f>Mg²!G194</f>
        <v>0</v>
      </c>
      <c r="L191" s="280">
        <f>Al³!C193</f>
        <v>0</v>
      </c>
      <c r="M191" s="280">
        <f>'H + Al'!D193</f>
        <v>0</v>
      </c>
      <c r="N191" s="273">
        <f t="shared" si="9"/>
        <v>0</v>
      </c>
      <c r="O191" s="273">
        <f t="shared" si="10"/>
        <v>0</v>
      </c>
      <c r="P191" s="273">
        <f t="shared" si="11"/>
        <v>0</v>
      </c>
      <c r="Q191" s="294" t="e">
        <f t="shared" si="12"/>
        <v>#DIV/0!</v>
      </c>
      <c r="R191" s="294" t="e">
        <f t="shared" si="13"/>
        <v>#DIV/0!</v>
      </c>
      <c r="S191" s="123">
        <f>Prem!H193</f>
        <v>0</v>
      </c>
      <c r="T191" s="280">
        <f>S!H197</f>
        <v>0</v>
      </c>
      <c r="U191" s="273">
        <f>B!H192</f>
        <v>0</v>
      </c>
      <c r="V191" s="273">
        <f>Zn!G193</f>
        <v>0</v>
      </c>
      <c r="W191" s="273">
        <f>Cu!G193</f>
        <v>0</v>
      </c>
      <c r="X191" s="273">
        <f>Mn!G193</f>
        <v>0</v>
      </c>
      <c r="Y191" s="273">
        <f>Fe!G193</f>
        <v>0</v>
      </c>
      <c r="Z191" s="273">
        <f>M.O!H193</f>
        <v>0</v>
      </c>
      <c r="AA191" s="273" t="e">
        <f t="shared" si="14"/>
        <v>#DIV/0!</v>
      </c>
      <c r="AB191" s="273" t="e">
        <f t="shared" si="15"/>
        <v>#DIV/0!</v>
      </c>
      <c r="AC191" s="273" t="e">
        <f t="shared" si="16"/>
        <v>#DIV/0!</v>
      </c>
    </row>
    <row r="192" spans="1:29" x14ac:dyDescent="0.2">
      <c r="A192" s="106">
        <f>Cadastro!A196</f>
        <v>0</v>
      </c>
      <c r="B192" s="27">
        <f>Cadastro!E194</f>
        <v>0</v>
      </c>
      <c r="C192" s="123">
        <f>pH_água!C192</f>
        <v>6.42</v>
      </c>
      <c r="D192" s="123">
        <f>pH_KCl!B193</f>
        <v>0</v>
      </c>
      <c r="E192" s="123">
        <f>'pH CaCl2'!C192</f>
        <v>0</v>
      </c>
      <c r="F192" s="123">
        <f>P_Mehlich1!H177</f>
        <v>0</v>
      </c>
      <c r="G192" s="123">
        <f>P_resina!H197</f>
        <v>0</v>
      </c>
      <c r="H192" s="273">
        <f>K!G162</f>
        <v>0</v>
      </c>
      <c r="I192" s="284">
        <v>0</v>
      </c>
      <c r="J192" s="273">
        <f>'Ca2+'!G193</f>
        <v>0</v>
      </c>
      <c r="K192" s="273">
        <f>Mg²!G195</f>
        <v>0</v>
      </c>
      <c r="L192" s="280">
        <f>Al³!C194</f>
        <v>0</v>
      </c>
      <c r="M192" s="280">
        <f>'H + Al'!D194</f>
        <v>0</v>
      </c>
      <c r="N192" s="273">
        <f t="shared" si="9"/>
        <v>0</v>
      </c>
      <c r="O192" s="273">
        <f t="shared" si="10"/>
        <v>0</v>
      </c>
      <c r="P192" s="273">
        <f t="shared" si="11"/>
        <v>0</v>
      </c>
      <c r="Q192" s="294" t="e">
        <f t="shared" si="12"/>
        <v>#DIV/0!</v>
      </c>
      <c r="R192" s="294" t="e">
        <f t="shared" si="13"/>
        <v>#DIV/0!</v>
      </c>
      <c r="S192" s="123">
        <f>Prem!H194</f>
        <v>0</v>
      </c>
      <c r="T192" s="280">
        <f>S!H198</f>
        <v>0</v>
      </c>
      <c r="U192" s="273">
        <f>B!H193</f>
        <v>0</v>
      </c>
      <c r="V192" s="273">
        <f>Zn!G194</f>
        <v>0</v>
      </c>
      <c r="W192" s="273">
        <f>Cu!G194</f>
        <v>0</v>
      </c>
      <c r="X192" s="273">
        <f>Mn!G194</f>
        <v>0</v>
      </c>
      <c r="Y192" s="273">
        <f>Fe!G194</f>
        <v>0</v>
      </c>
      <c r="Z192" s="273">
        <f>M.O!H194</f>
        <v>0</v>
      </c>
      <c r="AA192" s="273" t="e">
        <f t="shared" si="14"/>
        <v>#DIV/0!</v>
      </c>
      <c r="AB192" s="273" t="e">
        <f t="shared" si="15"/>
        <v>#DIV/0!</v>
      </c>
      <c r="AC192" s="273" t="e">
        <f t="shared" si="16"/>
        <v>#DIV/0!</v>
      </c>
    </row>
    <row r="193" spans="1:29" x14ac:dyDescent="0.2">
      <c r="A193" s="106">
        <f>Cadastro!A197</f>
        <v>0</v>
      </c>
      <c r="B193" s="27">
        <f>Cadastro!E195</f>
        <v>0</v>
      </c>
      <c r="C193" s="123">
        <f>pH_água!C193</f>
        <v>6.42</v>
      </c>
      <c r="D193" s="123">
        <f>pH_KCl!B194</f>
        <v>0</v>
      </c>
      <c r="E193" s="123">
        <f>'pH CaCl2'!C193</f>
        <v>0</v>
      </c>
      <c r="F193" s="123">
        <f>P_Mehlich1!H178</f>
        <v>0</v>
      </c>
      <c r="G193" s="123">
        <f>P_resina!H198</f>
        <v>0</v>
      </c>
      <c r="H193" s="273">
        <f>K!G163</f>
        <v>0</v>
      </c>
      <c r="I193" s="284">
        <v>0</v>
      </c>
      <c r="J193" s="273">
        <f>'Ca2+'!G194</f>
        <v>0</v>
      </c>
      <c r="K193" s="273">
        <f>Mg²!G196</f>
        <v>0</v>
      </c>
      <c r="L193" s="280">
        <f>Al³!C195</f>
        <v>0</v>
      </c>
      <c r="M193" s="280">
        <f>'H + Al'!D195</f>
        <v>0</v>
      </c>
      <c r="N193" s="273">
        <f t="shared" si="9"/>
        <v>0</v>
      </c>
      <c r="O193" s="273">
        <f t="shared" si="10"/>
        <v>0</v>
      </c>
      <c r="P193" s="273">
        <f t="shared" si="11"/>
        <v>0</v>
      </c>
      <c r="Q193" s="294" t="e">
        <f t="shared" si="12"/>
        <v>#DIV/0!</v>
      </c>
      <c r="R193" s="294" t="e">
        <f t="shared" si="13"/>
        <v>#DIV/0!</v>
      </c>
      <c r="S193" s="123">
        <f>Prem!H195</f>
        <v>0</v>
      </c>
      <c r="T193" s="280">
        <f>S!H199</f>
        <v>0</v>
      </c>
      <c r="U193" s="273">
        <f>B!H194</f>
        <v>0</v>
      </c>
      <c r="V193" s="273">
        <f>Zn!G195</f>
        <v>0</v>
      </c>
      <c r="W193" s="273">
        <f>Cu!G195</f>
        <v>0</v>
      </c>
      <c r="X193" s="273">
        <f>Mn!G195</f>
        <v>0</v>
      </c>
      <c r="Y193" s="273">
        <f>Fe!G195</f>
        <v>0</v>
      </c>
      <c r="Z193" s="273">
        <f>M.O!H195</f>
        <v>0</v>
      </c>
      <c r="AA193" s="273" t="e">
        <f t="shared" si="14"/>
        <v>#DIV/0!</v>
      </c>
      <c r="AB193" s="273" t="e">
        <f t="shared" si="15"/>
        <v>#DIV/0!</v>
      </c>
      <c r="AC193" s="273" t="e">
        <f t="shared" si="16"/>
        <v>#DIV/0!</v>
      </c>
    </row>
    <row r="194" spans="1:29" x14ac:dyDescent="0.2">
      <c r="A194" s="106">
        <f>Cadastro!A198</f>
        <v>0</v>
      </c>
      <c r="B194" s="27">
        <f>Cadastro!E196</f>
        <v>0</v>
      </c>
      <c r="C194" s="123">
        <f>pH_água!C194</f>
        <v>6.42</v>
      </c>
      <c r="D194" s="123">
        <f>pH_KCl!B195</f>
        <v>0</v>
      </c>
      <c r="E194" s="123">
        <f>'pH CaCl2'!C194</f>
        <v>0</v>
      </c>
      <c r="F194" s="123">
        <f>P_Mehlich1!H179</f>
        <v>0</v>
      </c>
      <c r="G194" s="123">
        <f>P_resina!H199</f>
        <v>0</v>
      </c>
      <c r="H194" s="273">
        <f>K!G164</f>
        <v>0</v>
      </c>
      <c r="I194" s="284">
        <v>0</v>
      </c>
      <c r="J194" s="273">
        <f>'Ca2+'!G195</f>
        <v>0</v>
      </c>
      <c r="K194" s="273">
        <f>Mg²!G197</f>
        <v>0</v>
      </c>
      <c r="L194" s="280">
        <f>Al³!C196</f>
        <v>0</v>
      </c>
      <c r="M194" s="280">
        <f>'H + Al'!D196</f>
        <v>0</v>
      </c>
      <c r="N194" s="273">
        <f t="shared" si="9"/>
        <v>0</v>
      </c>
      <c r="O194" s="273">
        <f t="shared" si="10"/>
        <v>0</v>
      </c>
      <c r="P194" s="273">
        <f t="shared" si="11"/>
        <v>0</v>
      </c>
      <c r="Q194" s="294" t="e">
        <f t="shared" si="12"/>
        <v>#DIV/0!</v>
      </c>
      <c r="R194" s="294" t="e">
        <f t="shared" si="13"/>
        <v>#DIV/0!</v>
      </c>
      <c r="S194" s="123">
        <f>Prem!H196</f>
        <v>0</v>
      </c>
      <c r="T194" s="280">
        <f>S!H200</f>
        <v>0</v>
      </c>
      <c r="U194" s="273">
        <f>B!H195</f>
        <v>0</v>
      </c>
      <c r="V194" s="273">
        <f>Zn!G196</f>
        <v>0</v>
      </c>
      <c r="W194" s="273">
        <f>Cu!G196</f>
        <v>0</v>
      </c>
      <c r="X194" s="273">
        <f>Mn!G196</f>
        <v>0</v>
      </c>
      <c r="Y194" s="273">
        <f>Fe!G196</f>
        <v>0</v>
      </c>
      <c r="Z194" s="273">
        <f>M.O!H196</f>
        <v>0</v>
      </c>
      <c r="AA194" s="273" t="e">
        <f t="shared" si="14"/>
        <v>#DIV/0!</v>
      </c>
      <c r="AB194" s="273" t="e">
        <f t="shared" si="15"/>
        <v>#DIV/0!</v>
      </c>
      <c r="AC194" s="273" t="e">
        <f t="shared" si="16"/>
        <v>#DIV/0!</v>
      </c>
    </row>
    <row r="195" spans="1:29" x14ac:dyDescent="0.2">
      <c r="A195" s="106">
        <f>Cadastro!A199</f>
        <v>0</v>
      </c>
      <c r="B195" s="27">
        <f>Cadastro!E197</f>
        <v>0</v>
      </c>
      <c r="C195" s="123">
        <f>pH_água!C195</f>
        <v>6.42</v>
      </c>
      <c r="D195" s="123">
        <f>pH_KCl!B196</f>
        <v>0</v>
      </c>
      <c r="E195" s="123">
        <f>'pH CaCl2'!C195</f>
        <v>0</v>
      </c>
      <c r="F195" s="123">
        <f>P_Mehlich1!H180</f>
        <v>0</v>
      </c>
      <c r="G195" s="123">
        <f>P_resina!H200</f>
        <v>0</v>
      </c>
      <c r="H195" s="273">
        <f>K!G165</f>
        <v>0</v>
      </c>
      <c r="I195" s="284">
        <v>0</v>
      </c>
      <c r="J195" s="273">
        <f>'Ca2+'!G196</f>
        <v>0</v>
      </c>
      <c r="K195" s="273">
        <f>Mg²!G198</f>
        <v>0</v>
      </c>
      <c r="L195" s="280">
        <f>Al³!C197</f>
        <v>0</v>
      </c>
      <c r="M195" s="280">
        <f>'H + Al'!D197</f>
        <v>0</v>
      </c>
      <c r="N195" s="273">
        <f t="shared" si="9"/>
        <v>0</v>
      </c>
      <c r="O195" s="273">
        <f t="shared" si="10"/>
        <v>0</v>
      </c>
      <c r="P195" s="273">
        <f t="shared" si="11"/>
        <v>0</v>
      </c>
      <c r="Q195" s="294" t="e">
        <f t="shared" si="12"/>
        <v>#DIV/0!</v>
      </c>
      <c r="R195" s="294" t="e">
        <f t="shared" si="13"/>
        <v>#DIV/0!</v>
      </c>
      <c r="S195" s="123">
        <f>Prem!H197</f>
        <v>0</v>
      </c>
      <c r="T195" s="280">
        <f>S!H201</f>
        <v>0</v>
      </c>
      <c r="U195" s="273">
        <f>B!H196</f>
        <v>0</v>
      </c>
      <c r="V195" s="273">
        <f>Zn!G197</f>
        <v>0</v>
      </c>
      <c r="W195" s="273">
        <f>Cu!G197</f>
        <v>0</v>
      </c>
      <c r="X195" s="273">
        <f>Mn!G197</f>
        <v>0</v>
      </c>
      <c r="Y195" s="273">
        <f>Fe!G197</f>
        <v>0</v>
      </c>
      <c r="Z195" s="273">
        <f>M.O!H197</f>
        <v>0</v>
      </c>
      <c r="AA195" s="273" t="e">
        <f t="shared" si="14"/>
        <v>#DIV/0!</v>
      </c>
      <c r="AB195" s="273" t="e">
        <f t="shared" si="15"/>
        <v>#DIV/0!</v>
      </c>
      <c r="AC195" s="273" t="e">
        <f t="shared" si="16"/>
        <v>#DIV/0!</v>
      </c>
    </row>
    <row r="196" spans="1:29" x14ac:dyDescent="0.2">
      <c r="A196" s="106">
        <f>Cadastro!A200</f>
        <v>0</v>
      </c>
      <c r="B196" s="27">
        <f>Cadastro!E198</f>
        <v>0</v>
      </c>
      <c r="C196" s="123">
        <f>pH_água!C196</f>
        <v>6.42</v>
      </c>
      <c r="D196" s="123">
        <f>pH_KCl!B197</f>
        <v>0</v>
      </c>
      <c r="E196" s="123">
        <f>'pH CaCl2'!C196</f>
        <v>0</v>
      </c>
      <c r="F196" s="123">
        <f>P_Mehlich1!H181</f>
        <v>0</v>
      </c>
      <c r="G196" s="123">
        <f>P_resina!H201</f>
        <v>0</v>
      </c>
      <c r="H196" s="273">
        <f>K!G166</f>
        <v>0</v>
      </c>
      <c r="I196" s="284">
        <v>0</v>
      </c>
      <c r="J196" s="273">
        <f>'Ca2+'!G197</f>
        <v>0</v>
      </c>
      <c r="K196" s="273">
        <f>Mg²!G199</f>
        <v>0</v>
      </c>
      <c r="L196" s="280">
        <f>Al³!C198</f>
        <v>0</v>
      </c>
      <c r="M196" s="280">
        <f>'H + Al'!D198</f>
        <v>0</v>
      </c>
      <c r="N196" s="273">
        <f t="shared" si="9"/>
        <v>0</v>
      </c>
      <c r="O196" s="273">
        <f t="shared" si="10"/>
        <v>0</v>
      </c>
      <c r="P196" s="273">
        <f t="shared" si="11"/>
        <v>0</v>
      </c>
      <c r="Q196" s="294" t="e">
        <f t="shared" si="12"/>
        <v>#DIV/0!</v>
      </c>
      <c r="R196" s="294" t="e">
        <f t="shared" si="13"/>
        <v>#DIV/0!</v>
      </c>
      <c r="S196" s="123">
        <f>Prem!H198</f>
        <v>0</v>
      </c>
      <c r="T196" s="280">
        <f>S!H202</f>
        <v>0</v>
      </c>
      <c r="U196" s="273">
        <f>B!H197</f>
        <v>0</v>
      </c>
      <c r="V196" s="273">
        <f>Zn!G198</f>
        <v>0</v>
      </c>
      <c r="W196" s="273">
        <f>Cu!G198</f>
        <v>0</v>
      </c>
      <c r="X196" s="273">
        <f>Mn!G198</f>
        <v>0</v>
      </c>
      <c r="Y196" s="273">
        <f>Fe!G198</f>
        <v>0</v>
      </c>
      <c r="Z196" s="273">
        <f>M.O!H198</f>
        <v>0</v>
      </c>
      <c r="AA196" s="273" t="e">
        <f t="shared" si="14"/>
        <v>#DIV/0!</v>
      </c>
      <c r="AB196" s="273" t="e">
        <f t="shared" si="15"/>
        <v>#DIV/0!</v>
      </c>
      <c r="AC196" s="273" t="e">
        <f t="shared" si="16"/>
        <v>#DIV/0!</v>
      </c>
    </row>
    <row r="197" spans="1:29" x14ac:dyDescent="0.2">
      <c r="A197" s="106">
        <f>Cadastro!A201</f>
        <v>0</v>
      </c>
      <c r="B197" s="27">
        <f>Cadastro!E199</f>
        <v>0</v>
      </c>
      <c r="C197" s="123">
        <f>pH_água!C197</f>
        <v>6.42</v>
      </c>
      <c r="D197" s="123">
        <f>pH_KCl!B198</f>
        <v>0</v>
      </c>
      <c r="E197" s="123">
        <f>'pH CaCl2'!C197</f>
        <v>0</v>
      </c>
      <c r="F197" s="123">
        <f>P_Mehlich1!H182</f>
        <v>0</v>
      </c>
      <c r="G197" s="123">
        <f>P_resina!H202</f>
        <v>0</v>
      </c>
      <c r="H197" s="273">
        <f>K!G167</f>
        <v>0</v>
      </c>
      <c r="I197" s="284">
        <v>0</v>
      </c>
      <c r="J197" s="273">
        <f>'Ca2+'!G198</f>
        <v>0</v>
      </c>
      <c r="K197" s="273">
        <f>Mg²!G200</f>
        <v>0</v>
      </c>
      <c r="L197" s="280">
        <f>Al³!C199</f>
        <v>0</v>
      </c>
      <c r="M197" s="280">
        <f>'H + Al'!D199</f>
        <v>0</v>
      </c>
      <c r="N197" s="273">
        <f t="shared" si="9"/>
        <v>0</v>
      </c>
      <c r="O197" s="273">
        <f t="shared" si="10"/>
        <v>0</v>
      </c>
      <c r="P197" s="273">
        <f t="shared" si="11"/>
        <v>0</v>
      </c>
      <c r="Q197" s="294" t="e">
        <f t="shared" si="12"/>
        <v>#DIV/0!</v>
      </c>
      <c r="R197" s="294" t="e">
        <f t="shared" si="13"/>
        <v>#DIV/0!</v>
      </c>
      <c r="S197" s="123">
        <f>Prem!H199</f>
        <v>0</v>
      </c>
      <c r="T197" s="280">
        <f>S!H203</f>
        <v>0</v>
      </c>
      <c r="U197" s="273">
        <f>B!H198</f>
        <v>0</v>
      </c>
      <c r="V197" s="273">
        <f>Zn!G199</f>
        <v>0</v>
      </c>
      <c r="W197" s="273">
        <f>Cu!G199</f>
        <v>0</v>
      </c>
      <c r="X197" s="273">
        <f>Mn!G199</f>
        <v>0</v>
      </c>
      <c r="Y197" s="273">
        <f>Fe!G199</f>
        <v>0</v>
      </c>
      <c r="Z197" s="273">
        <f>M.O!H199</f>
        <v>0</v>
      </c>
      <c r="AA197" s="273" t="e">
        <f t="shared" si="14"/>
        <v>#DIV/0!</v>
      </c>
      <c r="AB197" s="273" t="e">
        <f t="shared" si="15"/>
        <v>#DIV/0!</v>
      </c>
      <c r="AC197" s="273" t="e">
        <f t="shared" si="16"/>
        <v>#DIV/0!</v>
      </c>
    </row>
    <row r="198" spans="1:29" x14ac:dyDescent="0.2">
      <c r="A198" s="106">
        <f>Cadastro!A202</f>
        <v>0</v>
      </c>
      <c r="B198" s="27">
        <f>Cadastro!E200</f>
        <v>0</v>
      </c>
      <c r="C198" s="123">
        <f>pH_água!C198</f>
        <v>6.42</v>
      </c>
      <c r="D198" s="123">
        <f>pH_KCl!B199</f>
        <v>0</v>
      </c>
      <c r="E198" s="123">
        <f>'pH CaCl2'!C198</f>
        <v>0</v>
      </c>
      <c r="F198" s="123">
        <f>P_Mehlich1!H183</f>
        <v>0</v>
      </c>
      <c r="G198" s="123">
        <f>P_resina!H203</f>
        <v>0</v>
      </c>
      <c r="H198" s="273">
        <f>K!G168</f>
        <v>0</v>
      </c>
      <c r="I198" s="284">
        <v>0</v>
      </c>
      <c r="J198" s="273">
        <f>'Ca2+'!G199</f>
        <v>0</v>
      </c>
      <c r="K198" s="273">
        <f>Mg²!G201</f>
        <v>0</v>
      </c>
      <c r="L198" s="280">
        <f>Al³!C200</f>
        <v>0</v>
      </c>
      <c r="M198" s="280">
        <f>'H + Al'!D200</f>
        <v>0</v>
      </c>
      <c r="N198" s="273">
        <f t="shared" si="9"/>
        <v>0</v>
      </c>
      <c r="O198" s="273">
        <f t="shared" si="10"/>
        <v>0</v>
      </c>
      <c r="P198" s="273">
        <f t="shared" si="11"/>
        <v>0</v>
      </c>
      <c r="Q198" s="294" t="e">
        <f t="shared" si="12"/>
        <v>#DIV/0!</v>
      </c>
      <c r="R198" s="294" t="e">
        <f t="shared" si="13"/>
        <v>#DIV/0!</v>
      </c>
      <c r="S198" s="123">
        <f>Prem!H200</f>
        <v>0</v>
      </c>
      <c r="T198" s="280">
        <f>S!H204</f>
        <v>0</v>
      </c>
      <c r="U198" s="273">
        <f>B!H199</f>
        <v>0</v>
      </c>
      <c r="V198" s="273">
        <f>Zn!G200</f>
        <v>0</v>
      </c>
      <c r="W198" s="273">
        <f>Cu!G200</f>
        <v>0</v>
      </c>
      <c r="X198" s="273">
        <f>Mn!G200</f>
        <v>0</v>
      </c>
      <c r="Y198" s="273">
        <f>Fe!G200</f>
        <v>0</v>
      </c>
      <c r="Z198" s="273">
        <f>M.O!H200</f>
        <v>0</v>
      </c>
      <c r="AA198" s="273" t="e">
        <f t="shared" si="14"/>
        <v>#DIV/0!</v>
      </c>
      <c r="AB198" s="273" t="e">
        <f t="shared" si="15"/>
        <v>#DIV/0!</v>
      </c>
      <c r="AC198" s="273" t="e">
        <f t="shared" si="16"/>
        <v>#DIV/0!</v>
      </c>
    </row>
    <row r="199" spans="1:29" x14ac:dyDescent="0.2">
      <c r="A199" s="106">
        <f>Cadastro!A203</f>
        <v>0</v>
      </c>
      <c r="B199" s="27">
        <f>Cadastro!E201</f>
        <v>0</v>
      </c>
      <c r="C199" s="123">
        <f>pH_água!C199</f>
        <v>6.42</v>
      </c>
      <c r="D199" s="123">
        <f>pH_KCl!B200</f>
        <v>0</v>
      </c>
      <c r="E199" s="123">
        <f>'pH CaCl2'!C199</f>
        <v>0</v>
      </c>
      <c r="F199" s="123">
        <f>P_Mehlich1!H184</f>
        <v>0</v>
      </c>
      <c r="G199" s="123">
        <f>P_resina!H204</f>
        <v>0</v>
      </c>
      <c r="H199" s="273">
        <f>K!G169</f>
        <v>0</v>
      </c>
      <c r="I199" s="284">
        <v>0</v>
      </c>
      <c r="J199" s="273">
        <f>'Ca2+'!G200</f>
        <v>0</v>
      </c>
      <c r="K199" s="273">
        <f>Mg²!G202</f>
        <v>0</v>
      </c>
      <c r="L199" s="280">
        <f>Al³!C201</f>
        <v>0</v>
      </c>
      <c r="M199" s="280">
        <f>'H + Al'!D201</f>
        <v>0</v>
      </c>
      <c r="N199" s="273">
        <f t="shared" si="9"/>
        <v>0</v>
      </c>
      <c r="O199" s="273">
        <f t="shared" si="10"/>
        <v>0</v>
      </c>
      <c r="P199" s="273">
        <f t="shared" si="11"/>
        <v>0</v>
      </c>
      <c r="Q199" s="294" t="e">
        <f t="shared" si="12"/>
        <v>#DIV/0!</v>
      </c>
      <c r="R199" s="294" t="e">
        <f t="shared" si="13"/>
        <v>#DIV/0!</v>
      </c>
      <c r="S199" s="123">
        <f>Prem!H201</f>
        <v>0</v>
      </c>
      <c r="T199" s="280">
        <f>S!H205</f>
        <v>0</v>
      </c>
      <c r="U199" s="273">
        <f>B!H200</f>
        <v>0</v>
      </c>
      <c r="V199" s="273">
        <f>Zn!G201</f>
        <v>0</v>
      </c>
      <c r="W199" s="273">
        <f>Cu!G201</f>
        <v>0</v>
      </c>
      <c r="X199" s="273">
        <f>Mn!G201</f>
        <v>0</v>
      </c>
      <c r="Y199" s="273">
        <f>Fe!G201</f>
        <v>0</v>
      </c>
      <c r="Z199" s="273">
        <f>M.O!H201</f>
        <v>0</v>
      </c>
      <c r="AA199" s="273" t="e">
        <f t="shared" si="14"/>
        <v>#DIV/0!</v>
      </c>
      <c r="AB199" s="273" t="e">
        <f t="shared" si="15"/>
        <v>#DIV/0!</v>
      </c>
      <c r="AC199" s="273" t="e">
        <f t="shared" si="16"/>
        <v>#DIV/0!</v>
      </c>
    </row>
    <row r="200" spans="1:29" x14ac:dyDescent="0.2">
      <c r="A200" s="106">
        <f>Cadastro!A204</f>
        <v>0</v>
      </c>
      <c r="B200" s="27">
        <f>Cadastro!E202</f>
        <v>0</v>
      </c>
      <c r="C200" s="123">
        <f>pH_água!C200</f>
        <v>6.42</v>
      </c>
      <c r="D200" s="123">
        <f>pH_KCl!B201</f>
        <v>0</v>
      </c>
      <c r="E200" s="123">
        <f>'pH CaCl2'!C200</f>
        <v>0</v>
      </c>
      <c r="F200" s="123">
        <f>P_Mehlich1!H185</f>
        <v>0</v>
      </c>
      <c r="G200" s="123">
        <f>P_resina!H205</f>
        <v>0</v>
      </c>
      <c r="H200" s="273">
        <f>K!G170</f>
        <v>0</v>
      </c>
      <c r="I200" s="284">
        <v>0</v>
      </c>
      <c r="J200" s="273">
        <f>'Ca2+'!G201</f>
        <v>0</v>
      </c>
      <c r="K200" s="273">
        <f>Mg²!G203</f>
        <v>0</v>
      </c>
      <c r="L200" s="280">
        <f>Al³!C202</f>
        <v>0</v>
      </c>
      <c r="M200" s="280">
        <f>'H + Al'!D202</f>
        <v>0</v>
      </c>
      <c r="N200" s="273">
        <f t="shared" si="9"/>
        <v>0</v>
      </c>
      <c r="O200" s="273">
        <f t="shared" si="10"/>
        <v>0</v>
      </c>
      <c r="P200" s="273">
        <f t="shared" si="11"/>
        <v>0</v>
      </c>
      <c r="Q200" s="294" t="e">
        <f t="shared" si="12"/>
        <v>#DIV/0!</v>
      </c>
      <c r="R200" s="294" t="e">
        <f t="shared" si="13"/>
        <v>#DIV/0!</v>
      </c>
      <c r="S200" s="123">
        <f>Prem!H202</f>
        <v>0</v>
      </c>
      <c r="T200" s="280">
        <f>S!H206</f>
        <v>0</v>
      </c>
      <c r="U200" s="273">
        <f>B!H201</f>
        <v>0</v>
      </c>
      <c r="V200" s="273">
        <f>Zn!G202</f>
        <v>0</v>
      </c>
      <c r="W200" s="273">
        <f>Cu!G202</f>
        <v>0</v>
      </c>
      <c r="X200" s="273">
        <f>Mn!G202</f>
        <v>0</v>
      </c>
      <c r="Y200" s="273">
        <f>Fe!G202</f>
        <v>0</v>
      </c>
      <c r="Z200" s="273">
        <f>M.O!H202</f>
        <v>0</v>
      </c>
      <c r="AA200" s="273" t="e">
        <f t="shared" si="14"/>
        <v>#DIV/0!</v>
      </c>
      <c r="AB200" s="273" t="e">
        <f t="shared" si="15"/>
        <v>#DIV/0!</v>
      </c>
      <c r="AC200" s="273" t="e">
        <f t="shared" si="16"/>
        <v>#DIV/0!</v>
      </c>
    </row>
    <row r="201" spans="1:29" x14ac:dyDescent="0.2">
      <c r="A201" s="106">
        <f>Cadastro!A205</f>
        <v>0</v>
      </c>
      <c r="B201" s="27">
        <f>Cadastro!E203</f>
        <v>0</v>
      </c>
      <c r="C201" s="123">
        <f>pH_água!C201</f>
        <v>6.42</v>
      </c>
      <c r="D201" s="123">
        <f>pH_KCl!B202</f>
        <v>0</v>
      </c>
      <c r="E201" s="123">
        <f>'pH CaCl2'!C201</f>
        <v>0</v>
      </c>
      <c r="F201" s="123">
        <f>P_Mehlich1!H186</f>
        <v>0</v>
      </c>
      <c r="G201" s="123">
        <f>P_resina!H206</f>
        <v>0</v>
      </c>
      <c r="H201" s="273">
        <f>K!G171</f>
        <v>0</v>
      </c>
      <c r="I201" s="284">
        <v>0</v>
      </c>
      <c r="J201" s="273">
        <f>'Ca2+'!G202</f>
        <v>0</v>
      </c>
      <c r="K201" s="273">
        <f>Mg²!G204</f>
        <v>0</v>
      </c>
      <c r="L201" s="280">
        <f>Al³!C203</f>
        <v>0</v>
      </c>
      <c r="M201" s="280">
        <f>'H + Al'!D203</f>
        <v>0</v>
      </c>
      <c r="N201" s="273">
        <f t="shared" si="9"/>
        <v>0</v>
      </c>
      <c r="O201" s="273">
        <f t="shared" si="10"/>
        <v>0</v>
      </c>
      <c r="P201" s="273">
        <f t="shared" si="11"/>
        <v>0</v>
      </c>
      <c r="Q201" s="294" t="e">
        <f t="shared" si="12"/>
        <v>#DIV/0!</v>
      </c>
      <c r="R201" s="294" t="e">
        <f t="shared" si="13"/>
        <v>#DIV/0!</v>
      </c>
      <c r="S201" s="123">
        <f>Prem!H203</f>
        <v>0</v>
      </c>
      <c r="T201" s="280">
        <f>S!H207</f>
        <v>0</v>
      </c>
      <c r="U201" s="273">
        <f>B!H202</f>
        <v>0</v>
      </c>
      <c r="V201" s="273">
        <f>Zn!G203</f>
        <v>0</v>
      </c>
      <c r="W201" s="273">
        <f>Cu!G203</f>
        <v>0</v>
      </c>
      <c r="X201" s="273">
        <f>Mn!G203</f>
        <v>0</v>
      </c>
      <c r="Y201" s="273">
        <f>Fe!G203</f>
        <v>0</v>
      </c>
      <c r="Z201" s="273">
        <f>M.O!H203</f>
        <v>0</v>
      </c>
      <c r="AA201" s="273" t="e">
        <f t="shared" si="14"/>
        <v>#DIV/0!</v>
      </c>
      <c r="AB201" s="273" t="e">
        <f t="shared" si="15"/>
        <v>#DIV/0!</v>
      </c>
      <c r="AC201" s="273" t="e">
        <f t="shared" si="16"/>
        <v>#DIV/0!</v>
      </c>
    </row>
    <row r="202" spans="1:29" x14ac:dyDescent="0.2">
      <c r="A202" s="106">
        <f>Cadastro!A206</f>
        <v>0</v>
      </c>
      <c r="B202" s="27">
        <f>Cadastro!E204</f>
        <v>0</v>
      </c>
      <c r="C202" s="123">
        <f>pH_água!C202</f>
        <v>6.42</v>
      </c>
      <c r="D202" s="123">
        <f>pH_KCl!B203</f>
        <v>0</v>
      </c>
      <c r="E202" s="123">
        <f>'pH CaCl2'!C202</f>
        <v>0</v>
      </c>
      <c r="F202" s="123">
        <f>P_Mehlich1!H187</f>
        <v>0</v>
      </c>
      <c r="G202" s="123">
        <f>P_resina!H207</f>
        <v>0</v>
      </c>
      <c r="H202" s="273">
        <f>K!G172</f>
        <v>0</v>
      </c>
      <c r="I202" s="284">
        <v>0</v>
      </c>
      <c r="J202" s="273">
        <f>'Ca2+'!G203</f>
        <v>0</v>
      </c>
      <c r="K202" s="273">
        <f>Mg²!G205</f>
        <v>0</v>
      </c>
      <c r="L202" s="280">
        <f>Al³!C204</f>
        <v>0</v>
      </c>
      <c r="M202" s="280">
        <f>'H + Al'!D204</f>
        <v>0</v>
      </c>
      <c r="N202" s="273">
        <f t="shared" si="9"/>
        <v>0</v>
      </c>
      <c r="O202" s="273">
        <f t="shared" si="10"/>
        <v>0</v>
      </c>
      <c r="P202" s="273">
        <f t="shared" si="11"/>
        <v>0</v>
      </c>
      <c r="Q202" s="294" t="e">
        <f t="shared" si="12"/>
        <v>#DIV/0!</v>
      </c>
      <c r="R202" s="294" t="e">
        <f t="shared" si="13"/>
        <v>#DIV/0!</v>
      </c>
      <c r="S202" s="123">
        <f>Prem!H204</f>
        <v>0</v>
      </c>
      <c r="T202" s="280">
        <f>S!H208</f>
        <v>0</v>
      </c>
      <c r="U202" s="273">
        <f>B!H203</f>
        <v>0</v>
      </c>
      <c r="V202" s="273">
        <f>Zn!G204</f>
        <v>0</v>
      </c>
      <c r="W202" s="273">
        <f>Cu!G204</f>
        <v>0</v>
      </c>
      <c r="X202" s="273">
        <f>Mn!G204</f>
        <v>0</v>
      </c>
      <c r="Y202" s="273">
        <f>Fe!G204</f>
        <v>0</v>
      </c>
      <c r="Z202" s="273">
        <f>M.O!H204</f>
        <v>0</v>
      </c>
      <c r="AA202" s="273" t="e">
        <f t="shared" si="14"/>
        <v>#DIV/0!</v>
      </c>
      <c r="AB202" s="273" t="e">
        <f t="shared" si="15"/>
        <v>#DIV/0!</v>
      </c>
      <c r="AC202" s="273" t="e">
        <f t="shared" si="16"/>
        <v>#DIV/0!</v>
      </c>
    </row>
    <row r="203" spans="1:29" x14ac:dyDescent="0.2">
      <c r="A203" s="106">
        <f>Cadastro!A207</f>
        <v>0</v>
      </c>
      <c r="B203" s="27">
        <f>Cadastro!E205</f>
        <v>0</v>
      </c>
      <c r="C203" s="123">
        <f>pH_água!C203</f>
        <v>6.42</v>
      </c>
      <c r="D203" s="123">
        <f>pH_KCl!B204</f>
        <v>0</v>
      </c>
      <c r="E203" s="123">
        <f>'pH CaCl2'!C203</f>
        <v>0</v>
      </c>
      <c r="F203" s="123">
        <f>P_Mehlich1!H188</f>
        <v>0</v>
      </c>
      <c r="G203" s="123">
        <f>P_resina!H208</f>
        <v>0</v>
      </c>
      <c r="H203" s="273">
        <f>K!G173</f>
        <v>0</v>
      </c>
      <c r="I203" s="284">
        <v>0</v>
      </c>
      <c r="J203" s="273">
        <f>'Ca2+'!G204</f>
        <v>0</v>
      </c>
      <c r="K203" s="273">
        <f>Mg²!G206</f>
        <v>0</v>
      </c>
      <c r="L203" s="280">
        <f>Al³!C205</f>
        <v>0</v>
      </c>
      <c r="M203" s="280">
        <f>'H + Al'!D205</f>
        <v>0</v>
      </c>
      <c r="N203" s="273">
        <f t="shared" si="9"/>
        <v>0</v>
      </c>
      <c r="O203" s="273">
        <f t="shared" si="10"/>
        <v>0</v>
      </c>
      <c r="P203" s="273">
        <f t="shared" si="11"/>
        <v>0</v>
      </c>
      <c r="Q203" s="294" t="e">
        <f t="shared" si="12"/>
        <v>#DIV/0!</v>
      </c>
      <c r="R203" s="294" t="e">
        <f t="shared" si="13"/>
        <v>#DIV/0!</v>
      </c>
      <c r="S203" s="123">
        <f>Prem!H205</f>
        <v>0</v>
      </c>
      <c r="T203" s="280">
        <f>S!H209</f>
        <v>0</v>
      </c>
      <c r="U203" s="273">
        <f>B!H204</f>
        <v>0</v>
      </c>
      <c r="V203" s="273">
        <f>Zn!G205</f>
        <v>0</v>
      </c>
      <c r="W203" s="273">
        <f>Cu!G205</f>
        <v>0</v>
      </c>
      <c r="X203" s="273">
        <f>Mn!G205</f>
        <v>0</v>
      </c>
      <c r="Y203" s="273">
        <f>Fe!G205</f>
        <v>0</v>
      </c>
      <c r="Z203" s="273">
        <f>M.O!H205</f>
        <v>0</v>
      </c>
      <c r="AA203" s="273" t="e">
        <f t="shared" si="14"/>
        <v>#DIV/0!</v>
      </c>
      <c r="AB203" s="273" t="e">
        <f t="shared" si="15"/>
        <v>#DIV/0!</v>
      </c>
      <c r="AC203" s="273" t="e">
        <f t="shared" si="16"/>
        <v>#DIV/0!</v>
      </c>
    </row>
    <row r="204" spans="1:29" x14ac:dyDescent="0.2">
      <c r="A204" s="106">
        <f>Cadastro!A208</f>
        <v>0</v>
      </c>
      <c r="B204" s="27">
        <f>Cadastro!E206</f>
        <v>0</v>
      </c>
      <c r="C204" s="123">
        <f>pH_água!C204</f>
        <v>6.42</v>
      </c>
      <c r="D204" s="123">
        <f>pH_KCl!B205</f>
        <v>0</v>
      </c>
      <c r="E204" s="123">
        <f>'pH CaCl2'!C204</f>
        <v>0</v>
      </c>
      <c r="F204" s="123">
        <f>P_Mehlich1!H189</f>
        <v>0</v>
      </c>
      <c r="G204" s="123">
        <f>P_resina!H209</f>
        <v>0</v>
      </c>
      <c r="H204" s="273">
        <f>K!G174</f>
        <v>0</v>
      </c>
      <c r="I204" s="284">
        <v>0</v>
      </c>
      <c r="J204" s="273">
        <f>'Ca2+'!G205</f>
        <v>0</v>
      </c>
      <c r="K204" s="273">
        <f>Mg²!G207</f>
        <v>0</v>
      </c>
      <c r="L204" s="280">
        <f>Al³!C206</f>
        <v>0</v>
      </c>
      <c r="M204" s="280">
        <f>'H + Al'!D206</f>
        <v>0</v>
      </c>
      <c r="N204" s="273">
        <f t="shared" si="9"/>
        <v>0</v>
      </c>
      <c r="O204" s="273">
        <f t="shared" si="10"/>
        <v>0</v>
      </c>
      <c r="P204" s="273">
        <f t="shared" si="11"/>
        <v>0</v>
      </c>
      <c r="Q204" s="294" t="e">
        <f t="shared" si="12"/>
        <v>#DIV/0!</v>
      </c>
      <c r="R204" s="294" t="e">
        <f t="shared" si="13"/>
        <v>#DIV/0!</v>
      </c>
      <c r="S204" s="123">
        <f>Prem!H206</f>
        <v>0</v>
      </c>
      <c r="T204" s="280">
        <f>S!H210</f>
        <v>0</v>
      </c>
      <c r="U204" s="273">
        <f>B!H205</f>
        <v>0</v>
      </c>
      <c r="V204" s="273">
        <f>Zn!G206</f>
        <v>0</v>
      </c>
      <c r="W204" s="273">
        <f>Cu!G206</f>
        <v>0</v>
      </c>
      <c r="X204" s="273">
        <f>Mn!G206</f>
        <v>0</v>
      </c>
      <c r="Y204" s="273">
        <f>Fe!G206</f>
        <v>0</v>
      </c>
      <c r="Z204" s="273">
        <f>M.O!H206</f>
        <v>0</v>
      </c>
      <c r="AA204" s="273" t="e">
        <f t="shared" si="14"/>
        <v>#DIV/0!</v>
      </c>
      <c r="AB204" s="273" t="e">
        <f t="shared" si="15"/>
        <v>#DIV/0!</v>
      </c>
      <c r="AC204" s="273" t="e">
        <f t="shared" si="16"/>
        <v>#DIV/0!</v>
      </c>
    </row>
    <row r="205" spans="1:29" x14ac:dyDescent="0.2">
      <c r="A205" s="106">
        <f>Cadastro!A209</f>
        <v>0</v>
      </c>
      <c r="B205" s="27">
        <f>Cadastro!E207</f>
        <v>0</v>
      </c>
      <c r="C205" s="123">
        <f>pH_água!C205</f>
        <v>6.42</v>
      </c>
      <c r="D205" s="123">
        <f>pH_KCl!B206</f>
        <v>0</v>
      </c>
      <c r="E205" s="123">
        <f>'pH CaCl2'!C205</f>
        <v>0</v>
      </c>
      <c r="F205" s="123">
        <f>P_Mehlich1!H190</f>
        <v>0</v>
      </c>
      <c r="G205" s="123">
        <f>P_resina!H210</f>
        <v>0</v>
      </c>
      <c r="H205" s="273">
        <f>K!G175</f>
        <v>0</v>
      </c>
      <c r="I205" s="284">
        <v>0</v>
      </c>
      <c r="J205" s="273">
        <f>'Ca2+'!G206</f>
        <v>0</v>
      </c>
      <c r="K205" s="273">
        <f>Mg²!G208</f>
        <v>0</v>
      </c>
      <c r="L205" s="280">
        <f>Al³!C207</f>
        <v>0</v>
      </c>
      <c r="M205" s="280">
        <f>'H + Al'!D207</f>
        <v>0</v>
      </c>
      <c r="N205" s="273">
        <f t="shared" si="9"/>
        <v>0</v>
      </c>
      <c r="O205" s="273">
        <f t="shared" si="10"/>
        <v>0</v>
      </c>
      <c r="P205" s="273">
        <f t="shared" si="11"/>
        <v>0</v>
      </c>
      <c r="Q205" s="294" t="e">
        <f t="shared" si="12"/>
        <v>#DIV/0!</v>
      </c>
      <c r="R205" s="294" t="e">
        <f t="shared" si="13"/>
        <v>#DIV/0!</v>
      </c>
      <c r="S205" s="123">
        <f>Prem!H207</f>
        <v>0</v>
      </c>
      <c r="T205" s="280">
        <f>S!H211</f>
        <v>0</v>
      </c>
      <c r="U205" s="273">
        <f>B!H206</f>
        <v>0</v>
      </c>
      <c r="V205" s="273">
        <f>Zn!G207</f>
        <v>0</v>
      </c>
      <c r="W205" s="273">
        <f>Cu!G207</f>
        <v>0</v>
      </c>
      <c r="X205" s="273">
        <f>Mn!G207</f>
        <v>0</v>
      </c>
      <c r="Y205" s="273">
        <f>Fe!G207</f>
        <v>0</v>
      </c>
      <c r="Z205" s="273">
        <f>M.O!H207</f>
        <v>0</v>
      </c>
      <c r="AA205" s="273" t="e">
        <f t="shared" si="14"/>
        <v>#DIV/0!</v>
      </c>
      <c r="AB205" s="273" t="e">
        <f t="shared" si="15"/>
        <v>#DIV/0!</v>
      </c>
      <c r="AC205" s="273" t="e">
        <f t="shared" si="16"/>
        <v>#DIV/0!</v>
      </c>
    </row>
    <row r="206" spans="1:29" x14ac:dyDescent="0.2">
      <c r="A206" s="106">
        <f>Cadastro!A210</f>
        <v>0</v>
      </c>
      <c r="B206" s="27">
        <f>Cadastro!E208</f>
        <v>0</v>
      </c>
      <c r="C206" s="123">
        <f>pH_água!C206</f>
        <v>6.42</v>
      </c>
      <c r="D206" s="123">
        <f>pH_KCl!B207</f>
        <v>0</v>
      </c>
      <c r="E206" s="123">
        <f>'pH CaCl2'!C206</f>
        <v>0</v>
      </c>
      <c r="F206" s="123">
        <f>P_Mehlich1!H191</f>
        <v>0</v>
      </c>
      <c r="G206" s="123">
        <f>P_resina!H211</f>
        <v>0</v>
      </c>
      <c r="H206" s="273">
        <f>K!G176</f>
        <v>0</v>
      </c>
      <c r="I206" s="284">
        <v>0</v>
      </c>
      <c r="J206" s="273">
        <f>'Ca2+'!G207</f>
        <v>0</v>
      </c>
      <c r="K206" s="273">
        <f>Mg²!G209</f>
        <v>0</v>
      </c>
      <c r="L206" s="280">
        <f>Al³!C208</f>
        <v>0</v>
      </c>
      <c r="M206" s="280">
        <f>'H + Al'!D208</f>
        <v>0</v>
      </c>
      <c r="N206" s="273">
        <f t="shared" si="9"/>
        <v>0</v>
      </c>
      <c r="O206" s="273">
        <f t="shared" si="10"/>
        <v>0</v>
      </c>
      <c r="P206" s="273">
        <f t="shared" si="11"/>
        <v>0</v>
      </c>
      <c r="Q206" s="294" t="e">
        <f t="shared" si="12"/>
        <v>#DIV/0!</v>
      </c>
      <c r="R206" s="294" t="e">
        <f t="shared" si="13"/>
        <v>#DIV/0!</v>
      </c>
      <c r="S206" s="123">
        <f>Prem!H208</f>
        <v>0</v>
      </c>
      <c r="T206" s="280">
        <f>S!H212</f>
        <v>0</v>
      </c>
      <c r="U206" s="273">
        <f>B!H207</f>
        <v>0</v>
      </c>
      <c r="V206" s="273">
        <f>Zn!G208</f>
        <v>0</v>
      </c>
      <c r="W206" s="273">
        <f>Cu!G208</f>
        <v>0</v>
      </c>
      <c r="X206" s="273">
        <f>Mn!G208</f>
        <v>0</v>
      </c>
      <c r="Y206" s="273">
        <f>Fe!G208</f>
        <v>0</v>
      </c>
      <c r="Z206" s="273">
        <f>M.O!H208</f>
        <v>0</v>
      </c>
      <c r="AA206" s="273" t="e">
        <f t="shared" si="14"/>
        <v>#DIV/0!</v>
      </c>
      <c r="AB206" s="273" t="e">
        <f t="shared" si="15"/>
        <v>#DIV/0!</v>
      </c>
      <c r="AC206" s="273" t="e">
        <f t="shared" si="16"/>
        <v>#DIV/0!</v>
      </c>
    </row>
    <row r="207" spans="1:29" x14ac:dyDescent="0.2">
      <c r="A207" s="106">
        <f>Cadastro!A211</f>
        <v>0</v>
      </c>
      <c r="B207" s="27">
        <f>Cadastro!E209</f>
        <v>0</v>
      </c>
      <c r="C207" s="123">
        <f>pH_água!C207</f>
        <v>6.42</v>
      </c>
      <c r="D207" s="123">
        <f>pH_KCl!B208</f>
        <v>0</v>
      </c>
      <c r="E207" s="123">
        <f>'pH CaCl2'!C207</f>
        <v>0</v>
      </c>
      <c r="F207" s="123">
        <f>P_Mehlich1!H192</f>
        <v>0</v>
      </c>
      <c r="G207" s="123">
        <f>P_resina!H212</f>
        <v>0</v>
      </c>
      <c r="H207" s="273">
        <f>K!G177</f>
        <v>0</v>
      </c>
      <c r="I207" s="284">
        <v>0</v>
      </c>
      <c r="J207" s="273">
        <f>'Ca2+'!G208</f>
        <v>0</v>
      </c>
      <c r="K207" s="273">
        <f>Mg²!G210</f>
        <v>0</v>
      </c>
      <c r="L207" s="280">
        <f>Al³!C209</f>
        <v>0</v>
      </c>
      <c r="M207" s="280">
        <f>'H + Al'!D209</f>
        <v>0</v>
      </c>
      <c r="N207" s="273">
        <f t="shared" si="9"/>
        <v>0</v>
      </c>
      <c r="O207" s="273">
        <f t="shared" si="10"/>
        <v>0</v>
      </c>
      <c r="P207" s="273">
        <f t="shared" si="11"/>
        <v>0</v>
      </c>
      <c r="Q207" s="294" t="e">
        <f t="shared" si="12"/>
        <v>#DIV/0!</v>
      </c>
      <c r="R207" s="294" t="e">
        <f t="shared" si="13"/>
        <v>#DIV/0!</v>
      </c>
      <c r="S207" s="123">
        <f>Prem!H209</f>
        <v>0</v>
      </c>
      <c r="T207" s="280">
        <f>S!H213</f>
        <v>0</v>
      </c>
      <c r="U207" s="273">
        <f>B!H208</f>
        <v>0</v>
      </c>
      <c r="V207" s="273">
        <f>Zn!G209</f>
        <v>0</v>
      </c>
      <c r="W207" s="273">
        <f>Cu!G209</f>
        <v>0</v>
      </c>
      <c r="X207" s="273">
        <f>Mn!G209</f>
        <v>0</v>
      </c>
      <c r="Y207" s="273">
        <f>Fe!G209</f>
        <v>0</v>
      </c>
      <c r="Z207" s="273">
        <f>M.O!H209</f>
        <v>0</v>
      </c>
      <c r="AA207" s="273" t="e">
        <f t="shared" si="14"/>
        <v>#DIV/0!</v>
      </c>
      <c r="AB207" s="273" t="e">
        <f t="shared" si="15"/>
        <v>#DIV/0!</v>
      </c>
      <c r="AC207" s="273" t="e">
        <f t="shared" si="16"/>
        <v>#DIV/0!</v>
      </c>
    </row>
    <row r="208" spans="1:29" x14ac:dyDescent="0.2">
      <c r="A208" s="106">
        <f>Cadastro!A212</f>
        <v>0</v>
      </c>
      <c r="B208" s="27">
        <f>Cadastro!E210</f>
        <v>0</v>
      </c>
      <c r="C208" s="123">
        <f>pH_água!C208</f>
        <v>6.42</v>
      </c>
      <c r="D208" s="123">
        <f>pH_KCl!B209</f>
        <v>0</v>
      </c>
      <c r="E208" s="123">
        <f>'pH CaCl2'!C208</f>
        <v>0</v>
      </c>
      <c r="F208" s="123">
        <f>P_Mehlich1!H193</f>
        <v>0</v>
      </c>
      <c r="G208" s="123">
        <f>P_resina!H213</f>
        <v>0</v>
      </c>
      <c r="H208" s="273">
        <f>K!G178</f>
        <v>0</v>
      </c>
      <c r="I208" s="284">
        <v>0</v>
      </c>
      <c r="J208" s="273">
        <f>'Ca2+'!G209</f>
        <v>0</v>
      </c>
      <c r="K208" s="273">
        <f>Mg²!G211</f>
        <v>0</v>
      </c>
      <c r="L208" s="280">
        <f>Al³!C210</f>
        <v>0</v>
      </c>
      <c r="M208" s="280">
        <f>'H + Al'!D210</f>
        <v>0</v>
      </c>
      <c r="N208" s="273">
        <f t="shared" si="9"/>
        <v>0</v>
      </c>
      <c r="O208" s="273">
        <f t="shared" si="10"/>
        <v>0</v>
      </c>
      <c r="P208" s="273">
        <f t="shared" si="11"/>
        <v>0</v>
      </c>
      <c r="Q208" s="294" t="e">
        <f t="shared" si="12"/>
        <v>#DIV/0!</v>
      </c>
      <c r="R208" s="294" t="e">
        <f t="shared" si="13"/>
        <v>#DIV/0!</v>
      </c>
      <c r="S208" s="123">
        <f>Prem!H210</f>
        <v>0</v>
      </c>
      <c r="T208" s="280">
        <f>S!H214</f>
        <v>0</v>
      </c>
      <c r="U208" s="273">
        <f>B!H209</f>
        <v>0</v>
      </c>
      <c r="V208" s="273">
        <f>Zn!G210</f>
        <v>0</v>
      </c>
      <c r="W208" s="273">
        <f>Cu!G210</f>
        <v>0</v>
      </c>
      <c r="X208" s="273">
        <f>Mn!G210</f>
        <v>0</v>
      </c>
      <c r="Y208" s="273">
        <f>Fe!G210</f>
        <v>0</v>
      </c>
      <c r="Z208" s="273">
        <f>M.O!H210</f>
        <v>0</v>
      </c>
      <c r="AA208" s="273" t="e">
        <f t="shared" si="14"/>
        <v>#DIV/0!</v>
      </c>
      <c r="AB208" s="273" t="e">
        <f t="shared" si="15"/>
        <v>#DIV/0!</v>
      </c>
      <c r="AC208" s="273" t="e">
        <f t="shared" si="16"/>
        <v>#DIV/0!</v>
      </c>
    </row>
    <row r="209" spans="1:29" x14ac:dyDescent="0.2">
      <c r="A209" s="106">
        <f>Cadastro!A213</f>
        <v>0</v>
      </c>
      <c r="B209" s="27">
        <f>Cadastro!E211</f>
        <v>0</v>
      </c>
      <c r="C209" s="123">
        <f>pH_água!C209</f>
        <v>6.42</v>
      </c>
      <c r="D209" s="123">
        <f>pH_KCl!B210</f>
        <v>0</v>
      </c>
      <c r="E209" s="123">
        <f>'pH CaCl2'!C209</f>
        <v>0</v>
      </c>
      <c r="F209" s="123">
        <f>P_Mehlich1!H194</f>
        <v>0</v>
      </c>
      <c r="G209" s="123">
        <f>P_resina!H214</f>
        <v>0</v>
      </c>
      <c r="H209" s="273">
        <f>K!G179</f>
        <v>0</v>
      </c>
      <c r="I209" s="284">
        <v>0</v>
      </c>
      <c r="J209" s="273">
        <f>'Ca2+'!G210</f>
        <v>0</v>
      </c>
      <c r="K209" s="273">
        <f>Mg²!G212</f>
        <v>0</v>
      </c>
      <c r="L209" s="280">
        <f>Al³!C211</f>
        <v>0</v>
      </c>
      <c r="M209" s="280">
        <f>'H + Al'!D211</f>
        <v>0</v>
      </c>
      <c r="N209" s="273">
        <f t="shared" si="9"/>
        <v>0</v>
      </c>
      <c r="O209" s="273">
        <f t="shared" si="10"/>
        <v>0</v>
      </c>
      <c r="P209" s="273">
        <f t="shared" si="11"/>
        <v>0</v>
      </c>
      <c r="Q209" s="294" t="e">
        <f t="shared" si="12"/>
        <v>#DIV/0!</v>
      </c>
      <c r="R209" s="294" t="e">
        <f t="shared" si="13"/>
        <v>#DIV/0!</v>
      </c>
      <c r="S209" s="123">
        <f>Prem!H211</f>
        <v>0</v>
      </c>
      <c r="T209" s="280">
        <f>S!H215</f>
        <v>0</v>
      </c>
      <c r="U209" s="273">
        <f>B!H210</f>
        <v>0</v>
      </c>
      <c r="V209" s="273">
        <f>Zn!G211</f>
        <v>0</v>
      </c>
      <c r="W209" s="273">
        <f>Cu!G211</f>
        <v>0</v>
      </c>
      <c r="X209" s="273">
        <f>Mn!G211</f>
        <v>0</v>
      </c>
      <c r="Y209" s="273">
        <f>Fe!G211</f>
        <v>0</v>
      </c>
      <c r="Z209" s="273">
        <f>M.O!H211</f>
        <v>0</v>
      </c>
      <c r="AA209" s="273" t="e">
        <f t="shared" si="14"/>
        <v>#DIV/0!</v>
      </c>
      <c r="AB209" s="273" t="e">
        <f t="shared" si="15"/>
        <v>#DIV/0!</v>
      </c>
      <c r="AC209" s="273" t="e">
        <f t="shared" si="16"/>
        <v>#DIV/0!</v>
      </c>
    </row>
    <row r="210" spans="1:29" x14ac:dyDescent="0.2">
      <c r="A210" s="106">
        <f>Cadastro!A214</f>
        <v>0</v>
      </c>
      <c r="B210" s="27">
        <f>Cadastro!E212</f>
        <v>0</v>
      </c>
      <c r="C210" s="123">
        <f>pH_água!C210</f>
        <v>6.42</v>
      </c>
      <c r="D210" s="123">
        <f>pH_KCl!B211</f>
        <v>0</v>
      </c>
      <c r="E210" s="123">
        <f>'pH CaCl2'!C210</f>
        <v>0</v>
      </c>
      <c r="F210" s="123">
        <f>P_Mehlich1!H195</f>
        <v>0</v>
      </c>
      <c r="G210" s="123">
        <f>P_resina!H215</f>
        <v>0</v>
      </c>
      <c r="H210" s="273">
        <f>K!G180</f>
        <v>0</v>
      </c>
      <c r="I210" s="284">
        <v>0</v>
      </c>
      <c r="J210" s="273">
        <f>'Ca2+'!G211</f>
        <v>0</v>
      </c>
      <c r="K210" s="273">
        <f>Mg²!G213</f>
        <v>0</v>
      </c>
      <c r="L210" s="280">
        <f>Al³!C212</f>
        <v>0</v>
      </c>
      <c r="M210" s="280">
        <f>'H + Al'!D212</f>
        <v>0</v>
      </c>
      <c r="N210" s="273">
        <f t="shared" si="9"/>
        <v>0</v>
      </c>
      <c r="O210" s="273">
        <f t="shared" si="10"/>
        <v>0</v>
      </c>
      <c r="P210" s="273">
        <f t="shared" si="11"/>
        <v>0</v>
      </c>
      <c r="Q210" s="294" t="e">
        <f t="shared" si="12"/>
        <v>#DIV/0!</v>
      </c>
      <c r="R210" s="294" t="e">
        <f t="shared" si="13"/>
        <v>#DIV/0!</v>
      </c>
      <c r="S210" s="123">
        <f>Prem!H212</f>
        <v>0</v>
      </c>
      <c r="T210" s="280">
        <f>S!H216</f>
        <v>0</v>
      </c>
      <c r="U210" s="273">
        <f>B!H211</f>
        <v>0</v>
      </c>
      <c r="V210" s="273">
        <f>Zn!G212</f>
        <v>0</v>
      </c>
      <c r="W210" s="273">
        <f>Cu!G212</f>
        <v>0</v>
      </c>
      <c r="X210" s="273">
        <f>Mn!G212</f>
        <v>0</v>
      </c>
      <c r="Y210" s="273">
        <f>Fe!G212</f>
        <v>0</v>
      </c>
      <c r="Z210" s="273">
        <f>M.O!H212</f>
        <v>0</v>
      </c>
      <c r="AA210" s="273" t="e">
        <f t="shared" si="14"/>
        <v>#DIV/0!</v>
      </c>
      <c r="AB210" s="273" t="e">
        <f t="shared" si="15"/>
        <v>#DIV/0!</v>
      </c>
      <c r="AC210" s="273" t="e">
        <f t="shared" si="16"/>
        <v>#DIV/0!</v>
      </c>
    </row>
    <row r="211" spans="1:29" x14ac:dyDescent="0.2">
      <c r="A211" s="106">
        <f>Cadastro!A215</f>
        <v>0</v>
      </c>
      <c r="B211" s="27">
        <f>Cadastro!E213</f>
        <v>0</v>
      </c>
      <c r="C211" s="123">
        <f>pH_água!C211</f>
        <v>6.42</v>
      </c>
      <c r="D211" s="123">
        <f>pH_KCl!B212</f>
        <v>0</v>
      </c>
      <c r="E211" s="123">
        <f>'pH CaCl2'!C211</f>
        <v>0</v>
      </c>
      <c r="F211" s="123">
        <f>P_Mehlich1!H196</f>
        <v>0</v>
      </c>
      <c r="G211" s="123">
        <f>P_resina!H216</f>
        <v>0</v>
      </c>
      <c r="H211" s="273">
        <f>K!G181</f>
        <v>0</v>
      </c>
      <c r="I211" s="284">
        <v>0</v>
      </c>
      <c r="J211" s="273">
        <f>'Ca2+'!G212</f>
        <v>0</v>
      </c>
      <c r="K211" s="273">
        <f>Mg²!G214</f>
        <v>0</v>
      </c>
      <c r="L211" s="280">
        <f>Al³!C213</f>
        <v>0</v>
      </c>
      <c r="M211" s="280">
        <f>'H + Al'!D213</f>
        <v>0</v>
      </c>
      <c r="N211" s="273">
        <f t="shared" si="9"/>
        <v>0</v>
      </c>
      <c r="O211" s="273">
        <f t="shared" si="10"/>
        <v>0</v>
      </c>
      <c r="P211" s="273">
        <f t="shared" si="11"/>
        <v>0</v>
      </c>
      <c r="Q211" s="294" t="e">
        <f t="shared" si="12"/>
        <v>#DIV/0!</v>
      </c>
      <c r="R211" s="294" t="e">
        <f t="shared" si="13"/>
        <v>#DIV/0!</v>
      </c>
      <c r="S211" s="123">
        <f>Prem!H213</f>
        <v>0</v>
      </c>
      <c r="T211" s="280">
        <f>S!H217</f>
        <v>0</v>
      </c>
      <c r="U211" s="273">
        <f>B!H212</f>
        <v>0</v>
      </c>
      <c r="V211" s="273">
        <f>Zn!G213</f>
        <v>0</v>
      </c>
      <c r="W211" s="273">
        <f>Cu!G213</f>
        <v>0</v>
      </c>
      <c r="X211" s="273">
        <f>Mn!G213</f>
        <v>0</v>
      </c>
      <c r="Y211" s="273">
        <f>Fe!G213</f>
        <v>0</v>
      </c>
      <c r="Z211" s="273">
        <f>M.O!H213</f>
        <v>0</v>
      </c>
      <c r="AA211" s="273" t="e">
        <f t="shared" si="14"/>
        <v>#DIV/0!</v>
      </c>
      <c r="AB211" s="273" t="e">
        <f t="shared" si="15"/>
        <v>#DIV/0!</v>
      </c>
      <c r="AC211" s="273" t="e">
        <f t="shared" si="16"/>
        <v>#DIV/0!</v>
      </c>
    </row>
    <row r="212" spans="1:29" x14ac:dyDescent="0.2">
      <c r="A212" s="106">
        <f>Cadastro!A216</f>
        <v>0</v>
      </c>
      <c r="B212" s="27">
        <f>Cadastro!E214</f>
        <v>0</v>
      </c>
      <c r="C212" s="123">
        <f>pH_água!C212</f>
        <v>6.42</v>
      </c>
      <c r="D212" s="123">
        <f>pH_KCl!B213</f>
        <v>0</v>
      </c>
      <c r="E212" s="123">
        <f>'pH CaCl2'!C212</f>
        <v>0</v>
      </c>
      <c r="F212" s="123">
        <f>P_Mehlich1!H197</f>
        <v>0</v>
      </c>
      <c r="G212" s="123">
        <f>P_resina!H217</f>
        <v>0</v>
      </c>
      <c r="H212" s="273">
        <f>K!G182</f>
        <v>0</v>
      </c>
      <c r="I212" s="284">
        <v>0</v>
      </c>
      <c r="J212" s="273">
        <f>'Ca2+'!G213</f>
        <v>0</v>
      </c>
      <c r="K212" s="273">
        <f>Mg²!G215</f>
        <v>0</v>
      </c>
      <c r="L212" s="280">
        <f>Al³!C214</f>
        <v>0</v>
      </c>
      <c r="M212" s="280">
        <f>'H + Al'!D214</f>
        <v>0</v>
      </c>
      <c r="N212" s="273">
        <f t="shared" si="9"/>
        <v>0</v>
      </c>
      <c r="O212" s="273">
        <f t="shared" si="10"/>
        <v>0</v>
      </c>
      <c r="P212" s="273">
        <f t="shared" si="11"/>
        <v>0</v>
      </c>
      <c r="Q212" s="294" t="e">
        <f t="shared" si="12"/>
        <v>#DIV/0!</v>
      </c>
      <c r="R212" s="294" t="e">
        <f t="shared" si="13"/>
        <v>#DIV/0!</v>
      </c>
      <c r="S212" s="123">
        <f>Prem!H214</f>
        <v>0</v>
      </c>
      <c r="T212" s="280">
        <f>S!H218</f>
        <v>0</v>
      </c>
      <c r="U212" s="273">
        <f>B!H213</f>
        <v>0</v>
      </c>
      <c r="V212" s="273">
        <f>Zn!G214</f>
        <v>0</v>
      </c>
      <c r="W212" s="273">
        <f>Cu!G214</f>
        <v>0</v>
      </c>
      <c r="X212" s="273">
        <f>Mn!G214</f>
        <v>0</v>
      </c>
      <c r="Y212" s="273">
        <f>Fe!G214</f>
        <v>0</v>
      </c>
      <c r="Z212" s="273">
        <f>M.O!H214</f>
        <v>0</v>
      </c>
      <c r="AA212" s="273" t="e">
        <f t="shared" si="14"/>
        <v>#DIV/0!</v>
      </c>
      <c r="AB212" s="273" t="e">
        <f t="shared" si="15"/>
        <v>#DIV/0!</v>
      </c>
      <c r="AC212" s="273" t="e">
        <f t="shared" si="16"/>
        <v>#DIV/0!</v>
      </c>
    </row>
    <row r="213" spans="1:29" x14ac:dyDescent="0.2">
      <c r="A213" s="106">
        <f>Cadastro!A217</f>
        <v>0</v>
      </c>
      <c r="B213" s="27">
        <f>Cadastro!E215</f>
        <v>0</v>
      </c>
      <c r="C213" s="123">
        <f>pH_água!C213</f>
        <v>6.42</v>
      </c>
      <c r="D213" s="123">
        <f>pH_KCl!B214</f>
        <v>0</v>
      </c>
      <c r="E213" s="123">
        <f>'pH CaCl2'!C213</f>
        <v>0</v>
      </c>
      <c r="F213" s="123">
        <f>P_Mehlich1!H198</f>
        <v>0</v>
      </c>
      <c r="G213" s="123">
        <f>P_resina!H218</f>
        <v>0</v>
      </c>
      <c r="H213" s="273">
        <f>K!G183</f>
        <v>0</v>
      </c>
      <c r="I213" s="284">
        <v>0</v>
      </c>
      <c r="J213" s="273">
        <f>'Ca2+'!G214</f>
        <v>0</v>
      </c>
      <c r="K213" s="273">
        <f>Mg²!G216</f>
        <v>0</v>
      </c>
      <c r="L213" s="280">
        <f>Al³!C215</f>
        <v>0</v>
      </c>
      <c r="M213" s="280">
        <f>'H + Al'!D215</f>
        <v>0</v>
      </c>
      <c r="N213" s="273">
        <f t="shared" si="9"/>
        <v>0</v>
      </c>
      <c r="O213" s="273">
        <f t="shared" si="10"/>
        <v>0</v>
      </c>
      <c r="P213" s="273">
        <f t="shared" si="11"/>
        <v>0</v>
      </c>
      <c r="Q213" s="294" t="e">
        <f t="shared" si="12"/>
        <v>#DIV/0!</v>
      </c>
      <c r="R213" s="294" t="e">
        <f t="shared" si="13"/>
        <v>#DIV/0!</v>
      </c>
      <c r="S213" s="123">
        <f>Prem!H215</f>
        <v>0</v>
      </c>
      <c r="T213" s="280">
        <f>S!H219</f>
        <v>0</v>
      </c>
      <c r="U213" s="273">
        <f>B!H214</f>
        <v>0</v>
      </c>
      <c r="V213" s="273">
        <f>Zn!G215</f>
        <v>0</v>
      </c>
      <c r="W213" s="273">
        <f>Cu!G215</f>
        <v>0</v>
      </c>
      <c r="X213" s="273">
        <f>Mn!G215</f>
        <v>0</v>
      </c>
      <c r="Y213" s="273">
        <f>Fe!G215</f>
        <v>0</v>
      </c>
      <c r="Z213" s="273">
        <f>M.O!H215</f>
        <v>0</v>
      </c>
      <c r="AA213" s="273" t="e">
        <f t="shared" si="14"/>
        <v>#DIV/0!</v>
      </c>
      <c r="AB213" s="273" t="e">
        <f t="shared" si="15"/>
        <v>#DIV/0!</v>
      </c>
      <c r="AC213" s="273" t="e">
        <f t="shared" si="16"/>
        <v>#DIV/0!</v>
      </c>
    </row>
    <row r="214" spans="1:29" x14ac:dyDescent="0.2">
      <c r="A214" s="106">
        <f>Cadastro!A218</f>
        <v>0</v>
      </c>
      <c r="B214" s="27">
        <f>Cadastro!E216</f>
        <v>0</v>
      </c>
      <c r="C214" s="123">
        <f>pH_água!C214</f>
        <v>6.42</v>
      </c>
      <c r="D214" s="123">
        <f>pH_KCl!B215</f>
        <v>0</v>
      </c>
      <c r="E214" s="123">
        <f>'pH CaCl2'!C214</f>
        <v>0</v>
      </c>
      <c r="F214" s="123">
        <f>P_Mehlich1!H199</f>
        <v>0</v>
      </c>
      <c r="G214" s="123">
        <f>P_resina!H219</f>
        <v>0</v>
      </c>
      <c r="H214" s="273">
        <f>K!G184</f>
        <v>0</v>
      </c>
      <c r="I214" s="284">
        <v>0</v>
      </c>
      <c r="J214" s="273">
        <f>'Ca2+'!G215</f>
        <v>0</v>
      </c>
      <c r="K214" s="273">
        <f>Mg²!G217</f>
        <v>0</v>
      </c>
      <c r="L214" s="280">
        <f>Al³!C216</f>
        <v>0</v>
      </c>
      <c r="M214" s="280">
        <f>'H + Al'!D216</f>
        <v>0</v>
      </c>
      <c r="N214" s="273">
        <f t="shared" si="9"/>
        <v>0</v>
      </c>
      <c r="O214" s="273">
        <f t="shared" si="10"/>
        <v>0</v>
      </c>
      <c r="P214" s="273">
        <f t="shared" si="11"/>
        <v>0</v>
      </c>
      <c r="Q214" s="294" t="e">
        <f t="shared" si="12"/>
        <v>#DIV/0!</v>
      </c>
      <c r="R214" s="294" t="e">
        <f t="shared" si="13"/>
        <v>#DIV/0!</v>
      </c>
      <c r="S214" s="123">
        <f>Prem!H216</f>
        <v>0</v>
      </c>
      <c r="T214" s="280">
        <f>S!H220</f>
        <v>0</v>
      </c>
      <c r="U214" s="273">
        <f>B!H215</f>
        <v>0</v>
      </c>
      <c r="V214" s="273">
        <f>Zn!G216</f>
        <v>0</v>
      </c>
      <c r="W214" s="273">
        <f>Cu!G216</f>
        <v>0</v>
      </c>
      <c r="X214" s="273">
        <f>Mn!G216</f>
        <v>0</v>
      </c>
      <c r="Y214" s="273">
        <f>Fe!G216</f>
        <v>0</v>
      </c>
      <c r="Z214" s="273">
        <f>M.O!H216</f>
        <v>0</v>
      </c>
      <c r="AA214" s="273" t="e">
        <f t="shared" si="14"/>
        <v>#DIV/0!</v>
      </c>
      <c r="AB214" s="273" t="e">
        <f t="shared" si="15"/>
        <v>#DIV/0!</v>
      </c>
      <c r="AC214" s="273" t="e">
        <f t="shared" si="16"/>
        <v>#DIV/0!</v>
      </c>
    </row>
    <row r="215" spans="1:29" x14ac:dyDescent="0.2">
      <c r="A215" s="106">
        <f>Cadastro!A219</f>
        <v>0</v>
      </c>
      <c r="B215" s="27">
        <f>Cadastro!E217</f>
        <v>0</v>
      </c>
      <c r="C215" s="123">
        <f>pH_água!C215</f>
        <v>6.42</v>
      </c>
      <c r="D215" s="123">
        <f>pH_KCl!B216</f>
        <v>0</v>
      </c>
      <c r="E215" s="123">
        <f>'pH CaCl2'!C215</f>
        <v>0</v>
      </c>
      <c r="F215" s="123">
        <f>P_Mehlich1!H200</f>
        <v>0</v>
      </c>
      <c r="G215" s="123">
        <f>P_resina!H220</f>
        <v>0</v>
      </c>
      <c r="H215" s="273">
        <f>K!G185</f>
        <v>0</v>
      </c>
      <c r="I215" s="284">
        <v>0</v>
      </c>
      <c r="J215" s="273">
        <f>'Ca2+'!G216</f>
        <v>0</v>
      </c>
      <c r="K215" s="273">
        <f>Mg²!G218</f>
        <v>0</v>
      </c>
      <c r="L215" s="280">
        <f>Al³!C217</f>
        <v>0</v>
      </c>
      <c r="M215" s="280">
        <f>'H + Al'!D217</f>
        <v>0</v>
      </c>
      <c r="N215" s="273">
        <f t="shared" si="9"/>
        <v>0</v>
      </c>
      <c r="O215" s="273">
        <f t="shared" si="10"/>
        <v>0</v>
      </c>
      <c r="P215" s="273">
        <f t="shared" si="11"/>
        <v>0</v>
      </c>
      <c r="Q215" s="294" t="e">
        <f t="shared" si="12"/>
        <v>#DIV/0!</v>
      </c>
      <c r="R215" s="294" t="e">
        <f t="shared" si="13"/>
        <v>#DIV/0!</v>
      </c>
      <c r="S215" s="123">
        <f>Prem!H217</f>
        <v>0</v>
      </c>
      <c r="T215" s="280">
        <f>S!H221</f>
        <v>0</v>
      </c>
      <c r="U215" s="273">
        <f>B!H216</f>
        <v>0</v>
      </c>
      <c r="V215" s="273">
        <f>Zn!G217</f>
        <v>0</v>
      </c>
      <c r="W215" s="273">
        <f>Cu!G217</f>
        <v>0</v>
      </c>
      <c r="X215" s="273">
        <f>Mn!G217</f>
        <v>0</v>
      </c>
      <c r="Y215" s="273">
        <f>Fe!G217</f>
        <v>0</v>
      </c>
      <c r="Z215" s="273">
        <f>M.O!H217</f>
        <v>0</v>
      </c>
      <c r="AA215" s="273" t="e">
        <f t="shared" si="14"/>
        <v>#DIV/0!</v>
      </c>
      <c r="AB215" s="273" t="e">
        <f t="shared" si="15"/>
        <v>#DIV/0!</v>
      </c>
      <c r="AC215" s="273" t="e">
        <f t="shared" si="16"/>
        <v>#DIV/0!</v>
      </c>
    </row>
    <row r="216" spans="1:29" x14ac:dyDescent="0.2">
      <c r="A216" s="106">
        <f>Cadastro!A220</f>
        <v>0</v>
      </c>
      <c r="B216" s="27">
        <f>Cadastro!E218</f>
        <v>0</v>
      </c>
      <c r="C216" s="123">
        <f>pH_água!C216</f>
        <v>6.42</v>
      </c>
      <c r="D216" s="123">
        <f>pH_KCl!B217</f>
        <v>0</v>
      </c>
      <c r="E216" s="123">
        <f>'pH CaCl2'!C216</f>
        <v>0</v>
      </c>
      <c r="F216" s="123">
        <f>P_Mehlich1!H201</f>
        <v>0</v>
      </c>
      <c r="G216" s="123">
        <f>P_resina!H221</f>
        <v>0</v>
      </c>
      <c r="H216" s="273">
        <f>K!G186</f>
        <v>0</v>
      </c>
      <c r="I216" s="284">
        <v>0</v>
      </c>
      <c r="J216" s="273">
        <f>'Ca2+'!G217</f>
        <v>0</v>
      </c>
      <c r="K216" s="273">
        <f>Mg²!G219</f>
        <v>0</v>
      </c>
      <c r="L216" s="280">
        <f>Al³!C218</f>
        <v>0</v>
      </c>
      <c r="M216" s="280">
        <f>'H + Al'!D218</f>
        <v>0</v>
      </c>
      <c r="N216" s="273">
        <f t="shared" si="9"/>
        <v>0</v>
      </c>
      <c r="O216" s="273">
        <f t="shared" si="10"/>
        <v>0</v>
      </c>
      <c r="P216" s="273">
        <f t="shared" si="11"/>
        <v>0</v>
      </c>
      <c r="Q216" s="294" t="e">
        <f t="shared" si="12"/>
        <v>#DIV/0!</v>
      </c>
      <c r="R216" s="294" t="e">
        <f t="shared" si="13"/>
        <v>#DIV/0!</v>
      </c>
      <c r="S216" s="123">
        <f>Prem!H218</f>
        <v>0</v>
      </c>
      <c r="T216" s="280">
        <f>S!H222</f>
        <v>0</v>
      </c>
      <c r="U216" s="273">
        <f>B!H217</f>
        <v>0</v>
      </c>
      <c r="V216" s="273">
        <f>Zn!G218</f>
        <v>0</v>
      </c>
      <c r="W216" s="273">
        <f>Cu!G218</f>
        <v>0</v>
      </c>
      <c r="X216" s="273">
        <f>Mn!G218</f>
        <v>0</v>
      </c>
      <c r="Y216" s="273">
        <f>Fe!G218</f>
        <v>0</v>
      </c>
      <c r="Z216" s="273">
        <f>M.O!H218</f>
        <v>0</v>
      </c>
      <c r="AA216" s="273" t="e">
        <f t="shared" si="14"/>
        <v>#DIV/0!</v>
      </c>
      <c r="AB216" s="273" t="e">
        <f t="shared" si="15"/>
        <v>#DIV/0!</v>
      </c>
      <c r="AC216" s="273" t="e">
        <f t="shared" si="16"/>
        <v>#DIV/0!</v>
      </c>
    </row>
    <row r="217" spans="1:29" x14ac:dyDescent="0.2">
      <c r="A217" s="106">
        <f>Cadastro!A221</f>
        <v>0</v>
      </c>
      <c r="B217" s="27">
        <f>Cadastro!E219</f>
        <v>0</v>
      </c>
      <c r="C217" s="123">
        <f>pH_água!C217</f>
        <v>6.42</v>
      </c>
      <c r="D217" s="123">
        <f>pH_KCl!B218</f>
        <v>0</v>
      </c>
      <c r="E217" s="123">
        <f>'pH CaCl2'!C217</f>
        <v>0</v>
      </c>
      <c r="F217" s="123">
        <f>P_Mehlich1!H202</f>
        <v>0</v>
      </c>
      <c r="G217" s="123">
        <f>P_resina!H222</f>
        <v>0</v>
      </c>
      <c r="H217" s="273">
        <f>K!G187</f>
        <v>0</v>
      </c>
      <c r="I217" s="284">
        <v>0</v>
      </c>
      <c r="J217" s="273">
        <f>'Ca2+'!G218</f>
        <v>0</v>
      </c>
      <c r="K217" s="273">
        <f>Mg²!G220</f>
        <v>0</v>
      </c>
      <c r="L217" s="280">
        <f>Al³!C219</f>
        <v>0</v>
      </c>
      <c r="M217" s="280">
        <f>'H + Al'!D219</f>
        <v>0</v>
      </c>
      <c r="N217" s="273">
        <f t="shared" si="9"/>
        <v>0</v>
      </c>
      <c r="O217" s="273">
        <f t="shared" si="10"/>
        <v>0</v>
      </c>
      <c r="P217" s="273">
        <f t="shared" si="11"/>
        <v>0</v>
      </c>
      <c r="Q217" s="294" t="e">
        <f t="shared" si="12"/>
        <v>#DIV/0!</v>
      </c>
      <c r="R217" s="294" t="e">
        <f t="shared" si="13"/>
        <v>#DIV/0!</v>
      </c>
      <c r="S217" s="123">
        <f>Prem!H219</f>
        <v>0</v>
      </c>
      <c r="T217" s="280">
        <f>S!H223</f>
        <v>0</v>
      </c>
      <c r="U217" s="273">
        <f>B!H218</f>
        <v>0</v>
      </c>
      <c r="V217" s="273">
        <f>Zn!G219</f>
        <v>0</v>
      </c>
      <c r="W217" s="273">
        <f>Cu!G219</f>
        <v>0</v>
      </c>
      <c r="X217" s="273">
        <f>Mn!G219</f>
        <v>0</v>
      </c>
      <c r="Y217" s="273">
        <f>Fe!G219</f>
        <v>0</v>
      </c>
      <c r="Z217" s="273">
        <f>M.O!H219</f>
        <v>0</v>
      </c>
      <c r="AA217" s="273" t="e">
        <f t="shared" si="14"/>
        <v>#DIV/0!</v>
      </c>
      <c r="AB217" s="273" t="e">
        <f t="shared" si="15"/>
        <v>#DIV/0!</v>
      </c>
      <c r="AC217" s="273" t="e">
        <f t="shared" si="16"/>
        <v>#DIV/0!</v>
      </c>
    </row>
    <row r="218" spans="1:29" x14ac:dyDescent="0.2">
      <c r="A218" s="106">
        <f>Cadastro!A222</f>
        <v>0</v>
      </c>
      <c r="B218" s="27">
        <f>Cadastro!E220</f>
        <v>0</v>
      </c>
      <c r="C218" s="123">
        <f>pH_água!C218</f>
        <v>6.42</v>
      </c>
      <c r="D218" s="123">
        <f>pH_KCl!B219</f>
        <v>0</v>
      </c>
      <c r="E218" s="123">
        <f>'pH CaCl2'!C218</f>
        <v>0</v>
      </c>
      <c r="F218" s="123">
        <f>P_Mehlich1!H203</f>
        <v>0</v>
      </c>
      <c r="G218" s="123">
        <f>P_resina!H223</f>
        <v>0</v>
      </c>
      <c r="H218" s="273">
        <f>K!G188</f>
        <v>0</v>
      </c>
      <c r="I218" s="284">
        <v>0</v>
      </c>
      <c r="J218" s="273">
        <f>'Ca2+'!G219</f>
        <v>0</v>
      </c>
      <c r="K218" s="273">
        <f>Mg²!G221</f>
        <v>0</v>
      </c>
      <c r="L218" s="280">
        <f>Al³!C220</f>
        <v>0</v>
      </c>
      <c r="M218" s="280">
        <f>'H + Al'!D220</f>
        <v>0</v>
      </c>
      <c r="N218" s="273">
        <f t="shared" si="9"/>
        <v>0</v>
      </c>
      <c r="O218" s="273">
        <f t="shared" si="10"/>
        <v>0</v>
      </c>
      <c r="P218" s="273">
        <f t="shared" si="11"/>
        <v>0</v>
      </c>
      <c r="Q218" s="294" t="e">
        <f t="shared" si="12"/>
        <v>#DIV/0!</v>
      </c>
      <c r="R218" s="294" t="e">
        <f t="shared" si="13"/>
        <v>#DIV/0!</v>
      </c>
      <c r="S218" s="123">
        <f>Prem!H220</f>
        <v>0</v>
      </c>
      <c r="T218" s="280">
        <f>S!H224</f>
        <v>0</v>
      </c>
      <c r="U218" s="273">
        <f>B!H219</f>
        <v>0</v>
      </c>
      <c r="V218" s="273">
        <f>Zn!G220</f>
        <v>0</v>
      </c>
      <c r="W218" s="273">
        <f>Cu!G220</f>
        <v>0</v>
      </c>
      <c r="X218" s="273">
        <f>Mn!G220</f>
        <v>0</v>
      </c>
      <c r="Y218" s="273">
        <f>Fe!G220</f>
        <v>0</v>
      </c>
      <c r="Z218" s="273">
        <f>M.O!H220</f>
        <v>0</v>
      </c>
      <c r="AA218" s="273" t="e">
        <f t="shared" si="14"/>
        <v>#DIV/0!</v>
      </c>
      <c r="AB218" s="273" t="e">
        <f t="shared" si="15"/>
        <v>#DIV/0!</v>
      </c>
      <c r="AC218" s="273" t="e">
        <f t="shared" si="16"/>
        <v>#DIV/0!</v>
      </c>
    </row>
    <row r="219" spans="1:29" x14ac:dyDescent="0.2">
      <c r="A219" s="106">
        <f>Cadastro!A223</f>
        <v>0</v>
      </c>
      <c r="B219" s="27">
        <f>Cadastro!E221</f>
        <v>0</v>
      </c>
      <c r="C219" s="123">
        <f>pH_água!C219</f>
        <v>6.42</v>
      </c>
      <c r="D219" s="123">
        <f>pH_KCl!B220</f>
        <v>0</v>
      </c>
      <c r="E219" s="123">
        <f>'pH CaCl2'!C219</f>
        <v>0</v>
      </c>
      <c r="F219" s="123">
        <f>P_Mehlich1!H204</f>
        <v>0</v>
      </c>
      <c r="G219" s="123">
        <f>P_resina!H224</f>
        <v>0</v>
      </c>
      <c r="H219" s="273">
        <f>K!G189</f>
        <v>0</v>
      </c>
      <c r="I219" s="284">
        <v>0</v>
      </c>
      <c r="J219" s="273">
        <f>'Ca2+'!G220</f>
        <v>0</v>
      </c>
      <c r="K219" s="273">
        <f>Mg²!G222</f>
        <v>0</v>
      </c>
      <c r="L219" s="280">
        <f>Al³!C221</f>
        <v>0</v>
      </c>
      <c r="M219" s="280">
        <f>'H + Al'!D221</f>
        <v>0</v>
      </c>
      <c r="N219" s="273">
        <f t="shared" si="9"/>
        <v>0</v>
      </c>
      <c r="O219" s="273">
        <f t="shared" si="10"/>
        <v>0</v>
      </c>
      <c r="P219" s="273">
        <f t="shared" si="11"/>
        <v>0</v>
      </c>
      <c r="Q219" s="294" t="e">
        <f t="shared" si="12"/>
        <v>#DIV/0!</v>
      </c>
      <c r="R219" s="294" t="e">
        <f t="shared" si="13"/>
        <v>#DIV/0!</v>
      </c>
      <c r="S219" s="123">
        <f>Prem!H221</f>
        <v>0</v>
      </c>
      <c r="T219" s="280">
        <f>S!H225</f>
        <v>0</v>
      </c>
      <c r="U219" s="273">
        <f>B!H220</f>
        <v>0</v>
      </c>
      <c r="V219" s="273">
        <f>Zn!G221</f>
        <v>0</v>
      </c>
      <c r="W219" s="273">
        <f>Cu!G221</f>
        <v>0</v>
      </c>
      <c r="X219" s="273">
        <f>Mn!G221</f>
        <v>0</v>
      </c>
      <c r="Y219" s="273">
        <f>Fe!G221</f>
        <v>0</v>
      </c>
      <c r="Z219" s="273">
        <f>M.O!H221</f>
        <v>0</v>
      </c>
      <c r="AA219" s="273" t="e">
        <f t="shared" si="14"/>
        <v>#DIV/0!</v>
      </c>
      <c r="AB219" s="273" t="e">
        <f t="shared" si="15"/>
        <v>#DIV/0!</v>
      </c>
      <c r="AC219" s="273" t="e">
        <f t="shared" si="16"/>
        <v>#DIV/0!</v>
      </c>
    </row>
    <row r="220" spans="1:29" x14ac:dyDescent="0.2">
      <c r="A220" s="106">
        <f>Cadastro!A224</f>
        <v>0</v>
      </c>
      <c r="B220" s="27">
        <f>Cadastro!E222</f>
        <v>0</v>
      </c>
      <c r="C220" s="123">
        <f>pH_água!C220</f>
        <v>6.42</v>
      </c>
      <c r="D220" s="123">
        <f>pH_KCl!B221</f>
        <v>0</v>
      </c>
      <c r="E220" s="123">
        <f>'pH CaCl2'!C220</f>
        <v>0</v>
      </c>
      <c r="F220" s="123">
        <f>P_Mehlich1!H205</f>
        <v>0</v>
      </c>
      <c r="G220" s="123">
        <f>P_resina!H225</f>
        <v>0</v>
      </c>
      <c r="H220" s="273">
        <f>K!G190</f>
        <v>0</v>
      </c>
      <c r="I220" s="284">
        <v>0</v>
      </c>
      <c r="J220" s="273">
        <f>'Ca2+'!G221</f>
        <v>0</v>
      </c>
      <c r="K220" s="273">
        <f>Mg²!G223</f>
        <v>0</v>
      </c>
      <c r="L220" s="280">
        <f>Al³!C222</f>
        <v>0</v>
      </c>
      <c r="M220" s="280">
        <f>'H + Al'!D222</f>
        <v>0</v>
      </c>
      <c r="N220" s="273">
        <f t="shared" si="9"/>
        <v>0</v>
      </c>
      <c r="O220" s="273">
        <f t="shared" si="10"/>
        <v>0</v>
      </c>
      <c r="P220" s="273">
        <f t="shared" si="11"/>
        <v>0</v>
      </c>
      <c r="Q220" s="294" t="e">
        <f t="shared" si="12"/>
        <v>#DIV/0!</v>
      </c>
      <c r="R220" s="294" t="e">
        <f t="shared" si="13"/>
        <v>#DIV/0!</v>
      </c>
      <c r="S220" s="123">
        <f>Prem!H222</f>
        <v>0</v>
      </c>
      <c r="T220" s="280">
        <f>S!H226</f>
        <v>0</v>
      </c>
      <c r="U220" s="273">
        <f>B!H221</f>
        <v>0</v>
      </c>
      <c r="V220" s="273">
        <f>Zn!G222</f>
        <v>0</v>
      </c>
      <c r="W220" s="273">
        <f>Cu!G222</f>
        <v>0</v>
      </c>
      <c r="X220" s="273">
        <f>Mn!G222</f>
        <v>0</v>
      </c>
      <c r="Y220" s="273">
        <f>Fe!G222</f>
        <v>0</v>
      </c>
      <c r="Z220" s="273">
        <f>M.O!H222</f>
        <v>0</v>
      </c>
      <c r="AA220" s="273" t="e">
        <f t="shared" si="14"/>
        <v>#DIV/0!</v>
      </c>
      <c r="AB220" s="273" t="e">
        <f t="shared" si="15"/>
        <v>#DIV/0!</v>
      </c>
      <c r="AC220" s="273" t="e">
        <f t="shared" si="16"/>
        <v>#DIV/0!</v>
      </c>
    </row>
    <row r="221" spans="1:29" x14ac:dyDescent="0.2">
      <c r="A221" s="106">
        <f>Cadastro!A225</f>
        <v>0</v>
      </c>
      <c r="B221" s="27">
        <f>Cadastro!E223</f>
        <v>0</v>
      </c>
      <c r="C221" s="123">
        <f>pH_água!C221</f>
        <v>6.42</v>
      </c>
      <c r="D221" s="123">
        <f>pH_KCl!B222</f>
        <v>0</v>
      </c>
      <c r="E221" s="123">
        <f>'pH CaCl2'!C221</f>
        <v>0</v>
      </c>
      <c r="F221" s="123">
        <f>P_Mehlich1!H206</f>
        <v>0</v>
      </c>
      <c r="G221" s="123">
        <f>P_resina!H226</f>
        <v>0</v>
      </c>
      <c r="H221" s="273">
        <f>K!G191</f>
        <v>0</v>
      </c>
      <c r="I221" s="284">
        <v>0</v>
      </c>
      <c r="J221" s="273">
        <f>'Ca2+'!G222</f>
        <v>0</v>
      </c>
      <c r="K221" s="273">
        <f>Mg²!G224</f>
        <v>0</v>
      </c>
      <c r="L221" s="280">
        <f>Al³!C223</f>
        <v>0</v>
      </c>
      <c r="M221" s="280">
        <f>'H + Al'!D223</f>
        <v>0</v>
      </c>
      <c r="N221" s="273">
        <f t="shared" si="9"/>
        <v>0</v>
      </c>
      <c r="O221" s="273">
        <f t="shared" si="10"/>
        <v>0</v>
      </c>
      <c r="P221" s="273">
        <f t="shared" si="11"/>
        <v>0</v>
      </c>
      <c r="Q221" s="294" t="e">
        <f t="shared" si="12"/>
        <v>#DIV/0!</v>
      </c>
      <c r="R221" s="294" t="e">
        <f t="shared" si="13"/>
        <v>#DIV/0!</v>
      </c>
      <c r="S221" s="123">
        <f>Prem!H223</f>
        <v>0</v>
      </c>
      <c r="T221" s="280">
        <f>S!H227</f>
        <v>0</v>
      </c>
      <c r="U221" s="273">
        <f>B!H222</f>
        <v>0</v>
      </c>
      <c r="V221" s="273">
        <f>Zn!G223</f>
        <v>0</v>
      </c>
      <c r="W221" s="273">
        <f>Cu!G223</f>
        <v>0</v>
      </c>
      <c r="X221" s="273">
        <f>Mn!G223</f>
        <v>0</v>
      </c>
      <c r="Y221" s="273">
        <f>Fe!G223</f>
        <v>0</v>
      </c>
      <c r="Z221" s="273">
        <f>M.O!H223</f>
        <v>0</v>
      </c>
      <c r="AA221" s="273" t="e">
        <f t="shared" si="14"/>
        <v>#DIV/0!</v>
      </c>
      <c r="AB221" s="273" t="e">
        <f t="shared" si="15"/>
        <v>#DIV/0!</v>
      </c>
      <c r="AC221" s="273" t="e">
        <f t="shared" si="16"/>
        <v>#DIV/0!</v>
      </c>
    </row>
    <row r="222" spans="1:29" x14ac:dyDescent="0.2">
      <c r="A222" s="106">
        <f>Cadastro!A226</f>
        <v>0</v>
      </c>
      <c r="B222" s="27">
        <f>Cadastro!E224</f>
        <v>0</v>
      </c>
      <c r="C222" s="123">
        <f>pH_água!C222</f>
        <v>6.42</v>
      </c>
      <c r="D222" s="123">
        <f>pH_KCl!B223</f>
        <v>0</v>
      </c>
      <c r="E222" s="123">
        <f>'pH CaCl2'!C222</f>
        <v>0</v>
      </c>
      <c r="F222" s="123">
        <f>P_Mehlich1!H207</f>
        <v>0</v>
      </c>
      <c r="G222" s="123">
        <f>P_resina!H227</f>
        <v>0</v>
      </c>
      <c r="H222" s="273">
        <f>K!G192</f>
        <v>0</v>
      </c>
      <c r="I222" s="284">
        <v>0</v>
      </c>
      <c r="J222" s="273">
        <f>'Ca2+'!G223</f>
        <v>0</v>
      </c>
      <c r="K222" s="273">
        <f>Mg²!G225</f>
        <v>0</v>
      </c>
      <c r="L222" s="280">
        <f>Al³!C224</f>
        <v>0</v>
      </c>
      <c r="M222" s="280">
        <f>'H + Al'!D224</f>
        <v>0</v>
      </c>
      <c r="N222" s="273">
        <f t="shared" si="9"/>
        <v>0</v>
      </c>
      <c r="O222" s="273">
        <f t="shared" si="10"/>
        <v>0</v>
      </c>
      <c r="P222" s="273">
        <f t="shared" si="11"/>
        <v>0</v>
      </c>
      <c r="Q222" s="294" t="e">
        <f t="shared" si="12"/>
        <v>#DIV/0!</v>
      </c>
      <c r="R222" s="294" t="e">
        <f t="shared" si="13"/>
        <v>#DIV/0!</v>
      </c>
      <c r="S222" s="123">
        <f>Prem!H224</f>
        <v>0</v>
      </c>
      <c r="T222" s="280">
        <f>S!H228</f>
        <v>0</v>
      </c>
      <c r="U222" s="273">
        <f>B!H223</f>
        <v>0</v>
      </c>
      <c r="V222" s="273">
        <f>Zn!G224</f>
        <v>0</v>
      </c>
      <c r="W222" s="273">
        <f>Cu!G224</f>
        <v>0</v>
      </c>
      <c r="X222" s="273">
        <f>Mn!G224</f>
        <v>0</v>
      </c>
      <c r="Y222" s="273">
        <f>Fe!G224</f>
        <v>0</v>
      </c>
      <c r="Z222" s="273">
        <f>M.O!H224</f>
        <v>0</v>
      </c>
      <c r="AA222" s="273" t="e">
        <f t="shared" si="14"/>
        <v>#DIV/0!</v>
      </c>
      <c r="AB222" s="273" t="e">
        <f t="shared" si="15"/>
        <v>#DIV/0!</v>
      </c>
      <c r="AC222" s="273" t="e">
        <f t="shared" si="16"/>
        <v>#DIV/0!</v>
      </c>
    </row>
    <row r="223" spans="1:29" x14ac:dyDescent="0.2">
      <c r="A223" s="106">
        <f>Cadastro!A227</f>
        <v>0</v>
      </c>
      <c r="B223" s="27">
        <f>Cadastro!E225</f>
        <v>0</v>
      </c>
      <c r="C223" s="123">
        <f>pH_água!C223</f>
        <v>6.42</v>
      </c>
      <c r="D223" s="123">
        <f>pH_KCl!B224</f>
        <v>0</v>
      </c>
      <c r="E223" s="123">
        <f>'pH CaCl2'!C223</f>
        <v>0</v>
      </c>
      <c r="F223" s="123">
        <f>P_Mehlich1!H208</f>
        <v>0</v>
      </c>
      <c r="G223" s="123">
        <f>P_resina!H228</f>
        <v>0</v>
      </c>
      <c r="H223" s="273">
        <f>K!G193</f>
        <v>0</v>
      </c>
      <c r="I223" s="284">
        <v>0</v>
      </c>
      <c r="J223" s="273">
        <f>'Ca2+'!G224</f>
        <v>0</v>
      </c>
      <c r="K223" s="273">
        <f>Mg²!G226</f>
        <v>0</v>
      </c>
      <c r="L223" s="280">
        <f>Al³!C225</f>
        <v>0</v>
      </c>
      <c r="M223" s="280">
        <f>'H + Al'!D225</f>
        <v>0</v>
      </c>
      <c r="N223" s="273">
        <f t="shared" si="9"/>
        <v>0</v>
      </c>
      <c r="O223" s="273">
        <f t="shared" si="10"/>
        <v>0</v>
      </c>
      <c r="P223" s="273">
        <f t="shared" si="11"/>
        <v>0</v>
      </c>
      <c r="Q223" s="294" t="e">
        <f t="shared" si="12"/>
        <v>#DIV/0!</v>
      </c>
      <c r="R223" s="294" t="e">
        <f t="shared" si="13"/>
        <v>#DIV/0!</v>
      </c>
      <c r="S223" s="123">
        <f>Prem!H225</f>
        <v>0</v>
      </c>
      <c r="T223" s="280">
        <f>S!H229</f>
        <v>0</v>
      </c>
      <c r="U223" s="273">
        <f>B!H224</f>
        <v>0</v>
      </c>
      <c r="V223" s="273">
        <f>Zn!G225</f>
        <v>0</v>
      </c>
      <c r="W223" s="273">
        <f>Cu!G225</f>
        <v>0</v>
      </c>
      <c r="X223" s="273">
        <f>Mn!G225</f>
        <v>0</v>
      </c>
      <c r="Y223" s="273">
        <f>Fe!G225</f>
        <v>0</v>
      </c>
      <c r="Z223" s="273">
        <f>M.O!H225</f>
        <v>0</v>
      </c>
      <c r="AA223" s="273" t="e">
        <f t="shared" si="14"/>
        <v>#DIV/0!</v>
      </c>
      <c r="AB223" s="273" t="e">
        <f t="shared" si="15"/>
        <v>#DIV/0!</v>
      </c>
      <c r="AC223" s="273" t="e">
        <f t="shared" si="16"/>
        <v>#DIV/0!</v>
      </c>
    </row>
    <row r="224" spans="1:29" x14ac:dyDescent="0.2">
      <c r="A224" s="106">
        <f>Cadastro!A228</f>
        <v>0</v>
      </c>
      <c r="B224" s="27">
        <f>Cadastro!E226</f>
        <v>0</v>
      </c>
      <c r="C224" s="123">
        <f>pH_água!C224</f>
        <v>6.42</v>
      </c>
      <c r="D224" s="123">
        <f>pH_KCl!B225</f>
        <v>0</v>
      </c>
      <c r="E224" s="123">
        <f>'pH CaCl2'!C224</f>
        <v>0</v>
      </c>
      <c r="F224" s="123">
        <f>P_Mehlich1!H209</f>
        <v>0</v>
      </c>
      <c r="G224" s="123">
        <f>P_resina!H229</f>
        <v>0</v>
      </c>
      <c r="H224" s="273">
        <f>K!G194</f>
        <v>0</v>
      </c>
      <c r="I224" s="284">
        <v>0</v>
      </c>
      <c r="J224" s="273">
        <f>'Ca2+'!G225</f>
        <v>0</v>
      </c>
      <c r="K224" s="273">
        <f>Mg²!G227</f>
        <v>0</v>
      </c>
      <c r="L224" s="280">
        <f>Al³!C226</f>
        <v>0</v>
      </c>
      <c r="M224" s="280">
        <f>'H + Al'!D226</f>
        <v>0</v>
      </c>
      <c r="N224" s="273">
        <f t="shared" si="9"/>
        <v>0</v>
      </c>
      <c r="O224" s="273">
        <f t="shared" si="10"/>
        <v>0</v>
      </c>
      <c r="P224" s="273">
        <f t="shared" si="11"/>
        <v>0</v>
      </c>
      <c r="Q224" s="294" t="e">
        <f t="shared" si="12"/>
        <v>#DIV/0!</v>
      </c>
      <c r="R224" s="294" t="e">
        <f t="shared" si="13"/>
        <v>#DIV/0!</v>
      </c>
      <c r="S224" s="123">
        <f>Prem!H226</f>
        <v>0</v>
      </c>
      <c r="T224" s="280">
        <f>S!H230</f>
        <v>0</v>
      </c>
      <c r="U224" s="273">
        <f>B!H225</f>
        <v>0</v>
      </c>
      <c r="V224" s="273">
        <f>Zn!G226</f>
        <v>0</v>
      </c>
      <c r="W224" s="273">
        <f>Cu!G226</f>
        <v>0</v>
      </c>
      <c r="X224" s="273">
        <f>Mn!G226</f>
        <v>0</v>
      </c>
      <c r="Y224" s="273">
        <f>Fe!G226</f>
        <v>0</v>
      </c>
      <c r="Z224" s="273">
        <f>M.O!H226</f>
        <v>0</v>
      </c>
      <c r="AA224" s="273" t="e">
        <f t="shared" si="14"/>
        <v>#DIV/0!</v>
      </c>
      <c r="AB224" s="273" t="e">
        <f t="shared" si="15"/>
        <v>#DIV/0!</v>
      </c>
      <c r="AC224" s="273" t="e">
        <f t="shared" si="16"/>
        <v>#DIV/0!</v>
      </c>
    </row>
    <row r="225" spans="1:29" x14ac:dyDescent="0.2">
      <c r="A225" s="106">
        <f>Cadastro!A229</f>
        <v>0</v>
      </c>
      <c r="B225" s="27">
        <f>Cadastro!E227</f>
        <v>0</v>
      </c>
      <c r="C225" s="123">
        <f>pH_água!C225</f>
        <v>6.42</v>
      </c>
      <c r="D225" s="123">
        <f>pH_KCl!B226</f>
        <v>0</v>
      </c>
      <c r="E225" s="123">
        <f>'pH CaCl2'!C225</f>
        <v>0</v>
      </c>
      <c r="F225" s="123">
        <f>P_Mehlich1!H210</f>
        <v>0</v>
      </c>
      <c r="G225" s="123">
        <f>P_resina!H230</f>
        <v>0</v>
      </c>
      <c r="H225" s="273">
        <f>K!G195</f>
        <v>0</v>
      </c>
      <c r="I225" s="284">
        <v>0</v>
      </c>
      <c r="J225" s="273">
        <f>'Ca2+'!G226</f>
        <v>0</v>
      </c>
      <c r="K225" s="273">
        <f>Mg²!G228</f>
        <v>0</v>
      </c>
      <c r="L225" s="280">
        <f>Al³!C227</f>
        <v>0</v>
      </c>
      <c r="M225" s="280">
        <f>'H + Al'!D227</f>
        <v>0</v>
      </c>
      <c r="N225" s="273">
        <f t="shared" si="9"/>
        <v>0</v>
      </c>
      <c r="O225" s="273">
        <f t="shared" si="10"/>
        <v>0</v>
      </c>
      <c r="P225" s="273">
        <f t="shared" si="11"/>
        <v>0</v>
      </c>
      <c r="Q225" s="294" t="e">
        <f t="shared" si="12"/>
        <v>#DIV/0!</v>
      </c>
      <c r="R225" s="294" t="e">
        <f t="shared" si="13"/>
        <v>#DIV/0!</v>
      </c>
      <c r="S225" s="123">
        <f>Prem!H227</f>
        <v>0</v>
      </c>
      <c r="T225" s="280">
        <f>S!H231</f>
        <v>0</v>
      </c>
      <c r="U225" s="273">
        <f>B!H226</f>
        <v>0</v>
      </c>
      <c r="V225" s="273">
        <f>Zn!G227</f>
        <v>0</v>
      </c>
      <c r="W225" s="273">
        <f>Cu!G227</f>
        <v>0</v>
      </c>
      <c r="X225" s="273">
        <f>Mn!G227</f>
        <v>0</v>
      </c>
      <c r="Y225" s="273">
        <f>Fe!G227</f>
        <v>0</v>
      </c>
      <c r="Z225" s="273">
        <f>M.O!H227</f>
        <v>0</v>
      </c>
      <c r="AA225" s="273" t="e">
        <f t="shared" si="14"/>
        <v>#DIV/0!</v>
      </c>
      <c r="AB225" s="273" t="e">
        <f t="shared" si="15"/>
        <v>#DIV/0!</v>
      </c>
      <c r="AC225" s="273" t="e">
        <f t="shared" si="16"/>
        <v>#DIV/0!</v>
      </c>
    </row>
    <row r="226" spans="1:29" x14ac:dyDescent="0.2">
      <c r="A226" s="106">
        <f>Cadastro!A230</f>
        <v>0</v>
      </c>
      <c r="B226" s="27">
        <f>Cadastro!E228</f>
        <v>0</v>
      </c>
      <c r="C226" s="123">
        <f>pH_água!C226</f>
        <v>6.42</v>
      </c>
      <c r="D226" s="123">
        <f>pH_KCl!B227</f>
        <v>0</v>
      </c>
      <c r="E226" s="123">
        <f>'pH CaCl2'!C226</f>
        <v>0</v>
      </c>
      <c r="F226" s="123">
        <f>P_Mehlich1!H211</f>
        <v>0</v>
      </c>
      <c r="G226" s="123">
        <f>P_resina!H231</f>
        <v>0</v>
      </c>
      <c r="H226" s="273">
        <f>K!G196</f>
        <v>0</v>
      </c>
      <c r="I226" s="284">
        <v>0</v>
      </c>
      <c r="J226" s="273">
        <f>'Ca2+'!G227</f>
        <v>0</v>
      </c>
      <c r="K226" s="273">
        <f>Mg²!G229</f>
        <v>0</v>
      </c>
      <c r="L226" s="280">
        <f>Al³!C228</f>
        <v>0</v>
      </c>
      <c r="M226" s="280">
        <f>'H + Al'!D228</f>
        <v>0</v>
      </c>
      <c r="N226" s="273">
        <f t="shared" si="9"/>
        <v>0</v>
      </c>
      <c r="O226" s="273">
        <f t="shared" si="10"/>
        <v>0</v>
      </c>
      <c r="P226" s="273">
        <f t="shared" si="11"/>
        <v>0</v>
      </c>
      <c r="Q226" s="294" t="e">
        <f t="shared" si="12"/>
        <v>#DIV/0!</v>
      </c>
      <c r="R226" s="294" t="e">
        <f t="shared" si="13"/>
        <v>#DIV/0!</v>
      </c>
      <c r="S226" s="123">
        <f>Prem!H228</f>
        <v>0</v>
      </c>
      <c r="T226" s="280">
        <f>S!H232</f>
        <v>0</v>
      </c>
      <c r="U226" s="273">
        <f>B!H227</f>
        <v>0</v>
      </c>
      <c r="V226" s="273">
        <f>Zn!G228</f>
        <v>0</v>
      </c>
      <c r="W226" s="273">
        <f>Cu!G228</f>
        <v>0</v>
      </c>
      <c r="X226" s="273">
        <f>Mn!G228</f>
        <v>0</v>
      </c>
      <c r="Y226" s="273">
        <f>Fe!G228</f>
        <v>0</v>
      </c>
      <c r="Z226" s="273">
        <f>M.O!H228</f>
        <v>0</v>
      </c>
      <c r="AA226" s="273" t="e">
        <f t="shared" si="14"/>
        <v>#DIV/0!</v>
      </c>
      <c r="AB226" s="273" t="e">
        <f t="shared" si="15"/>
        <v>#DIV/0!</v>
      </c>
      <c r="AC226" s="273" t="e">
        <f t="shared" si="16"/>
        <v>#DIV/0!</v>
      </c>
    </row>
    <row r="227" spans="1:29" x14ac:dyDescent="0.2">
      <c r="A227" s="106">
        <f>Cadastro!A231</f>
        <v>0</v>
      </c>
      <c r="B227" s="27">
        <f>Cadastro!E229</f>
        <v>0</v>
      </c>
      <c r="C227" s="123">
        <f>pH_água!C227</f>
        <v>6.42</v>
      </c>
      <c r="D227" s="123">
        <f>pH_KCl!B228</f>
        <v>0</v>
      </c>
      <c r="E227" s="123">
        <f>'pH CaCl2'!C227</f>
        <v>0</v>
      </c>
      <c r="F227" s="123">
        <f>P_Mehlich1!H212</f>
        <v>0</v>
      </c>
      <c r="G227" s="123">
        <f>P_resina!H232</f>
        <v>0</v>
      </c>
      <c r="H227" s="273">
        <f>K!G197</f>
        <v>0</v>
      </c>
      <c r="I227" s="284">
        <v>0</v>
      </c>
      <c r="J227" s="273">
        <f>'Ca2+'!G228</f>
        <v>0</v>
      </c>
      <c r="K227" s="273">
        <f>Mg²!G230</f>
        <v>0</v>
      </c>
      <c r="L227" s="280">
        <f>Al³!C229</f>
        <v>0</v>
      </c>
      <c r="M227" s="280">
        <f>'H + Al'!D229</f>
        <v>0</v>
      </c>
      <c r="N227" s="273">
        <f t="shared" si="9"/>
        <v>0</v>
      </c>
      <c r="O227" s="273">
        <f t="shared" si="10"/>
        <v>0</v>
      </c>
      <c r="P227" s="273">
        <f t="shared" si="11"/>
        <v>0</v>
      </c>
      <c r="Q227" s="294" t="e">
        <f t="shared" si="12"/>
        <v>#DIV/0!</v>
      </c>
      <c r="R227" s="294" t="e">
        <f t="shared" si="13"/>
        <v>#DIV/0!</v>
      </c>
      <c r="S227" s="123">
        <f>Prem!H229</f>
        <v>0</v>
      </c>
      <c r="T227" s="280">
        <f>S!H233</f>
        <v>0</v>
      </c>
      <c r="U227" s="273">
        <f>B!H228</f>
        <v>0</v>
      </c>
      <c r="V227" s="273">
        <f>Zn!G229</f>
        <v>0</v>
      </c>
      <c r="W227" s="273">
        <f>Cu!G229</f>
        <v>0</v>
      </c>
      <c r="X227" s="273">
        <f>Mn!G229</f>
        <v>0</v>
      </c>
      <c r="Y227" s="273">
        <f>Fe!G229</f>
        <v>0</v>
      </c>
      <c r="Z227" s="273">
        <f>M.O!H229</f>
        <v>0</v>
      </c>
      <c r="AA227" s="273" t="e">
        <f t="shared" si="14"/>
        <v>#DIV/0!</v>
      </c>
      <c r="AB227" s="273" t="e">
        <f t="shared" si="15"/>
        <v>#DIV/0!</v>
      </c>
      <c r="AC227" s="273" t="e">
        <f t="shared" si="16"/>
        <v>#DIV/0!</v>
      </c>
    </row>
    <row r="228" spans="1:29" x14ac:dyDescent="0.2">
      <c r="A228" s="106">
        <f>Cadastro!A232</f>
        <v>0</v>
      </c>
      <c r="B228" s="27">
        <f>Cadastro!E230</f>
        <v>0</v>
      </c>
      <c r="C228" s="123">
        <f>pH_água!C228</f>
        <v>6.42</v>
      </c>
      <c r="D228" s="123">
        <f>pH_KCl!B229</f>
        <v>0</v>
      </c>
      <c r="E228" s="123">
        <f>'pH CaCl2'!C228</f>
        <v>0</v>
      </c>
      <c r="F228" s="123">
        <f>P_Mehlich1!H213</f>
        <v>0</v>
      </c>
      <c r="G228" s="123">
        <f>P_resina!H233</f>
        <v>0</v>
      </c>
      <c r="H228" s="273">
        <f>K!G198</f>
        <v>0</v>
      </c>
      <c r="I228" s="284">
        <v>0</v>
      </c>
      <c r="J228" s="273">
        <f>'Ca2+'!G229</f>
        <v>0</v>
      </c>
      <c r="K228" s="273">
        <f>Mg²!G231</f>
        <v>0</v>
      </c>
      <c r="L228" s="280">
        <f>Al³!C230</f>
        <v>0</v>
      </c>
      <c r="M228" s="280">
        <f>'H + Al'!D230</f>
        <v>0</v>
      </c>
      <c r="N228" s="273">
        <f t="shared" si="9"/>
        <v>0</v>
      </c>
      <c r="O228" s="273">
        <f t="shared" si="10"/>
        <v>0</v>
      </c>
      <c r="P228" s="273">
        <f t="shared" si="11"/>
        <v>0</v>
      </c>
      <c r="Q228" s="294" t="e">
        <f t="shared" si="12"/>
        <v>#DIV/0!</v>
      </c>
      <c r="R228" s="294" t="e">
        <f t="shared" si="13"/>
        <v>#DIV/0!</v>
      </c>
      <c r="S228" s="123">
        <f>Prem!H230</f>
        <v>0</v>
      </c>
      <c r="T228" s="280">
        <f>S!H234</f>
        <v>0</v>
      </c>
      <c r="U228" s="273">
        <f>B!H229</f>
        <v>0</v>
      </c>
      <c r="V228" s="273">
        <f>Zn!G230</f>
        <v>0</v>
      </c>
      <c r="W228" s="273">
        <f>Cu!G230</f>
        <v>0</v>
      </c>
      <c r="X228" s="273">
        <f>Mn!G230</f>
        <v>0</v>
      </c>
      <c r="Y228" s="273">
        <f>Fe!G230</f>
        <v>0</v>
      </c>
      <c r="Z228" s="273">
        <f>M.O!H230</f>
        <v>0</v>
      </c>
      <c r="AA228" s="273" t="e">
        <f t="shared" si="14"/>
        <v>#DIV/0!</v>
      </c>
      <c r="AB228" s="273" t="e">
        <f t="shared" si="15"/>
        <v>#DIV/0!</v>
      </c>
      <c r="AC228" s="273" t="e">
        <f t="shared" si="16"/>
        <v>#DIV/0!</v>
      </c>
    </row>
    <row r="229" spans="1:29" x14ac:dyDescent="0.2">
      <c r="A229" s="106">
        <f>Cadastro!A233</f>
        <v>0</v>
      </c>
      <c r="B229" s="27">
        <f>Cadastro!E231</f>
        <v>0</v>
      </c>
      <c r="C229" s="123">
        <f>pH_água!C229</f>
        <v>6.42</v>
      </c>
      <c r="D229" s="123">
        <f>pH_KCl!B230</f>
        <v>0</v>
      </c>
      <c r="E229" s="123">
        <f>'pH CaCl2'!C229</f>
        <v>0</v>
      </c>
      <c r="F229" s="123">
        <f>P_Mehlich1!H214</f>
        <v>0</v>
      </c>
      <c r="G229" s="123">
        <f>P_resina!H234</f>
        <v>0</v>
      </c>
      <c r="H229" s="273">
        <f>K!G199</f>
        <v>0</v>
      </c>
      <c r="I229" s="284">
        <v>0</v>
      </c>
      <c r="J229" s="273">
        <f>'Ca2+'!G230</f>
        <v>0</v>
      </c>
      <c r="K229" s="273">
        <f>Mg²!G232</f>
        <v>0</v>
      </c>
      <c r="L229" s="280">
        <f>Al³!C231</f>
        <v>0</v>
      </c>
      <c r="M229" s="280">
        <f>'H + Al'!D231</f>
        <v>0</v>
      </c>
      <c r="N229" s="273">
        <f t="shared" si="9"/>
        <v>0</v>
      </c>
      <c r="O229" s="273">
        <f t="shared" si="10"/>
        <v>0</v>
      </c>
      <c r="P229" s="273">
        <f t="shared" si="11"/>
        <v>0</v>
      </c>
      <c r="Q229" s="294" t="e">
        <f t="shared" si="12"/>
        <v>#DIV/0!</v>
      </c>
      <c r="R229" s="294" t="e">
        <f t="shared" si="13"/>
        <v>#DIV/0!</v>
      </c>
      <c r="S229" s="123">
        <f>Prem!H231</f>
        <v>0</v>
      </c>
      <c r="T229" s="280">
        <f>S!H235</f>
        <v>0</v>
      </c>
      <c r="U229" s="273">
        <f>B!H230</f>
        <v>0</v>
      </c>
      <c r="V229" s="273">
        <f>Zn!G231</f>
        <v>0</v>
      </c>
      <c r="W229" s="273">
        <f>Cu!G231</f>
        <v>0</v>
      </c>
      <c r="X229" s="273">
        <f>Mn!G231</f>
        <v>0</v>
      </c>
      <c r="Y229" s="273">
        <f>Fe!G231</f>
        <v>0</v>
      </c>
      <c r="Z229" s="273">
        <f>M.O!H231</f>
        <v>0</v>
      </c>
      <c r="AA229" s="273" t="e">
        <f t="shared" si="14"/>
        <v>#DIV/0!</v>
      </c>
      <c r="AB229" s="273" t="e">
        <f t="shared" si="15"/>
        <v>#DIV/0!</v>
      </c>
      <c r="AC229" s="273" t="e">
        <f t="shared" si="16"/>
        <v>#DIV/0!</v>
      </c>
    </row>
    <row r="230" spans="1:29" x14ac:dyDescent="0.2">
      <c r="A230" s="106">
        <f>Cadastro!A234</f>
        <v>0</v>
      </c>
      <c r="B230" s="27">
        <f>Cadastro!E232</f>
        <v>0</v>
      </c>
      <c r="C230" s="123">
        <f>pH_água!C230</f>
        <v>6.42</v>
      </c>
      <c r="D230" s="123">
        <f>pH_KCl!B231</f>
        <v>0</v>
      </c>
      <c r="E230" s="123">
        <f>'pH CaCl2'!C230</f>
        <v>0</v>
      </c>
      <c r="F230" s="123">
        <f>P_Mehlich1!H215</f>
        <v>0</v>
      </c>
      <c r="G230" s="123">
        <f>P_resina!H235</f>
        <v>0</v>
      </c>
      <c r="H230" s="273">
        <f>K!G200</f>
        <v>0</v>
      </c>
      <c r="I230" s="284">
        <v>0</v>
      </c>
      <c r="J230" s="273">
        <f>'Ca2+'!G231</f>
        <v>0</v>
      </c>
      <c r="K230" s="273">
        <f>Mg²!G233</f>
        <v>0</v>
      </c>
      <c r="L230" s="280">
        <f>Al³!C232</f>
        <v>0</v>
      </c>
      <c r="M230" s="280">
        <f>'H + Al'!D232</f>
        <v>0</v>
      </c>
      <c r="N230" s="273">
        <f t="shared" si="9"/>
        <v>0</v>
      </c>
      <c r="O230" s="273">
        <f t="shared" si="10"/>
        <v>0</v>
      </c>
      <c r="P230" s="273">
        <f t="shared" si="11"/>
        <v>0</v>
      </c>
      <c r="Q230" s="294" t="e">
        <f t="shared" si="12"/>
        <v>#DIV/0!</v>
      </c>
      <c r="R230" s="294" t="e">
        <f t="shared" si="13"/>
        <v>#DIV/0!</v>
      </c>
      <c r="S230" s="123">
        <f>Prem!H232</f>
        <v>0</v>
      </c>
      <c r="T230" s="280">
        <f>S!H236</f>
        <v>0</v>
      </c>
      <c r="U230" s="273">
        <f>B!H231</f>
        <v>0</v>
      </c>
      <c r="V230" s="273">
        <f>Zn!G232</f>
        <v>0</v>
      </c>
      <c r="W230" s="273">
        <f>Cu!G232</f>
        <v>0</v>
      </c>
      <c r="X230" s="273">
        <f>Mn!G232</f>
        <v>0</v>
      </c>
      <c r="Y230" s="273">
        <f>Fe!G232</f>
        <v>0</v>
      </c>
      <c r="Z230" s="273">
        <f>M.O!H232</f>
        <v>0</v>
      </c>
      <c r="AA230" s="273" t="e">
        <f t="shared" si="14"/>
        <v>#DIV/0!</v>
      </c>
      <c r="AB230" s="273" t="e">
        <f t="shared" si="15"/>
        <v>#DIV/0!</v>
      </c>
      <c r="AC230" s="273" t="e">
        <f t="shared" si="16"/>
        <v>#DIV/0!</v>
      </c>
    </row>
    <row r="231" spans="1:29" x14ac:dyDescent="0.2">
      <c r="A231" s="106">
        <f>Cadastro!A235</f>
        <v>0</v>
      </c>
      <c r="B231" s="27">
        <f>Cadastro!E233</f>
        <v>0</v>
      </c>
      <c r="C231" s="123">
        <f>pH_água!C231</f>
        <v>6.42</v>
      </c>
      <c r="D231" s="123">
        <f>pH_KCl!B232</f>
        <v>0</v>
      </c>
      <c r="E231" s="123">
        <f>'pH CaCl2'!C231</f>
        <v>0</v>
      </c>
      <c r="F231" s="123">
        <f>P_Mehlich1!H216</f>
        <v>0</v>
      </c>
      <c r="G231" s="123">
        <f>P_resina!H236</f>
        <v>0</v>
      </c>
      <c r="H231" s="273">
        <f>K!G201</f>
        <v>0</v>
      </c>
      <c r="I231" s="284">
        <v>0</v>
      </c>
      <c r="J231" s="273">
        <f>'Ca2+'!G232</f>
        <v>0</v>
      </c>
      <c r="K231" s="273">
        <f>Mg²!G234</f>
        <v>0</v>
      </c>
      <c r="L231" s="280">
        <f>Al³!C233</f>
        <v>0</v>
      </c>
      <c r="M231" s="280">
        <f>'H + Al'!D233</f>
        <v>0</v>
      </c>
      <c r="N231" s="273">
        <f t="shared" si="9"/>
        <v>0</v>
      </c>
      <c r="O231" s="273">
        <f t="shared" si="10"/>
        <v>0</v>
      </c>
      <c r="P231" s="273">
        <f t="shared" si="11"/>
        <v>0</v>
      </c>
      <c r="Q231" s="294" t="e">
        <f t="shared" si="12"/>
        <v>#DIV/0!</v>
      </c>
      <c r="R231" s="294" t="e">
        <f t="shared" si="13"/>
        <v>#DIV/0!</v>
      </c>
      <c r="S231" s="123">
        <f>Prem!H233</f>
        <v>0</v>
      </c>
      <c r="T231" s="280">
        <f>S!H237</f>
        <v>0</v>
      </c>
      <c r="U231" s="273">
        <f>B!H232</f>
        <v>0</v>
      </c>
      <c r="V231" s="273">
        <f>Zn!G233</f>
        <v>0</v>
      </c>
      <c r="W231" s="273">
        <f>Cu!G233</f>
        <v>0</v>
      </c>
      <c r="X231" s="273">
        <f>Mn!G233</f>
        <v>0</v>
      </c>
      <c r="Y231" s="273">
        <f>Fe!G233</f>
        <v>0</v>
      </c>
      <c r="Z231" s="273">
        <f>M.O!H233</f>
        <v>0</v>
      </c>
      <c r="AA231" s="273" t="e">
        <f t="shared" si="14"/>
        <v>#DIV/0!</v>
      </c>
      <c r="AB231" s="273" t="e">
        <f t="shared" si="15"/>
        <v>#DIV/0!</v>
      </c>
      <c r="AC231" s="273" t="e">
        <f t="shared" si="16"/>
        <v>#DIV/0!</v>
      </c>
    </row>
    <row r="232" spans="1:29" x14ac:dyDescent="0.2">
      <c r="A232" s="106">
        <f>Cadastro!A236</f>
        <v>0</v>
      </c>
      <c r="B232" s="27">
        <f>Cadastro!E234</f>
        <v>0</v>
      </c>
      <c r="C232" s="123">
        <f>pH_água!C232</f>
        <v>6.42</v>
      </c>
      <c r="D232" s="123">
        <f>pH_KCl!B233</f>
        <v>0</v>
      </c>
      <c r="E232" s="123">
        <f>'pH CaCl2'!C232</f>
        <v>0</v>
      </c>
      <c r="F232" s="123">
        <f>P_Mehlich1!H217</f>
        <v>0</v>
      </c>
      <c r="G232" s="123">
        <f>P_resina!H237</f>
        <v>0</v>
      </c>
      <c r="H232" s="273">
        <f>K!G202</f>
        <v>0</v>
      </c>
      <c r="I232" s="284">
        <v>0</v>
      </c>
      <c r="J232" s="273">
        <f>'Ca2+'!G233</f>
        <v>0</v>
      </c>
      <c r="K232" s="273">
        <f>Mg²!G235</f>
        <v>0</v>
      </c>
      <c r="L232" s="280">
        <f>Al³!C234</f>
        <v>0</v>
      </c>
      <c r="M232" s="280">
        <f>'H + Al'!D234</f>
        <v>0</v>
      </c>
      <c r="N232" s="273">
        <f t="shared" si="9"/>
        <v>0</v>
      </c>
      <c r="O232" s="273">
        <f t="shared" si="10"/>
        <v>0</v>
      </c>
      <c r="P232" s="273">
        <f t="shared" si="11"/>
        <v>0</v>
      </c>
      <c r="Q232" s="294" t="e">
        <f t="shared" si="12"/>
        <v>#DIV/0!</v>
      </c>
      <c r="R232" s="294" t="e">
        <f t="shared" si="13"/>
        <v>#DIV/0!</v>
      </c>
      <c r="S232" s="123">
        <f>Prem!H234</f>
        <v>0</v>
      </c>
      <c r="T232" s="280">
        <f>S!H238</f>
        <v>0</v>
      </c>
      <c r="U232" s="273">
        <f>B!H233</f>
        <v>0</v>
      </c>
      <c r="V232" s="273">
        <f>Zn!G234</f>
        <v>0</v>
      </c>
      <c r="W232" s="273">
        <f>Cu!G234</f>
        <v>0</v>
      </c>
      <c r="X232" s="273">
        <f>Mn!G234</f>
        <v>0</v>
      </c>
      <c r="Y232" s="273">
        <f>Fe!G234</f>
        <v>0</v>
      </c>
      <c r="Z232" s="273">
        <f>M.O!H234</f>
        <v>0</v>
      </c>
      <c r="AA232" s="273" t="e">
        <f t="shared" si="14"/>
        <v>#DIV/0!</v>
      </c>
      <c r="AB232" s="273" t="e">
        <f t="shared" si="15"/>
        <v>#DIV/0!</v>
      </c>
      <c r="AC232" s="273" t="e">
        <f t="shared" si="16"/>
        <v>#DIV/0!</v>
      </c>
    </row>
    <row r="233" spans="1:29" x14ac:dyDescent="0.2">
      <c r="A233" s="106">
        <f>Cadastro!A237</f>
        <v>0</v>
      </c>
      <c r="B233" s="27">
        <f>Cadastro!E235</f>
        <v>0</v>
      </c>
      <c r="C233" s="123">
        <f>pH_água!C233</f>
        <v>6.42</v>
      </c>
      <c r="D233" s="123">
        <f>pH_KCl!B234</f>
        <v>0</v>
      </c>
      <c r="E233" s="123">
        <f>'pH CaCl2'!C233</f>
        <v>0</v>
      </c>
      <c r="F233" s="123">
        <f>P_Mehlich1!H218</f>
        <v>0</v>
      </c>
      <c r="G233" s="123">
        <f>P_resina!H238</f>
        <v>0</v>
      </c>
      <c r="H233" s="273">
        <f>K!G203</f>
        <v>0</v>
      </c>
      <c r="I233" s="284">
        <v>0</v>
      </c>
      <c r="J233" s="273">
        <f>'Ca2+'!G234</f>
        <v>0</v>
      </c>
      <c r="K233" s="273">
        <f>Mg²!G236</f>
        <v>0</v>
      </c>
      <c r="L233" s="280">
        <f>Al³!C235</f>
        <v>0</v>
      </c>
      <c r="M233" s="280">
        <f>'H + Al'!D235</f>
        <v>0</v>
      </c>
      <c r="N233" s="273">
        <f t="shared" si="9"/>
        <v>0</v>
      </c>
      <c r="O233" s="273">
        <f t="shared" si="10"/>
        <v>0</v>
      </c>
      <c r="P233" s="273">
        <f t="shared" si="11"/>
        <v>0</v>
      </c>
      <c r="Q233" s="294" t="e">
        <f t="shared" si="12"/>
        <v>#DIV/0!</v>
      </c>
      <c r="R233" s="294" t="e">
        <f t="shared" si="13"/>
        <v>#DIV/0!</v>
      </c>
      <c r="S233" s="123">
        <f>Prem!H235</f>
        <v>0</v>
      </c>
      <c r="T233" s="280">
        <f>S!H239</f>
        <v>0</v>
      </c>
      <c r="U233" s="273">
        <f>B!H234</f>
        <v>0</v>
      </c>
      <c r="V233" s="273">
        <f>Zn!G235</f>
        <v>0</v>
      </c>
      <c r="W233" s="273">
        <f>Cu!G235</f>
        <v>0</v>
      </c>
      <c r="X233" s="273">
        <f>Mn!G235</f>
        <v>0</v>
      </c>
      <c r="Y233" s="273">
        <f>Fe!G235</f>
        <v>0</v>
      </c>
      <c r="Z233" s="273">
        <f>M.O!H235</f>
        <v>0</v>
      </c>
      <c r="AA233" s="273" t="e">
        <f t="shared" si="14"/>
        <v>#DIV/0!</v>
      </c>
      <c r="AB233" s="273" t="e">
        <f t="shared" si="15"/>
        <v>#DIV/0!</v>
      </c>
      <c r="AC233" s="273" t="e">
        <f t="shared" si="16"/>
        <v>#DIV/0!</v>
      </c>
    </row>
    <row r="234" spans="1:29" x14ac:dyDescent="0.2">
      <c r="A234" s="106">
        <f>Cadastro!A238</f>
        <v>0</v>
      </c>
      <c r="B234" s="27">
        <f>Cadastro!E236</f>
        <v>0</v>
      </c>
      <c r="C234" s="123">
        <f>pH_água!C234</f>
        <v>6.42</v>
      </c>
      <c r="D234" s="123">
        <f>pH_KCl!B235</f>
        <v>0</v>
      </c>
      <c r="E234" s="123">
        <f>'pH CaCl2'!C234</f>
        <v>0</v>
      </c>
      <c r="F234" s="123">
        <f>P_Mehlich1!H219</f>
        <v>0</v>
      </c>
      <c r="G234" s="123">
        <f>P_resina!H239</f>
        <v>0</v>
      </c>
      <c r="H234" s="273">
        <f>K!G204</f>
        <v>0</v>
      </c>
      <c r="I234" s="284">
        <v>0</v>
      </c>
      <c r="J234" s="273">
        <f>'Ca2+'!G235</f>
        <v>0</v>
      </c>
      <c r="K234" s="273">
        <f>Mg²!G237</f>
        <v>0</v>
      </c>
      <c r="L234" s="280">
        <f>Al³!C236</f>
        <v>0</v>
      </c>
      <c r="M234" s="280">
        <f>'H + Al'!D236</f>
        <v>0</v>
      </c>
      <c r="N234" s="273">
        <f t="shared" si="9"/>
        <v>0</v>
      </c>
      <c r="O234" s="273">
        <f t="shared" si="10"/>
        <v>0</v>
      </c>
      <c r="P234" s="273">
        <f t="shared" si="11"/>
        <v>0</v>
      </c>
      <c r="Q234" s="294" t="e">
        <f t="shared" si="12"/>
        <v>#DIV/0!</v>
      </c>
      <c r="R234" s="294" t="e">
        <f t="shared" si="13"/>
        <v>#DIV/0!</v>
      </c>
      <c r="S234" s="123">
        <f>Prem!H236</f>
        <v>0</v>
      </c>
      <c r="T234" s="280">
        <f>S!H240</f>
        <v>0</v>
      </c>
      <c r="U234" s="273">
        <f>B!H235</f>
        <v>0</v>
      </c>
      <c r="V234" s="273">
        <f>Zn!G236</f>
        <v>0</v>
      </c>
      <c r="W234" s="273">
        <f>Cu!G236</f>
        <v>0</v>
      </c>
      <c r="X234" s="273">
        <f>Mn!G236</f>
        <v>0</v>
      </c>
      <c r="Y234" s="273">
        <f>Fe!G236</f>
        <v>0</v>
      </c>
      <c r="Z234" s="273">
        <f>M.O!H236</f>
        <v>0</v>
      </c>
      <c r="AA234" s="273" t="e">
        <f t="shared" si="14"/>
        <v>#DIV/0!</v>
      </c>
      <c r="AB234" s="273" t="e">
        <f t="shared" si="15"/>
        <v>#DIV/0!</v>
      </c>
      <c r="AC234" s="273" t="e">
        <f t="shared" si="16"/>
        <v>#DIV/0!</v>
      </c>
    </row>
    <row r="235" spans="1:29" x14ac:dyDescent="0.2">
      <c r="A235" s="106">
        <f>Cadastro!A239</f>
        <v>0</v>
      </c>
      <c r="B235" s="27">
        <f>Cadastro!E237</f>
        <v>0</v>
      </c>
      <c r="C235" s="123">
        <f>pH_água!C235</f>
        <v>6.42</v>
      </c>
      <c r="D235" s="123">
        <f>pH_KCl!B236</f>
        <v>0</v>
      </c>
      <c r="E235" s="123">
        <f>'pH CaCl2'!C235</f>
        <v>0</v>
      </c>
      <c r="F235" s="123">
        <f>P_Mehlich1!H220</f>
        <v>0</v>
      </c>
      <c r="G235" s="123">
        <f>P_resina!H240</f>
        <v>0</v>
      </c>
      <c r="H235" s="273">
        <f>K!G205</f>
        <v>0</v>
      </c>
      <c r="I235" s="284">
        <v>0</v>
      </c>
      <c r="J235" s="273">
        <f>'Ca2+'!G236</f>
        <v>0</v>
      </c>
      <c r="K235" s="273">
        <f>Mg²!G238</f>
        <v>0</v>
      </c>
      <c r="L235" s="280">
        <f>Al³!C237</f>
        <v>0</v>
      </c>
      <c r="M235" s="280">
        <f>'H + Al'!D237</f>
        <v>0</v>
      </c>
      <c r="N235" s="273">
        <f t="shared" si="9"/>
        <v>0</v>
      </c>
      <c r="O235" s="273">
        <f t="shared" si="10"/>
        <v>0</v>
      </c>
      <c r="P235" s="273">
        <f t="shared" si="11"/>
        <v>0</v>
      </c>
      <c r="Q235" s="294" t="e">
        <f t="shared" si="12"/>
        <v>#DIV/0!</v>
      </c>
      <c r="R235" s="294" t="e">
        <f t="shared" si="13"/>
        <v>#DIV/0!</v>
      </c>
      <c r="S235" s="123">
        <f>Prem!H237</f>
        <v>0</v>
      </c>
      <c r="T235" s="280">
        <f>S!H241</f>
        <v>0</v>
      </c>
      <c r="U235" s="273">
        <f>B!H236</f>
        <v>0</v>
      </c>
      <c r="V235" s="273">
        <f>Zn!G237</f>
        <v>0</v>
      </c>
      <c r="W235" s="273">
        <f>Cu!G237</f>
        <v>0</v>
      </c>
      <c r="X235" s="273">
        <f>Mn!G237</f>
        <v>0</v>
      </c>
      <c r="Y235" s="273">
        <f>Fe!G237</f>
        <v>0</v>
      </c>
      <c r="Z235" s="273">
        <f>M.O!H237</f>
        <v>0</v>
      </c>
      <c r="AA235" s="273" t="e">
        <f t="shared" si="14"/>
        <v>#DIV/0!</v>
      </c>
      <c r="AB235" s="273" t="e">
        <f t="shared" si="15"/>
        <v>#DIV/0!</v>
      </c>
      <c r="AC235" s="273" t="e">
        <f t="shared" si="16"/>
        <v>#DIV/0!</v>
      </c>
    </row>
    <row r="236" spans="1:29" x14ac:dyDescent="0.2">
      <c r="A236" s="106">
        <f>Cadastro!A240</f>
        <v>0</v>
      </c>
      <c r="B236" s="27">
        <f>Cadastro!E238</f>
        <v>0</v>
      </c>
      <c r="C236" s="123">
        <f>pH_água!C236</f>
        <v>6.42</v>
      </c>
      <c r="D236" s="123">
        <f>pH_KCl!B237</f>
        <v>0</v>
      </c>
      <c r="E236" s="123">
        <f>'pH CaCl2'!C236</f>
        <v>0</v>
      </c>
      <c r="F236" s="123">
        <f>P_Mehlich1!H221</f>
        <v>0</v>
      </c>
      <c r="G236" s="123">
        <f>P_resina!H241</f>
        <v>0</v>
      </c>
      <c r="H236" s="273">
        <f>K!G206</f>
        <v>0</v>
      </c>
      <c r="I236" s="284">
        <v>0</v>
      </c>
      <c r="J236" s="273">
        <f>'Ca2+'!G237</f>
        <v>0</v>
      </c>
      <c r="K236" s="273">
        <f>Mg²!G239</f>
        <v>0</v>
      </c>
      <c r="L236" s="280">
        <f>Al³!C238</f>
        <v>0</v>
      </c>
      <c r="M236" s="280">
        <f>'H + Al'!D238</f>
        <v>0</v>
      </c>
      <c r="N236" s="273">
        <f t="shared" si="9"/>
        <v>0</v>
      </c>
      <c r="O236" s="273">
        <f t="shared" si="10"/>
        <v>0</v>
      </c>
      <c r="P236" s="273">
        <f t="shared" si="11"/>
        <v>0</v>
      </c>
      <c r="Q236" s="294" t="e">
        <f t="shared" si="12"/>
        <v>#DIV/0!</v>
      </c>
      <c r="R236" s="294" t="e">
        <f t="shared" si="13"/>
        <v>#DIV/0!</v>
      </c>
      <c r="S236" s="123">
        <f>Prem!H238</f>
        <v>0</v>
      </c>
      <c r="T236" s="280">
        <f>S!H242</f>
        <v>0</v>
      </c>
      <c r="U236" s="273">
        <f>B!H237</f>
        <v>0</v>
      </c>
      <c r="V236" s="273">
        <f>Zn!G238</f>
        <v>0</v>
      </c>
      <c r="W236" s="273">
        <f>Cu!G238</f>
        <v>0</v>
      </c>
      <c r="X236" s="273">
        <f>Mn!G238</f>
        <v>0</v>
      </c>
      <c r="Y236" s="273">
        <f>Fe!G238</f>
        <v>0</v>
      </c>
      <c r="Z236" s="273">
        <f>M.O!H238</f>
        <v>0</v>
      </c>
      <c r="AA236" s="273" t="e">
        <f t="shared" si="14"/>
        <v>#DIV/0!</v>
      </c>
      <c r="AB236" s="273" t="e">
        <f t="shared" si="15"/>
        <v>#DIV/0!</v>
      </c>
      <c r="AC236" s="273" t="e">
        <f t="shared" si="16"/>
        <v>#DIV/0!</v>
      </c>
    </row>
    <row r="237" spans="1:29" x14ac:dyDescent="0.2">
      <c r="A237" s="106">
        <f>Cadastro!A241</f>
        <v>0</v>
      </c>
      <c r="B237" s="27">
        <f>Cadastro!E239</f>
        <v>0</v>
      </c>
      <c r="C237" s="123">
        <f>pH_água!C237</f>
        <v>6.42</v>
      </c>
      <c r="D237" s="123">
        <f>pH_KCl!B238</f>
        <v>0</v>
      </c>
      <c r="E237" s="123">
        <f>'pH CaCl2'!C237</f>
        <v>0</v>
      </c>
      <c r="F237" s="123">
        <f>P_Mehlich1!H222</f>
        <v>0</v>
      </c>
      <c r="G237" s="123">
        <f>P_resina!H242</f>
        <v>0</v>
      </c>
      <c r="H237" s="273">
        <f>K!G207</f>
        <v>0</v>
      </c>
      <c r="I237" s="284">
        <v>0</v>
      </c>
      <c r="J237" s="273">
        <f>'Ca2+'!G238</f>
        <v>0</v>
      </c>
      <c r="K237" s="273">
        <f>Mg²!G240</f>
        <v>0</v>
      </c>
      <c r="L237" s="280">
        <f>Al³!C239</f>
        <v>0</v>
      </c>
      <c r="M237" s="280">
        <f>'H + Al'!D239</f>
        <v>0</v>
      </c>
      <c r="N237" s="273">
        <f t="shared" si="9"/>
        <v>0</v>
      </c>
      <c r="O237" s="273">
        <f t="shared" si="10"/>
        <v>0</v>
      </c>
      <c r="P237" s="273">
        <f t="shared" si="11"/>
        <v>0</v>
      </c>
      <c r="Q237" s="294" t="e">
        <f t="shared" si="12"/>
        <v>#DIV/0!</v>
      </c>
      <c r="R237" s="294" t="e">
        <f t="shared" si="13"/>
        <v>#DIV/0!</v>
      </c>
      <c r="S237" s="123">
        <f>Prem!H239</f>
        <v>0</v>
      </c>
      <c r="T237" s="280">
        <f>S!H243</f>
        <v>0</v>
      </c>
      <c r="U237" s="273">
        <f>B!H238</f>
        <v>0</v>
      </c>
      <c r="V237" s="273">
        <f>Zn!G239</f>
        <v>0</v>
      </c>
      <c r="W237" s="273">
        <f>Cu!G239</f>
        <v>0</v>
      </c>
      <c r="X237" s="273">
        <f>Mn!G239</f>
        <v>0</v>
      </c>
      <c r="Y237" s="273">
        <f>Fe!G239</f>
        <v>0</v>
      </c>
      <c r="Z237" s="273">
        <f>M.O!H239</f>
        <v>0</v>
      </c>
      <c r="AA237" s="273" t="e">
        <f t="shared" si="14"/>
        <v>#DIV/0!</v>
      </c>
      <c r="AB237" s="273" t="e">
        <f t="shared" si="15"/>
        <v>#DIV/0!</v>
      </c>
      <c r="AC237" s="273" t="e">
        <f t="shared" si="16"/>
        <v>#DIV/0!</v>
      </c>
    </row>
    <row r="238" spans="1:29" x14ac:dyDescent="0.2">
      <c r="A238" s="106">
        <f>Cadastro!A242</f>
        <v>0</v>
      </c>
      <c r="B238" s="27">
        <f>Cadastro!E240</f>
        <v>0</v>
      </c>
      <c r="C238" s="123">
        <f>pH_água!C238</f>
        <v>6.42</v>
      </c>
      <c r="D238" s="123">
        <f>pH_KCl!B239</f>
        <v>0</v>
      </c>
      <c r="E238" s="123">
        <f>'pH CaCl2'!C238</f>
        <v>0</v>
      </c>
      <c r="F238" s="123">
        <f>P_Mehlich1!H223</f>
        <v>0</v>
      </c>
      <c r="G238" s="123">
        <f>P_resina!H243</f>
        <v>0</v>
      </c>
      <c r="H238" s="273">
        <f>K!G208</f>
        <v>0</v>
      </c>
      <c r="I238" s="284">
        <v>0</v>
      </c>
      <c r="J238" s="273">
        <f>'Ca2+'!G239</f>
        <v>0</v>
      </c>
      <c r="K238" s="273">
        <f>Mg²!G241</f>
        <v>0</v>
      </c>
      <c r="L238" s="280">
        <f>Al³!C240</f>
        <v>0</v>
      </c>
      <c r="M238" s="280">
        <f>'H + Al'!D240</f>
        <v>0</v>
      </c>
      <c r="N238" s="273">
        <f t="shared" si="9"/>
        <v>0</v>
      </c>
      <c r="O238" s="273">
        <f t="shared" si="10"/>
        <v>0</v>
      </c>
      <c r="P238" s="273">
        <f t="shared" si="11"/>
        <v>0</v>
      </c>
      <c r="Q238" s="294" t="e">
        <f t="shared" si="12"/>
        <v>#DIV/0!</v>
      </c>
      <c r="R238" s="294" t="e">
        <f t="shared" si="13"/>
        <v>#DIV/0!</v>
      </c>
      <c r="S238" s="123">
        <f>Prem!H240</f>
        <v>0</v>
      </c>
      <c r="T238" s="280">
        <f>S!H244</f>
        <v>0</v>
      </c>
      <c r="U238" s="273">
        <f>B!H239</f>
        <v>0</v>
      </c>
      <c r="V238" s="273">
        <f>Zn!G240</f>
        <v>0</v>
      </c>
      <c r="W238" s="273">
        <f>Cu!G240</f>
        <v>0</v>
      </c>
      <c r="X238" s="273">
        <f>Mn!G240</f>
        <v>0</v>
      </c>
      <c r="Y238" s="273">
        <f>Fe!G240</f>
        <v>0</v>
      </c>
      <c r="Z238" s="273">
        <f>M.O!H240</f>
        <v>0</v>
      </c>
      <c r="AA238" s="273" t="e">
        <f t="shared" si="14"/>
        <v>#DIV/0!</v>
      </c>
      <c r="AB238" s="273" t="e">
        <f t="shared" si="15"/>
        <v>#DIV/0!</v>
      </c>
      <c r="AC238" s="273" t="e">
        <f t="shared" si="16"/>
        <v>#DIV/0!</v>
      </c>
    </row>
    <row r="239" spans="1:29" x14ac:dyDescent="0.2">
      <c r="A239" s="106">
        <f>Cadastro!A243</f>
        <v>0</v>
      </c>
      <c r="B239" s="27">
        <f>Cadastro!E241</f>
        <v>0</v>
      </c>
      <c r="C239" s="123">
        <f>pH_água!C239</f>
        <v>6.42</v>
      </c>
      <c r="D239" s="123">
        <f>pH_KCl!B240</f>
        <v>0</v>
      </c>
      <c r="E239" s="123">
        <f>'pH CaCl2'!C239</f>
        <v>0</v>
      </c>
      <c r="F239" s="123">
        <f>P_Mehlich1!H224</f>
        <v>0</v>
      </c>
      <c r="G239" s="123">
        <f>P_resina!H244</f>
        <v>0</v>
      </c>
      <c r="H239" s="273">
        <f>K!G209</f>
        <v>0</v>
      </c>
      <c r="I239" s="284">
        <v>0</v>
      </c>
      <c r="J239" s="273">
        <f>'Ca2+'!G240</f>
        <v>0</v>
      </c>
      <c r="K239" s="273">
        <f>Mg²!G242</f>
        <v>0</v>
      </c>
      <c r="L239" s="280">
        <f>Al³!C241</f>
        <v>0</v>
      </c>
      <c r="M239" s="280">
        <f>'H + Al'!D241</f>
        <v>0</v>
      </c>
      <c r="N239" s="273">
        <f t="shared" si="9"/>
        <v>0</v>
      </c>
      <c r="O239" s="273">
        <f t="shared" si="10"/>
        <v>0</v>
      </c>
      <c r="P239" s="273">
        <f t="shared" si="11"/>
        <v>0</v>
      </c>
      <c r="Q239" s="294" t="e">
        <f t="shared" si="12"/>
        <v>#DIV/0!</v>
      </c>
      <c r="R239" s="294" t="e">
        <f t="shared" si="13"/>
        <v>#DIV/0!</v>
      </c>
      <c r="S239" s="123">
        <f>Prem!H241</f>
        <v>0</v>
      </c>
      <c r="T239" s="280">
        <f>S!H245</f>
        <v>0</v>
      </c>
      <c r="U239" s="273">
        <f>B!H240</f>
        <v>0</v>
      </c>
      <c r="V239" s="273">
        <f>Zn!G241</f>
        <v>0</v>
      </c>
      <c r="W239" s="273">
        <f>Cu!G241</f>
        <v>0</v>
      </c>
      <c r="X239" s="273">
        <f>Mn!G241</f>
        <v>0</v>
      </c>
      <c r="Y239" s="273">
        <f>Fe!G241</f>
        <v>0</v>
      </c>
      <c r="Z239" s="273">
        <f>M.O!H241</f>
        <v>0</v>
      </c>
      <c r="AA239" s="273" t="e">
        <f t="shared" si="14"/>
        <v>#DIV/0!</v>
      </c>
      <c r="AB239" s="273" t="e">
        <f t="shared" si="15"/>
        <v>#DIV/0!</v>
      </c>
      <c r="AC239" s="273" t="e">
        <f t="shared" si="16"/>
        <v>#DIV/0!</v>
      </c>
    </row>
    <row r="240" spans="1:29" x14ac:dyDescent="0.2">
      <c r="A240" s="106">
        <f>Cadastro!A244</f>
        <v>0</v>
      </c>
      <c r="B240" s="27">
        <f>Cadastro!E242</f>
        <v>0</v>
      </c>
      <c r="C240" s="123">
        <f>pH_água!C240</f>
        <v>6.42</v>
      </c>
      <c r="D240" s="123">
        <f>pH_KCl!B241</f>
        <v>0</v>
      </c>
      <c r="E240" s="123">
        <f>'pH CaCl2'!C240</f>
        <v>0</v>
      </c>
      <c r="F240" s="123">
        <f>P_Mehlich1!H225</f>
        <v>0</v>
      </c>
      <c r="G240" s="123">
        <f>P_resina!H245</f>
        <v>0</v>
      </c>
      <c r="H240" s="273">
        <f>K!G210</f>
        <v>0</v>
      </c>
      <c r="I240" s="284">
        <v>0</v>
      </c>
      <c r="J240" s="273">
        <f>'Ca2+'!G241</f>
        <v>0</v>
      </c>
      <c r="K240" s="273">
        <f>Mg²!G243</f>
        <v>0</v>
      </c>
      <c r="L240" s="280">
        <f>Al³!C242</f>
        <v>0</v>
      </c>
      <c r="M240" s="280">
        <f>'H + Al'!D242</f>
        <v>0</v>
      </c>
      <c r="N240" s="273">
        <f t="shared" si="9"/>
        <v>0</v>
      </c>
      <c r="O240" s="273">
        <f t="shared" si="10"/>
        <v>0</v>
      </c>
      <c r="P240" s="273">
        <f t="shared" si="11"/>
        <v>0</v>
      </c>
      <c r="Q240" s="294" t="e">
        <f t="shared" si="12"/>
        <v>#DIV/0!</v>
      </c>
      <c r="R240" s="294" t="e">
        <f t="shared" si="13"/>
        <v>#DIV/0!</v>
      </c>
      <c r="S240" s="123">
        <f>Prem!H242</f>
        <v>0</v>
      </c>
      <c r="T240" s="280">
        <f>S!H246</f>
        <v>0</v>
      </c>
      <c r="U240" s="273">
        <f>B!H241</f>
        <v>0</v>
      </c>
      <c r="V240" s="273">
        <f>Zn!G242</f>
        <v>0</v>
      </c>
      <c r="W240" s="273">
        <f>Cu!G242</f>
        <v>0</v>
      </c>
      <c r="X240" s="273">
        <f>Mn!G242</f>
        <v>0</v>
      </c>
      <c r="Y240" s="273">
        <f>Fe!G242</f>
        <v>0</v>
      </c>
      <c r="Z240" s="273">
        <f>M.O!H242</f>
        <v>0</v>
      </c>
      <c r="AA240" s="273" t="e">
        <f t="shared" si="14"/>
        <v>#DIV/0!</v>
      </c>
      <c r="AB240" s="273" t="e">
        <f t="shared" si="15"/>
        <v>#DIV/0!</v>
      </c>
      <c r="AC240" s="273" t="e">
        <f t="shared" si="16"/>
        <v>#DIV/0!</v>
      </c>
    </row>
    <row r="241" spans="1:29" x14ac:dyDescent="0.2">
      <c r="A241" s="106">
        <f>Cadastro!A245</f>
        <v>0</v>
      </c>
      <c r="B241" s="27">
        <f>Cadastro!E243</f>
        <v>0</v>
      </c>
      <c r="C241" s="123">
        <f>pH_água!C241</f>
        <v>6.42</v>
      </c>
      <c r="D241" s="123">
        <f>pH_KCl!B242</f>
        <v>0</v>
      </c>
      <c r="E241" s="123">
        <f>'pH CaCl2'!C241</f>
        <v>0</v>
      </c>
      <c r="F241" s="123">
        <f>P_Mehlich1!H226</f>
        <v>0</v>
      </c>
      <c r="G241" s="123">
        <f>P_resina!H246</f>
        <v>0</v>
      </c>
      <c r="H241" s="273">
        <f>K!G211</f>
        <v>0</v>
      </c>
      <c r="I241" s="284">
        <v>0</v>
      </c>
      <c r="J241" s="273">
        <f>'Ca2+'!G242</f>
        <v>0</v>
      </c>
      <c r="K241" s="273">
        <f>Mg²!G244</f>
        <v>0</v>
      </c>
      <c r="L241" s="280">
        <f>Al³!C243</f>
        <v>0</v>
      </c>
      <c r="M241" s="280">
        <f>'H + Al'!D243</f>
        <v>0</v>
      </c>
      <c r="N241" s="273">
        <f t="shared" si="9"/>
        <v>0</v>
      </c>
      <c r="O241" s="273">
        <f t="shared" si="10"/>
        <v>0</v>
      </c>
      <c r="P241" s="273">
        <f t="shared" si="11"/>
        <v>0</v>
      </c>
      <c r="Q241" s="294" t="e">
        <f t="shared" si="12"/>
        <v>#DIV/0!</v>
      </c>
      <c r="R241" s="294" t="e">
        <f t="shared" si="13"/>
        <v>#DIV/0!</v>
      </c>
      <c r="S241" s="123">
        <f>Prem!H243</f>
        <v>0</v>
      </c>
      <c r="T241" s="280">
        <f>S!H247</f>
        <v>0</v>
      </c>
      <c r="U241" s="273">
        <f>B!H242</f>
        <v>0</v>
      </c>
      <c r="V241" s="273">
        <f>Zn!G243</f>
        <v>0</v>
      </c>
      <c r="W241" s="273">
        <f>Cu!G243</f>
        <v>0</v>
      </c>
      <c r="X241" s="273">
        <f>Mn!G243</f>
        <v>0</v>
      </c>
      <c r="Y241" s="273">
        <f>Fe!G243</f>
        <v>0</v>
      </c>
      <c r="Z241" s="273">
        <f>M.O!H243</f>
        <v>0</v>
      </c>
      <c r="AA241" s="273" t="e">
        <f t="shared" si="14"/>
        <v>#DIV/0!</v>
      </c>
      <c r="AB241" s="273" t="e">
        <f t="shared" si="15"/>
        <v>#DIV/0!</v>
      </c>
      <c r="AC241" s="273" t="e">
        <f t="shared" si="16"/>
        <v>#DIV/0!</v>
      </c>
    </row>
    <row r="242" spans="1:29" x14ac:dyDescent="0.2">
      <c r="A242" s="106">
        <f>Cadastro!A246</f>
        <v>0</v>
      </c>
      <c r="B242" s="27">
        <f>Cadastro!E244</f>
        <v>0</v>
      </c>
      <c r="C242" s="123">
        <f>pH_água!C242</f>
        <v>6.42</v>
      </c>
      <c r="D242" s="123">
        <f>pH_KCl!B243</f>
        <v>0</v>
      </c>
      <c r="E242" s="123">
        <f>'pH CaCl2'!C242</f>
        <v>0</v>
      </c>
      <c r="F242" s="123">
        <f>P_Mehlich1!H227</f>
        <v>0</v>
      </c>
      <c r="G242" s="123">
        <f>P_resina!H247</f>
        <v>0</v>
      </c>
      <c r="H242" s="273">
        <f>K!G212</f>
        <v>0</v>
      </c>
      <c r="I242" s="284">
        <v>0</v>
      </c>
      <c r="J242" s="273">
        <f>'Ca2+'!G243</f>
        <v>0</v>
      </c>
      <c r="K242" s="273">
        <f>Mg²!G245</f>
        <v>0</v>
      </c>
      <c r="L242" s="280">
        <f>Al³!C244</f>
        <v>0</v>
      </c>
      <c r="M242" s="280">
        <f>'H + Al'!D244</f>
        <v>0</v>
      </c>
      <c r="N242" s="273">
        <f t="shared" si="9"/>
        <v>0</v>
      </c>
      <c r="O242" s="273">
        <f t="shared" si="10"/>
        <v>0</v>
      </c>
      <c r="P242" s="273">
        <f t="shared" si="11"/>
        <v>0</v>
      </c>
      <c r="Q242" s="294" t="e">
        <f t="shared" si="12"/>
        <v>#DIV/0!</v>
      </c>
      <c r="R242" s="294" t="e">
        <f t="shared" si="13"/>
        <v>#DIV/0!</v>
      </c>
      <c r="S242" s="123">
        <f>Prem!H244</f>
        <v>0</v>
      </c>
      <c r="T242" s="280">
        <f>S!H248</f>
        <v>0</v>
      </c>
      <c r="U242" s="273">
        <f>B!H243</f>
        <v>0</v>
      </c>
      <c r="V242" s="273">
        <f>Zn!G244</f>
        <v>0</v>
      </c>
      <c r="W242" s="273">
        <f>Cu!G244</f>
        <v>0</v>
      </c>
      <c r="X242" s="273">
        <f>Mn!G244</f>
        <v>0</v>
      </c>
      <c r="Y242" s="273">
        <f>Fe!G244</f>
        <v>0</v>
      </c>
      <c r="Z242" s="273">
        <f>M.O!H244</f>
        <v>0</v>
      </c>
      <c r="AA242" s="273" t="e">
        <f t="shared" si="14"/>
        <v>#DIV/0!</v>
      </c>
      <c r="AB242" s="273" t="e">
        <f t="shared" si="15"/>
        <v>#DIV/0!</v>
      </c>
      <c r="AC242" s="273" t="e">
        <f t="shared" si="16"/>
        <v>#DIV/0!</v>
      </c>
    </row>
    <row r="243" spans="1:29" x14ac:dyDescent="0.2">
      <c r="A243" s="106">
        <f>Cadastro!A247</f>
        <v>0</v>
      </c>
      <c r="B243" s="27">
        <f>Cadastro!E245</f>
        <v>0</v>
      </c>
      <c r="C243" s="123">
        <f>pH_água!C243</f>
        <v>6.42</v>
      </c>
      <c r="D243" s="123">
        <f>pH_KCl!B244</f>
        <v>0</v>
      </c>
      <c r="E243" s="123">
        <f>'pH CaCl2'!C243</f>
        <v>0</v>
      </c>
      <c r="F243" s="123">
        <f>P_Mehlich1!H228</f>
        <v>0</v>
      </c>
      <c r="G243" s="123">
        <f>P_resina!H248</f>
        <v>0</v>
      </c>
      <c r="H243" s="273">
        <f>K!G213</f>
        <v>0</v>
      </c>
      <c r="I243" s="284">
        <v>0</v>
      </c>
      <c r="J243" s="273">
        <f>'Ca2+'!G244</f>
        <v>0</v>
      </c>
      <c r="K243" s="273">
        <f>Mg²!G246</f>
        <v>0</v>
      </c>
      <c r="L243" s="280">
        <f>Al³!C245</f>
        <v>0</v>
      </c>
      <c r="M243" s="280">
        <f>'H + Al'!D245</f>
        <v>0</v>
      </c>
      <c r="N243" s="273">
        <f t="shared" si="9"/>
        <v>0</v>
      </c>
      <c r="O243" s="273">
        <f t="shared" si="10"/>
        <v>0</v>
      </c>
      <c r="P243" s="273">
        <f t="shared" si="11"/>
        <v>0</v>
      </c>
      <c r="Q243" s="294" t="e">
        <f t="shared" si="12"/>
        <v>#DIV/0!</v>
      </c>
      <c r="R243" s="294" t="e">
        <f t="shared" si="13"/>
        <v>#DIV/0!</v>
      </c>
      <c r="S243" s="123">
        <f>Prem!H245</f>
        <v>0</v>
      </c>
      <c r="T243" s="280">
        <f>S!H249</f>
        <v>0</v>
      </c>
      <c r="U243" s="273">
        <f>B!H244</f>
        <v>0</v>
      </c>
      <c r="V243" s="273">
        <f>Zn!G245</f>
        <v>0</v>
      </c>
      <c r="W243" s="273">
        <f>Cu!G245</f>
        <v>0</v>
      </c>
      <c r="X243" s="273">
        <f>Mn!G245</f>
        <v>0</v>
      </c>
      <c r="Y243" s="273">
        <f>Fe!G245</f>
        <v>0</v>
      </c>
      <c r="Z243" s="273">
        <f>M.O!H245</f>
        <v>0</v>
      </c>
      <c r="AA243" s="273" t="e">
        <f t="shared" si="14"/>
        <v>#DIV/0!</v>
      </c>
      <c r="AB243" s="273" t="e">
        <f t="shared" si="15"/>
        <v>#DIV/0!</v>
      </c>
      <c r="AC243" s="273" t="e">
        <f t="shared" si="16"/>
        <v>#DIV/0!</v>
      </c>
    </row>
    <row r="244" spans="1:29" x14ac:dyDescent="0.2">
      <c r="A244" s="106">
        <f>Cadastro!A248</f>
        <v>0</v>
      </c>
      <c r="B244" s="27">
        <f>Cadastro!E246</f>
        <v>0</v>
      </c>
      <c r="C244" s="123">
        <f>pH_água!C244</f>
        <v>6.42</v>
      </c>
      <c r="D244" s="123">
        <f>pH_KCl!B245</f>
        <v>0</v>
      </c>
      <c r="E244" s="123">
        <f>'pH CaCl2'!C244</f>
        <v>0</v>
      </c>
      <c r="F244" s="123">
        <f>P_Mehlich1!H229</f>
        <v>0</v>
      </c>
      <c r="G244" s="123">
        <f>P_resina!H249</f>
        <v>0</v>
      </c>
      <c r="H244" s="273">
        <f>K!G214</f>
        <v>0</v>
      </c>
      <c r="I244" s="284">
        <v>0</v>
      </c>
      <c r="J244" s="273">
        <f>'Ca2+'!G245</f>
        <v>0</v>
      </c>
      <c r="K244" s="273">
        <f>Mg²!G247</f>
        <v>0</v>
      </c>
      <c r="L244" s="280">
        <f>Al³!C246</f>
        <v>0</v>
      </c>
      <c r="M244" s="280">
        <f>'H + Al'!D246</f>
        <v>0</v>
      </c>
      <c r="N244" s="273">
        <f t="shared" ref="N244:N307" si="17">(H244/390)+(I244/230)+J244+K244</f>
        <v>0</v>
      </c>
      <c r="O244" s="273">
        <f t="shared" ref="O244:O307" si="18">N244+L244</f>
        <v>0</v>
      </c>
      <c r="P244" s="273">
        <f t="shared" ref="P244:P307" si="19">N244+M244</f>
        <v>0</v>
      </c>
      <c r="Q244" s="294" t="e">
        <f t="shared" ref="Q244:Q307" si="20">(N244/P244)*100</f>
        <v>#DIV/0!</v>
      </c>
      <c r="R244" s="294" t="e">
        <f t="shared" ref="R244:R307" si="21">(L244/O244)*100</f>
        <v>#DIV/0!</v>
      </c>
      <c r="S244" s="123">
        <f>Prem!H246</f>
        <v>0</v>
      </c>
      <c r="T244" s="280">
        <f>S!H250</f>
        <v>0</v>
      </c>
      <c r="U244" s="273">
        <f>B!H245</f>
        <v>0</v>
      </c>
      <c r="V244" s="273">
        <f>Zn!G246</f>
        <v>0</v>
      </c>
      <c r="W244" s="273">
        <f>Cu!G246</f>
        <v>0</v>
      </c>
      <c r="X244" s="273">
        <f>Mn!G246</f>
        <v>0</v>
      </c>
      <c r="Y244" s="273">
        <f>Fe!G246</f>
        <v>0</v>
      </c>
      <c r="Z244" s="273">
        <f>M.O!H246</f>
        <v>0</v>
      </c>
      <c r="AA244" s="273" t="e">
        <f t="shared" ref="AA244:AA307" si="22">J244/K244</f>
        <v>#DIV/0!</v>
      </c>
      <c r="AB244" s="273" t="e">
        <f t="shared" ref="AB244:AB307" si="23">J244/(H244/390)</f>
        <v>#DIV/0!</v>
      </c>
      <c r="AC244" s="273" t="e">
        <f t="shared" ref="AC244:AC307" si="24">K244/(H244/390)</f>
        <v>#DIV/0!</v>
      </c>
    </row>
    <row r="245" spans="1:29" x14ac:dyDescent="0.2">
      <c r="A245" s="106">
        <f>Cadastro!A249</f>
        <v>0</v>
      </c>
      <c r="B245" s="27">
        <f>Cadastro!E247</f>
        <v>0</v>
      </c>
      <c r="C245" s="123">
        <f>pH_água!C245</f>
        <v>6.42</v>
      </c>
      <c r="D245" s="123">
        <f>pH_KCl!B246</f>
        <v>0</v>
      </c>
      <c r="E245" s="123">
        <f>'pH CaCl2'!C245</f>
        <v>0</v>
      </c>
      <c r="F245" s="123">
        <f>P_Mehlich1!H230</f>
        <v>0</v>
      </c>
      <c r="G245" s="123">
        <f>P_resina!H250</f>
        <v>0</v>
      </c>
      <c r="H245" s="273">
        <f>K!G215</f>
        <v>0</v>
      </c>
      <c r="I245" s="284">
        <v>0</v>
      </c>
      <c r="J245" s="273">
        <f>'Ca2+'!G246</f>
        <v>0</v>
      </c>
      <c r="K245" s="273">
        <f>Mg²!G248</f>
        <v>0</v>
      </c>
      <c r="L245" s="280">
        <f>Al³!C247</f>
        <v>0</v>
      </c>
      <c r="M245" s="280">
        <f>'H + Al'!D247</f>
        <v>0</v>
      </c>
      <c r="N245" s="273">
        <f t="shared" si="17"/>
        <v>0</v>
      </c>
      <c r="O245" s="273">
        <f t="shared" si="18"/>
        <v>0</v>
      </c>
      <c r="P245" s="273">
        <f t="shared" si="19"/>
        <v>0</v>
      </c>
      <c r="Q245" s="294" t="e">
        <f t="shared" si="20"/>
        <v>#DIV/0!</v>
      </c>
      <c r="R245" s="294" t="e">
        <f t="shared" si="21"/>
        <v>#DIV/0!</v>
      </c>
      <c r="S245" s="123">
        <f>Prem!H247</f>
        <v>0</v>
      </c>
      <c r="T245" s="280">
        <f>S!H251</f>
        <v>0</v>
      </c>
      <c r="U245" s="273">
        <f>B!H246</f>
        <v>0</v>
      </c>
      <c r="V245" s="273">
        <f>Zn!G247</f>
        <v>0</v>
      </c>
      <c r="W245" s="273">
        <f>Cu!G247</f>
        <v>0</v>
      </c>
      <c r="X245" s="273">
        <f>Mn!G247</f>
        <v>0</v>
      </c>
      <c r="Y245" s="273">
        <f>Fe!G247</f>
        <v>0</v>
      </c>
      <c r="Z245" s="273">
        <f>M.O!H247</f>
        <v>0</v>
      </c>
      <c r="AA245" s="273" t="e">
        <f t="shared" si="22"/>
        <v>#DIV/0!</v>
      </c>
      <c r="AB245" s="273" t="e">
        <f t="shared" si="23"/>
        <v>#DIV/0!</v>
      </c>
      <c r="AC245" s="273" t="e">
        <f t="shared" si="24"/>
        <v>#DIV/0!</v>
      </c>
    </row>
    <row r="246" spans="1:29" x14ac:dyDescent="0.2">
      <c r="A246" s="106">
        <f>Cadastro!A250</f>
        <v>0</v>
      </c>
      <c r="B246" s="27">
        <f>Cadastro!E248</f>
        <v>0</v>
      </c>
      <c r="C246" s="123">
        <f>pH_água!C246</f>
        <v>6.42</v>
      </c>
      <c r="D246" s="123">
        <f>pH_KCl!B247</f>
        <v>0</v>
      </c>
      <c r="E246" s="123">
        <f>'pH CaCl2'!C246</f>
        <v>0</v>
      </c>
      <c r="F246" s="123">
        <f>P_Mehlich1!H231</f>
        <v>0</v>
      </c>
      <c r="G246" s="123">
        <f>P_resina!H251</f>
        <v>0</v>
      </c>
      <c r="H246" s="273">
        <f>K!G216</f>
        <v>0</v>
      </c>
      <c r="I246" s="284">
        <v>0</v>
      </c>
      <c r="J246" s="273">
        <f>'Ca2+'!G247</f>
        <v>0</v>
      </c>
      <c r="K246" s="273">
        <f>Mg²!G249</f>
        <v>0</v>
      </c>
      <c r="L246" s="280">
        <f>Al³!C248</f>
        <v>0</v>
      </c>
      <c r="M246" s="280">
        <f>'H + Al'!D248</f>
        <v>0</v>
      </c>
      <c r="N246" s="273">
        <f t="shared" si="17"/>
        <v>0</v>
      </c>
      <c r="O246" s="273">
        <f t="shared" si="18"/>
        <v>0</v>
      </c>
      <c r="P246" s="273">
        <f t="shared" si="19"/>
        <v>0</v>
      </c>
      <c r="Q246" s="294" t="e">
        <f t="shared" si="20"/>
        <v>#DIV/0!</v>
      </c>
      <c r="R246" s="294" t="e">
        <f t="shared" si="21"/>
        <v>#DIV/0!</v>
      </c>
      <c r="S246" s="123">
        <f>Prem!H248</f>
        <v>0</v>
      </c>
      <c r="T246" s="280">
        <f>S!H252</f>
        <v>0</v>
      </c>
      <c r="U246" s="273">
        <f>B!H247</f>
        <v>0</v>
      </c>
      <c r="V246" s="273">
        <f>Zn!G248</f>
        <v>0</v>
      </c>
      <c r="W246" s="273">
        <f>Cu!G248</f>
        <v>0</v>
      </c>
      <c r="X246" s="273">
        <f>Mn!G248</f>
        <v>0</v>
      </c>
      <c r="Y246" s="273">
        <f>Fe!G248</f>
        <v>0</v>
      </c>
      <c r="Z246" s="273">
        <f>M.O!H248</f>
        <v>0</v>
      </c>
      <c r="AA246" s="273" t="e">
        <f t="shared" si="22"/>
        <v>#DIV/0!</v>
      </c>
      <c r="AB246" s="273" t="e">
        <f t="shared" si="23"/>
        <v>#DIV/0!</v>
      </c>
      <c r="AC246" s="273" t="e">
        <f t="shared" si="24"/>
        <v>#DIV/0!</v>
      </c>
    </row>
    <row r="247" spans="1:29" x14ac:dyDescent="0.2">
      <c r="A247" s="106">
        <f>Cadastro!A251</f>
        <v>0</v>
      </c>
      <c r="B247" s="27">
        <f>Cadastro!E249</f>
        <v>0</v>
      </c>
      <c r="C247" s="123">
        <f>pH_água!C247</f>
        <v>6.42</v>
      </c>
      <c r="D247" s="123">
        <f>pH_KCl!B248</f>
        <v>0</v>
      </c>
      <c r="E247" s="123">
        <f>'pH CaCl2'!C247</f>
        <v>0</v>
      </c>
      <c r="F247" s="123">
        <f>P_Mehlich1!H232</f>
        <v>0</v>
      </c>
      <c r="G247" s="123">
        <f>P_resina!H252</f>
        <v>0</v>
      </c>
      <c r="H247" s="273">
        <f>K!G217</f>
        <v>0</v>
      </c>
      <c r="I247" s="284">
        <v>0</v>
      </c>
      <c r="J247" s="273">
        <f>'Ca2+'!G248</f>
        <v>0</v>
      </c>
      <c r="K247" s="273">
        <f>Mg²!G250</f>
        <v>0</v>
      </c>
      <c r="L247" s="280">
        <f>Al³!C249</f>
        <v>0</v>
      </c>
      <c r="M247" s="280">
        <f>'H + Al'!D249</f>
        <v>0</v>
      </c>
      <c r="N247" s="273">
        <f t="shared" si="17"/>
        <v>0</v>
      </c>
      <c r="O247" s="273">
        <f t="shared" si="18"/>
        <v>0</v>
      </c>
      <c r="P247" s="273">
        <f t="shared" si="19"/>
        <v>0</v>
      </c>
      <c r="Q247" s="294" t="e">
        <f t="shared" si="20"/>
        <v>#DIV/0!</v>
      </c>
      <c r="R247" s="294" t="e">
        <f t="shared" si="21"/>
        <v>#DIV/0!</v>
      </c>
      <c r="S247" s="123">
        <f>Prem!H249</f>
        <v>0</v>
      </c>
      <c r="T247" s="280">
        <f>S!H253</f>
        <v>0</v>
      </c>
      <c r="U247" s="273">
        <f>B!H248</f>
        <v>0</v>
      </c>
      <c r="V247" s="273">
        <f>Zn!G249</f>
        <v>0</v>
      </c>
      <c r="W247" s="273">
        <f>Cu!G249</f>
        <v>0</v>
      </c>
      <c r="X247" s="273">
        <f>Mn!G249</f>
        <v>0</v>
      </c>
      <c r="Y247" s="273">
        <f>Fe!G249</f>
        <v>0</v>
      </c>
      <c r="Z247" s="273">
        <f>M.O!H249</f>
        <v>0</v>
      </c>
      <c r="AA247" s="273" t="e">
        <f t="shared" si="22"/>
        <v>#DIV/0!</v>
      </c>
      <c r="AB247" s="273" t="e">
        <f t="shared" si="23"/>
        <v>#DIV/0!</v>
      </c>
      <c r="AC247" s="273" t="e">
        <f t="shared" si="24"/>
        <v>#DIV/0!</v>
      </c>
    </row>
    <row r="248" spans="1:29" x14ac:dyDescent="0.2">
      <c r="A248" s="106">
        <f>Cadastro!A252</f>
        <v>0</v>
      </c>
      <c r="B248" s="27">
        <f>Cadastro!E250</f>
        <v>0</v>
      </c>
      <c r="C248" s="123">
        <f>pH_água!C248</f>
        <v>6.42</v>
      </c>
      <c r="D248" s="123">
        <f>pH_KCl!B249</f>
        <v>0</v>
      </c>
      <c r="E248" s="123">
        <f>'pH CaCl2'!C248</f>
        <v>0</v>
      </c>
      <c r="F248" s="123">
        <f>P_Mehlich1!H233</f>
        <v>0</v>
      </c>
      <c r="G248" s="123">
        <f>P_resina!H253</f>
        <v>0</v>
      </c>
      <c r="H248" s="273">
        <f>K!G218</f>
        <v>0</v>
      </c>
      <c r="I248" s="284">
        <v>0</v>
      </c>
      <c r="J248" s="273">
        <f>'Ca2+'!G249</f>
        <v>0</v>
      </c>
      <c r="K248" s="273">
        <f>Mg²!G251</f>
        <v>0</v>
      </c>
      <c r="L248" s="280">
        <f>Al³!C250</f>
        <v>0</v>
      </c>
      <c r="M248" s="280">
        <f>'H + Al'!D250</f>
        <v>0</v>
      </c>
      <c r="N248" s="273">
        <f t="shared" si="17"/>
        <v>0</v>
      </c>
      <c r="O248" s="273">
        <f t="shared" si="18"/>
        <v>0</v>
      </c>
      <c r="P248" s="273">
        <f t="shared" si="19"/>
        <v>0</v>
      </c>
      <c r="Q248" s="294" t="e">
        <f t="shared" si="20"/>
        <v>#DIV/0!</v>
      </c>
      <c r="R248" s="294" t="e">
        <f t="shared" si="21"/>
        <v>#DIV/0!</v>
      </c>
      <c r="S248" s="123">
        <f>Prem!H250</f>
        <v>0</v>
      </c>
      <c r="T248" s="280">
        <f>S!H254</f>
        <v>0</v>
      </c>
      <c r="U248" s="273">
        <f>B!H249</f>
        <v>0</v>
      </c>
      <c r="V248" s="273">
        <f>Zn!G250</f>
        <v>0</v>
      </c>
      <c r="W248" s="273">
        <f>Cu!G250</f>
        <v>0</v>
      </c>
      <c r="X248" s="273">
        <f>Mn!G250</f>
        <v>0</v>
      </c>
      <c r="Y248" s="273">
        <f>Fe!G250</f>
        <v>0</v>
      </c>
      <c r="Z248" s="273">
        <f>M.O!H250</f>
        <v>0</v>
      </c>
      <c r="AA248" s="273" t="e">
        <f t="shared" si="22"/>
        <v>#DIV/0!</v>
      </c>
      <c r="AB248" s="273" t="e">
        <f t="shared" si="23"/>
        <v>#DIV/0!</v>
      </c>
      <c r="AC248" s="273" t="e">
        <f t="shared" si="24"/>
        <v>#DIV/0!</v>
      </c>
    </row>
    <row r="249" spans="1:29" x14ac:dyDescent="0.2">
      <c r="A249" s="106">
        <f>Cadastro!A253</f>
        <v>0</v>
      </c>
      <c r="B249" s="27">
        <f>Cadastro!E251</f>
        <v>0</v>
      </c>
      <c r="C249" s="123">
        <f>pH_água!C249</f>
        <v>6.42</v>
      </c>
      <c r="D249" s="123">
        <f>pH_KCl!B250</f>
        <v>0</v>
      </c>
      <c r="E249" s="123">
        <f>'pH CaCl2'!C249</f>
        <v>0</v>
      </c>
      <c r="F249" s="123">
        <f>P_Mehlich1!H234</f>
        <v>0</v>
      </c>
      <c r="G249" s="123">
        <f>P_resina!H254</f>
        <v>0</v>
      </c>
      <c r="H249" s="273">
        <f>K!G219</f>
        <v>0</v>
      </c>
      <c r="I249" s="284">
        <v>0</v>
      </c>
      <c r="J249" s="273">
        <f>'Ca2+'!G250</f>
        <v>0</v>
      </c>
      <c r="K249" s="273">
        <f>Mg²!G252</f>
        <v>0</v>
      </c>
      <c r="L249" s="280">
        <f>Al³!C251</f>
        <v>0</v>
      </c>
      <c r="M249" s="280">
        <f>'H + Al'!D251</f>
        <v>0</v>
      </c>
      <c r="N249" s="273">
        <f t="shared" si="17"/>
        <v>0</v>
      </c>
      <c r="O249" s="273">
        <f t="shared" si="18"/>
        <v>0</v>
      </c>
      <c r="P249" s="273">
        <f t="shared" si="19"/>
        <v>0</v>
      </c>
      <c r="Q249" s="294" t="e">
        <f t="shared" si="20"/>
        <v>#DIV/0!</v>
      </c>
      <c r="R249" s="294" t="e">
        <f t="shared" si="21"/>
        <v>#DIV/0!</v>
      </c>
      <c r="S249" s="123">
        <f>Prem!H251</f>
        <v>0</v>
      </c>
      <c r="T249" s="280">
        <f>S!H255</f>
        <v>0</v>
      </c>
      <c r="U249" s="273">
        <f>B!H250</f>
        <v>0</v>
      </c>
      <c r="V249" s="273">
        <f>Zn!G251</f>
        <v>0</v>
      </c>
      <c r="W249" s="273">
        <f>Cu!G251</f>
        <v>0</v>
      </c>
      <c r="X249" s="273">
        <f>Mn!G251</f>
        <v>0</v>
      </c>
      <c r="Y249" s="273">
        <f>Fe!G251</f>
        <v>0</v>
      </c>
      <c r="Z249" s="273">
        <f>M.O!H251</f>
        <v>0</v>
      </c>
      <c r="AA249" s="273" t="e">
        <f t="shared" si="22"/>
        <v>#DIV/0!</v>
      </c>
      <c r="AB249" s="273" t="e">
        <f t="shared" si="23"/>
        <v>#DIV/0!</v>
      </c>
      <c r="AC249" s="273" t="e">
        <f t="shared" si="24"/>
        <v>#DIV/0!</v>
      </c>
    </row>
    <row r="250" spans="1:29" x14ac:dyDescent="0.2">
      <c r="A250" s="106">
        <f>Cadastro!A254</f>
        <v>0</v>
      </c>
      <c r="B250" s="27">
        <f>Cadastro!E252</f>
        <v>0</v>
      </c>
      <c r="C250" s="123">
        <f>pH_água!C250</f>
        <v>6.42</v>
      </c>
      <c r="D250" s="123">
        <f>pH_KCl!B251</f>
        <v>0</v>
      </c>
      <c r="E250" s="123">
        <f>'pH CaCl2'!C250</f>
        <v>0</v>
      </c>
      <c r="F250" s="123">
        <f>P_Mehlich1!H235</f>
        <v>0</v>
      </c>
      <c r="G250" s="123">
        <f>P_resina!H255</f>
        <v>0</v>
      </c>
      <c r="H250" s="273">
        <f>K!G220</f>
        <v>0</v>
      </c>
      <c r="I250" s="284">
        <v>0</v>
      </c>
      <c r="J250" s="273">
        <f>'Ca2+'!G251</f>
        <v>0</v>
      </c>
      <c r="K250" s="273">
        <f>Mg²!G253</f>
        <v>0</v>
      </c>
      <c r="L250" s="280">
        <f>Al³!C252</f>
        <v>0</v>
      </c>
      <c r="M250" s="280">
        <f>'H + Al'!D252</f>
        <v>0</v>
      </c>
      <c r="N250" s="273">
        <f t="shared" si="17"/>
        <v>0</v>
      </c>
      <c r="O250" s="273">
        <f t="shared" si="18"/>
        <v>0</v>
      </c>
      <c r="P250" s="273">
        <f t="shared" si="19"/>
        <v>0</v>
      </c>
      <c r="Q250" s="294" t="e">
        <f t="shared" si="20"/>
        <v>#DIV/0!</v>
      </c>
      <c r="R250" s="294" t="e">
        <f t="shared" si="21"/>
        <v>#DIV/0!</v>
      </c>
      <c r="S250" s="123">
        <f>Prem!H252</f>
        <v>0</v>
      </c>
      <c r="T250" s="280">
        <f>S!H256</f>
        <v>0</v>
      </c>
      <c r="U250" s="273">
        <f>B!H251</f>
        <v>0</v>
      </c>
      <c r="V250" s="273">
        <f>Zn!G252</f>
        <v>0</v>
      </c>
      <c r="W250" s="273">
        <f>Cu!G252</f>
        <v>0</v>
      </c>
      <c r="X250" s="273">
        <f>Mn!G252</f>
        <v>0</v>
      </c>
      <c r="Y250" s="273">
        <f>Fe!G252</f>
        <v>0</v>
      </c>
      <c r="Z250" s="273">
        <f>M.O!H252</f>
        <v>0</v>
      </c>
      <c r="AA250" s="273" t="e">
        <f t="shared" si="22"/>
        <v>#DIV/0!</v>
      </c>
      <c r="AB250" s="273" t="e">
        <f t="shared" si="23"/>
        <v>#DIV/0!</v>
      </c>
      <c r="AC250" s="273" t="e">
        <f t="shared" si="24"/>
        <v>#DIV/0!</v>
      </c>
    </row>
    <row r="251" spans="1:29" x14ac:dyDescent="0.2">
      <c r="A251" s="106">
        <f>Cadastro!A255</f>
        <v>0</v>
      </c>
      <c r="B251" s="27">
        <f>Cadastro!E253</f>
        <v>0</v>
      </c>
      <c r="C251" s="123">
        <f>pH_água!C251</f>
        <v>6.42</v>
      </c>
      <c r="D251" s="123">
        <f>pH_KCl!B252</f>
        <v>0</v>
      </c>
      <c r="E251" s="123">
        <f>'pH CaCl2'!C251</f>
        <v>0</v>
      </c>
      <c r="F251" s="123">
        <f>P_Mehlich1!H236</f>
        <v>0</v>
      </c>
      <c r="G251" s="123">
        <f>P_resina!H256</f>
        <v>0</v>
      </c>
      <c r="H251" s="273">
        <f>K!G221</f>
        <v>0</v>
      </c>
      <c r="I251" s="284">
        <v>0</v>
      </c>
      <c r="J251" s="273">
        <f>'Ca2+'!G252</f>
        <v>0</v>
      </c>
      <c r="K251" s="273">
        <f>Mg²!G254</f>
        <v>0</v>
      </c>
      <c r="L251" s="280">
        <f>Al³!C253</f>
        <v>0</v>
      </c>
      <c r="M251" s="280">
        <f>'H + Al'!D253</f>
        <v>0</v>
      </c>
      <c r="N251" s="273">
        <f t="shared" si="17"/>
        <v>0</v>
      </c>
      <c r="O251" s="273">
        <f t="shared" si="18"/>
        <v>0</v>
      </c>
      <c r="P251" s="273">
        <f t="shared" si="19"/>
        <v>0</v>
      </c>
      <c r="Q251" s="294" t="e">
        <f t="shared" si="20"/>
        <v>#DIV/0!</v>
      </c>
      <c r="R251" s="294" t="e">
        <f t="shared" si="21"/>
        <v>#DIV/0!</v>
      </c>
      <c r="S251" s="123">
        <f>Prem!H253</f>
        <v>0</v>
      </c>
      <c r="T251" s="280">
        <f>S!H257</f>
        <v>0</v>
      </c>
      <c r="U251" s="273">
        <f>B!H252</f>
        <v>0</v>
      </c>
      <c r="V251" s="273">
        <f>Zn!G253</f>
        <v>0</v>
      </c>
      <c r="W251" s="273">
        <f>Cu!G253</f>
        <v>0</v>
      </c>
      <c r="X251" s="273">
        <f>Mn!G253</f>
        <v>0</v>
      </c>
      <c r="Y251" s="273">
        <f>Fe!G253</f>
        <v>0</v>
      </c>
      <c r="Z251" s="273">
        <f>M.O!H253</f>
        <v>0</v>
      </c>
      <c r="AA251" s="273" t="e">
        <f t="shared" si="22"/>
        <v>#DIV/0!</v>
      </c>
      <c r="AB251" s="273" t="e">
        <f t="shared" si="23"/>
        <v>#DIV/0!</v>
      </c>
      <c r="AC251" s="273" t="e">
        <f t="shared" si="24"/>
        <v>#DIV/0!</v>
      </c>
    </row>
    <row r="252" spans="1:29" x14ac:dyDescent="0.2">
      <c r="A252" s="106">
        <f>Cadastro!A256</f>
        <v>0</v>
      </c>
      <c r="B252" s="27">
        <f>Cadastro!E254</f>
        <v>0</v>
      </c>
      <c r="C252" s="123">
        <f>pH_água!C252</f>
        <v>6.42</v>
      </c>
      <c r="D252" s="123">
        <f>pH_KCl!B253</f>
        <v>0</v>
      </c>
      <c r="E252" s="123">
        <f>'pH CaCl2'!C252</f>
        <v>0</v>
      </c>
      <c r="F252" s="123">
        <f>P_Mehlich1!H237</f>
        <v>0</v>
      </c>
      <c r="G252" s="123">
        <f>P_resina!H257</f>
        <v>0</v>
      </c>
      <c r="H252" s="273">
        <f>K!G222</f>
        <v>0</v>
      </c>
      <c r="I252" s="284">
        <v>0</v>
      </c>
      <c r="J252" s="273">
        <f>'Ca2+'!G253</f>
        <v>0</v>
      </c>
      <c r="K252" s="273">
        <f>Mg²!G255</f>
        <v>0</v>
      </c>
      <c r="L252" s="280">
        <f>Al³!C254</f>
        <v>0</v>
      </c>
      <c r="M252" s="280">
        <f>'H + Al'!D254</f>
        <v>0</v>
      </c>
      <c r="N252" s="273">
        <f t="shared" si="17"/>
        <v>0</v>
      </c>
      <c r="O252" s="273">
        <f t="shared" si="18"/>
        <v>0</v>
      </c>
      <c r="P252" s="273">
        <f t="shared" si="19"/>
        <v>0</v>
      </c>
      <c r="Q252" s="294" t="e">
        <f t="shared" si="20"/>
        <v>#DIV/0!</v>
      </c>
      <c r="R252" s="294" t="e">
        <f t="shared" si="21"/>
        <v>#DIV/0!</v>
      </c>
      <c r="S252" s="123">
        <f>Prem!H254</f>
        <v>0</v>
      </c>
      <c r="T252" s="280">
        <f>S!H258</f>
        <v>0</v>
      </c>
      <c r="U252" s="273">
        <f>B!H253</f>
        <v>0</v>
      </c>
      <c r="V252" s="273">
        <f>Zn!G254</f>
        <v>0</v>
      </c>
      <c r="W252" s="273">
        <f>Cu!G254</f>
        <v>0</v>
      </c>
      <c r="X252" s="273">
        <f>Mn!G254</f>
        <v>0</v>
      </c>
      <c r="Y252" s="273">
        <f>Fe!G254</f>
        <v>0</v>
      </c>
      <c r="Z252" s="273">
        <f>M.O!H254</f>
        <v>0</v>
      </c>
      <c r="AA252" s="273" t="e">
        <f t="shared" si="22"/>
        <v>#DIV/0!</v>
      </c>
      <c r="AB252" s="273" t="e">
        <f t="shared" si="23"/>
        <v>#DIV/0!</v>
      </c>
      <c r="AC252" s="273" t="e">
        <f t="shared" si="24"/>
        <v>#DIV/0!</v>
      </c>
    </row>
    <row r="253" spans="1:29" x14ac:dyDescent="0.2">
      <c r="A253" s="106">
        <f>Cadastro!A257</f>
        <v>0</v>
      </c>
      <c r="B253" s="27">
        <f>Cadastro!E255</f>
        <v>0</v>
      </c>
      <c r="C253" s="123">
        <f>pH_água!C253</f>
        <v>6.42</v>
      </c>
      <c r="D253" s="123">
        <f>pH_KCl!B254</f>
        <v>0</v>
      </c>
      <c r="E253" s="123">
        <f>'pH CaCl2'!C253</f>
        <v>0</v>
      </c>
      <c r="F253" s="123">
        <f>P_Mehlich1!H238</f>
        <v>0</v>
      </c>
      <c r="G253" s="123">
        <f>P_resina!H258</f>
        <v>0</v>
      </c>
      <c r="H253" s="273">
        <f>K!G223</f>
        <v>0</v>
      </c>
      <c r="I253" s="284">
        <v>0</v>
      </c>
      <c r="J253" s="273">
        <f>'Ca2+'!G254</f>
        <v>0</v>
      </c>
      <c r="K253" s="273">
        <f>Mg²!G256</f>
        <v>0</v>
      </c>
      <c r="L253" s="280">
        <f>Al³!C255</f>
        <v>0</v>
      </c>
      <c r="M253" s="280">
        <f>'H + Al'!D255</f>
        <v>0</v>
      </c>
      <c r="N253" s="273">
        <f t="shared" si="17"/>
        <v>0</v>
      </c>
      <c r="O253" s="273">
        <f t="shared" si="18"/>
        <v>0</v>
      </c>
      <c r="P253" s="273">
        <f t="shared" si="19"/>
        <v>0</v>
      </c>
      <c r="Q253" s="294" t="e">
        <f t="shared" si="20"/>
        <v>#DIV/0!</v>
      </c>
      <c r="R253" s="294" t="e">
        <f t="shared" si="21"/>
        <v>#DIV/0!</v>
      </c>
      <c r="S253" s="123">
        <f>Prem!H255</f>
        <v>0</v>
      </c>
      <c r="T253" s="280">
        <f>S!H259</f>
        <v>0</v>
      </c>
      <c r="U253" s="273">
        <f>B!H254</f>
        <v>0</v>
      </c>
      <c r="V253" s="273">
        <f>Zn!G255</f>
        <v>0</v>
      </c>
      <c r="W253" s="273">
        <f>Cu!G255</f>
        <v>0</v>
      </c>
      <c r="X253" s="273">
        <f>Mn!G255</f>
        <v>0</v>
      </c>
      <c r="Y253" s="273">
        <f>Fe!G255</f>
        <v>0</v>
      </c>
      <c r="Z253" s="273">
        <f>M.O!H255</f>
        <v>0</v>
      </c>
      <c r="AA253" s="273" t="e">
        <f t="shared" si="22"/>
        <v>#DIV/0!</v>
      </c>
      <c r="AB253" s="273" t="e">
        <f t="shared" si="23"/>
        <v>#DIV/0!</v>
      </c>
      <c r="AC253" s="273" t="e">
        <f t="shared" si="24"/>
        <v>#DIV/0!</v>
      </c>
    </row>
    <row r="254" spans="1:29" x14ac:dyDescent="0.2">
      <c r="A254" s="106">
        <f>Cadastro!A258</f>
        <v>0</v>
      </c>
      <c r="B254" s="27">
        <f>Cadastro!E256</f>
        <v>0</v>
      </c>
      <c r="C254" s="123">
        <f>pH_água!C254</f>
        <v>6.42</v>
      </c>
      <c r="D254" s="123">
        <f>pH_KCl!B255</f>
        <v>0</v>
      </c>
      <c r="E254" s="123">
        <f>'pH CaCl2'!C254</f>
        <v>0</v>
      </c>
      <c r="F254" s="123">
        <f>P_Mehlich1!H239</f>
        <v>0</v>
      </c>
      <c r="G254" s="123">
        <f>P_resina!H259</f>
        <v>0</v>
      </c>
      <c r="H254" s="273">
        <f>K!G224</f>
        <v>0</v>
      </c>
      <c r="I254" s="284">
        <v>0</v>
      </c>
      <c r="J254" s="273">
        <f>'Ca2+'!G255</f>
        <v>0</v>
      </c>
      <c r="K254" s="273">
        <f>Mg²!G257</f>
        <v>0</v>
      </c>
      <c r="L254" s="280">
        <f>Al³!C256</f>
        <v>0</v>
      </c>
      <c r="M254" s="280">
        <f>'H + Al'!D256</f>
        <v>0</v>
      </c>
      <c r="N254" s="273">
        <f t="shared" si="17"/>
        <v>0</v>
      </c>
      <c r="O254" s="273">
        <f t="shared" si="18"/>
        <v>0</v>
      </c>
      <c r="P254" s="273">
        <f t="shared" si="19"/>
        <v>0</v>
      </c>
      <c r="Q254" s="294" t="e">
        <f t="shared" si="20"/>
        <v>#DIV/0!</v>
      </c>
      <c r="R254" s="294" t="e">
        <f t="shared" si="21"/>
        <v>#DIV/0!</v>
      </c>
      <c r="S254" s="123">
        <f>Prem!H256</f>
        <v>0</v>
      </c>
      <c r="T254" s="280">
        <f>S!H260</f>
        <v>0</v>
      </c>
      <c r="U254" s="273">
        <f>B!H255</f>
        <v>0</v>
      </c>
      <c r="V254" s="273">
        <f>Zn!G256</f>
        <v>0</v>
      </c>
      <c r="W254" s="273">
        <f>Cu!G256</f>
        <v>0</v>
      </c>
      <c r="X254" s="273">
        <f>Mn!G256</f>
        <v>0</v>
      </c>
      <c r="Y254" s="273">
        <f>Fe!G256</f>
        <v>0</v>
      </c>
      <c r="Z254" s="273">
        <f>M.O!H256</f>
        <v>0</v>
      </c>
      <c r="AA254" s="273" t="e">
        <f t="shared" si="22"/>
        <v>#DIV/0!</v>
      </c>
      <c r="AB254" s="273" t="e">
        <f t="shared" si="23"/>
        <v>#DIV/0!</v>
      </c>
      <c r="AC254" s="273" t="e">
        <f t="shared" si="24"/>
        <v>#DIV/0!</v>
      </c>
    </row>
    <row r="255" spans="1:29" x14ac:dyDescent="0.2">
      <c r="A255" s="106">
        <f>Cadastro!A259</f>
        <v>0</v>
      </c>
      <c r="B255" s="27">
        <f>Cadastro!E257</f>
        <v>0</v>
      </c>
      <c r="C255" s="123">
        <f>pH_água!C255</f>
        <v>6.42</v>
      </c>
      <c r="D255" s="123">
        <f>pH_KCl!B256</f>
        <v>0</v>
      </c>
      <c r="E255" s="123">
        <f>'pH CaCl2'!C255</f>
        <v>0</v>
      </c>
      <c r="F255" s="123">
        <f>P_Mehlich1!H240</f>
        <v>0</v>
      </c>
      <c r="G255" s="123">
        <f>P_resina!H260</f>
        <v>0</v>
      </c>
      <c r="H255" s="273">
        <f>K!G225</f>
        <v>0</v>
      </c>
      <c r="I255" s="284">
        <v>0</v>
      </c>
      <c r="J255" s="273">
        <f>'Ca2+'!G256</f>
        <v>0</v>
      </c>
      <c r="K255" s="273">
        <f>Mg²!G258</f>
        <v>0</v>
      </c>
      <c r="L255" s="280">
        <f>Al³!C257</f>
        <v>0</v>
      </c>
      <c r="M255" s="280">
        <f>'H + Al'!D257</f>
        <v>0</v>
      </c>
      <c r="N255" s="273">
        <f t="shared" si="17"/>
        <v>0</v>
      </c>
      <c r="O255" s="273">
        <f t="shared" si="18"/>
        <v>0</v>
      </c>
      <c r="P255" s="273">
        <f t="shared" si="19"/>
        <v>0</v>
      </c>
      <c r="Q255" s="294" t="e">
        <f t="shared" si="20"/>
        <v>#DIV/0!</v>
      </c>
      <c r="R255" s="294" t="e">
        <f t="shared" si="21"/>
        <v>#DIV/0!</v>
      </c>
      <c r="S255" s="123">
        <f>Prem!H257</f>
        <v>0</v>
      </c>
      <c r="T255" s="280">
        <f>S!H261</f>
        <v>0</v>
      </c>
      <c r="U255" s="273">
        <f>B!H256</f>
        <v>0</v>
      </c>
      <c r="V255" s="273">
        <f>Zn!G257</f>
        <v>0</v>
      </c>
      <c r="W255" s="273">
        <f>Cu!G257</f>
        <v>0</v>
      </c>
      <c r="X255" s="273">
        <f>Mn!G257</f>
        <v>0</v>
      </c>
      <c r="Y255" s="273">
        <f>Fe!G257</f>
        <v>0</v>
      </c>
      <c r="Z255" s="273">
        <f>M.O!H257</f>
        <v>0</v>
      </c>
      <c r="AA255" s="273" t="e">
        <f t="shared" si="22"/>
        <v>#DIV/0!</v>
      </c>
      <c r="AB255" s="273" t="e">
        <f t="shared" si="23"/>
        <v>#DIV/0!</v>
      </c>
      <c r="AC255" s="273" t="e">
        <f t="shared" si="24"/>
        <v>#DIV/0!</v>
      </c>
    </row>
    <row r="256" spans="1:29" x14ac:dyDescent="0.2">
      <c r="A256" s="106">
        <f>Cadastro!A260</f>
        <v>0</v>
      </c>
      <c r="B256" s="27">
        <f>Cadastro!E258</f>
        <v>0</v>
      </c>
      <c r="C256" s="123">
        <f>pH_água!C256</f>
        <v>6.42</v>
      </c>
      <c r="D256" s="123">
        <f>pH_KCl!B257</f>
        <v>0</v>
      </c>
      <c r="E256" s="123">
        <f>'pH CaCl2'!C256</f>
        <v>0</v>
      </c>
      <c r="F256" s="123">
        <f>P_Mehlich1!H241</f>
        <v>0</v>
      </c>
      <c r="G256" s="123">
        <f>P_resina!H261</f>
        <v>0</v>
      </c>
      <c r="H256" s="273">
        <f>K!G226</f>
        <v>0</v>
      </c>
      <c r="I256" s="284">
        <v>0</v>
      </c>
      <c r="J256" s="273">
        <f>'Ca2+'!G257</f>
        <v>0</v>
      </c>
      <c r="K256" s="273">
        <f>Mg²!G259</f>
        <v>0</v>
      </c>
      <c r="L256" s="280">
        <f>Al³!C258</f>
        <v>0</v>
      </c>
      <c r="M256" s="280">
        <f>'H + Al'!D258</f>
        <v>0</v>
      </c>
      <c r="N256" s="273">
        <f t="shared" si="17"/>
        <v>0</v>
      </c>
      <c r="O256" s="273">
        <f t="shared" si="18"/>
        <v>0</v>
      </c>
      <c r="P256" s="273">
        <f t="shared" si="19"/>
        <v>0</v>
      </c>
      <c r="Q256" s="294" t="e">
        <f t="shared" si="20"/>
        <v>#DIV/0!</v>
      </c>
      <c r="R256" s="294" t="e">
        <f t="shared" si="21"/>
        <v>#DIV/0!</v>
      </c>
      <c r="S256" s="123">
        <f>Prem!H258</f>
        <v>0</v>
      </c>
      <c r="T256" s="280">
        <f>S!H262</f>
        <v>0</v>
      </c>
      <c r="U256" s="273">
        <f>B!H257</f>
        <v>0</v>
      </c>
      <c r="V256" s="273">
        <f>Zn!G258</f>
        <v>0</v>
      </c>
      <c r="W256" s="273">
        <f>Cu!G258</f>
        <v>0</v>
      </c>
      <c r="X256" s="273">
        <f>Mn!G258</f>
        <v>0</v>
      </c>
      <c r="Y256" s="273">
        <f>Fe!G258</f>
        <v>0</v>
      </c>
      <c r="Z256" s="273">
        <f>M.O!H258</f>
        <v>0</v>
      </c>
      <c r="AA256" s="273" t="e">
        <f t="shared" si="22"/>
        <v>#DIV/0!</v>
      </c>
      <c r="AB256" s="273" t="e">
        <f t="shared" si="23"/>
        <v>#DIV/0!</v>
      </c>
      <c r="AC256" s="273" t="e">
        <f t="shared" si="24"/>
        <v>#DIV/0!</v>
      </c>
    </row>
    <row r="257" spans="1:29" x14ac:dyDescent="0.2">
      <c r="A257" s="106">
        <f>Cadastro!A261</f>
        <v>0</v>
      </c>
      <c r="B257" s="27">
        <f>Cadastro!E259</f>
        <v>0</v>
      </c>
      <c r="C257" s="123">
        <f>pH_água!C257</f>
        <v>6.42</v>
      </c>
      <c r="D257" s="123">
        <f>pH_KCl!B258</f>
        <v>0</v>
      </c>
      <c r="E257" s="123">
        <f>'pH CaCl2'!C257</f>
        <v>0</v>
      </c>
      <c r="F257" s="123">
        <f>P_Mehlich1!H242</f>
        <v>0</v>
      </c>
      <c r="G257" s="123">
        <f>P_resina!H262</f>
        <v>0</v>
      </c>
      <c r="H257" s="273">
        <f>K!G227</f>
        <v>0</v>
      </c>
      <c r="I257" s="284">
        <v>0</v>
      </c>
      <c r="J257" s="273">
        <f>'Ca2+'!G258</f>
        <v>0</v>
      </c>
      <c r="K257" s="273">
        <f>Mg²!G260</f>
        <v>0</v>
      </c>
      <c r="L257" s="280">
        <f>Al³!C259</f>
        <v>0</v>
      </c>
      <c r="M257" s="280">
        <f>'H + Al'!D259</f>
        <v>0</v>
      </c>
      <c r="N257" s="273">
        <f t="shared" si="17"/>
        <v>0</v>
      </c>
      <c r="O257" s="273">
        <f t="shared" si="18"/>
        <v>0</v>
      </c>
      <c r="P257" s="273">
        <f t="shared" si="19"/>
        <v>0</v>
      </c>
      <c r="Q257" s="294" t="e">
        <f t="shared" si="20"/>
        <v>#DIV/0!</v>
      </c>
      <c r="R257" s="294" t="e">
        <f t="shared" si="21"/>
        <v>#DIV/0!</v>
      </c>
      <c r="S257" s="123">
        <f>Prem!H259</f>
        <v>0</v>
      </c>
      <c r="T257" s="280">
        <f>S!H263</f>
        <v>0</v>
      </c>
      <c r="U257" s="273">
        <f>B!H258</f>
        <v>0</v>
      </c>
      <c r="V257" s="273">
        <f>Zn!G259</f>
        <v>0</v>
      </c>
      <c r="W257" s="273">
        <f>Cu!G259</f>
        <v>0</v>
      </c>
      <c r="X257" s="273">
        <f>Mn!G259</f>
        <v>0</v>
      </c>
      <c r="Y257" s="273">
        <f>Fe!G259</f>
        <v>0</v>
      </c>
      <c r="Z257" s="273">
        <f>M.O!H259</f>
        <v>0</v>
      </c>
      <c r="AA257" s="273" t="e">
        <f t="shared" si="22"/>
        <v>#DIV/0!</v>
      </c>
      <c r="AB257" s="273" t="e">
        <f t="shared" si="23"/>
        <v>#DIV/0!</v>
      </c>
      <c r="AC257" s="273" t="e">
        <f t="shared" si="24"/>
        <v>#DIV/0!</v>
      </c>
    </row>
    <row r="258" spans="1:29" x14ac:dyDescent="0.2">
      <c r="A258" s="106">
        <f>Cadastro!A262</f>
        <v>0</v>
      </c>
      <c r="B258" s="27">
        <f>Cadastro!E260</f>
        <v>0</v>
      </c>
      <c r="C258" s="123">
        <f>pH_água!C258</f>
        <v>6.42</v>
      </c>
      <c r="D258" s="123">
        <f>pH_KCl!B259</f>
        <v>0</v>
      </c>
      <c r="E258" s="123">
        <f>'pH CaCl2'!C258</f>
        <v>0</v>
      </c>
      <c r="F258" s="123">
        <f>P_Mehlich1!H243</f>
        <v>0</v>
      </c>
      <c r="G258" s="123">
        <f>P_resina!H263</f>
        <v>0</v>
      </c>
      <c r="H258" s="273">
        <f>K!G228</f>
        <v>0</v>
      </c>
      <c r="I258" s="284">
        <v>0</v>
      </c>
      <c r="J258" s="273">
        <f>'Ca2+'!G259</f>
        <v>0</v>
      </c>
      <c r="K258" s="273">
        <f>Mg²!G261</f>
        <v>0</v>
      </c>
      <c r="L258" s="280">
        <f>Al³!C260</f>
        <v>0</v>
      </c>
      <c r="M258" s="280">
        <f>'H + Al'!D260</f>
        <v>0</v>
      </c>
      <c r="N258" s="273">
        <f t="shared" si="17"/>
        <v>0</v>
      </c>
      <c r="O258" s="273">
        <f t="shared" si="18"/>
        <v>0</v>
      </c>
      <c r="P258" s="273">
        <f t="shared" si="19"/>
        <v>0</v>
      </c>
      <c r="Q258" s="294" t="e">
        <f t="shared" si="20"/>
        <v>#DIV/0!</v>
      </c>
      <c r="R258" s="294" t="e">
        <f t="shared" si="21"/>
        <v>#DIV/0!</v>
      </c>
      <c r="S258" s="123">
        <f>Prem!H260</f>
        <v>0</v>
      </c>
      <c r="T258" s="280">
        <f>S!H264</f>
        <v>0</v>
      </c>
      <c r="U258" s="273">
        <f>B!H259</f>
        <v>0</v>
      </c>
      <c r="V258" s="273">
        <f>Zn!G260</f>
        <v>0</v>
      </c>
      <c r="W258" s="273">
        <f>Cu!G260</f>
        <v>0</v>
      </c>
      <c r="X258" s="273">
        <f>Mn!G260</f>
        <v>0</v>
      </c>
      <c r="Y258" s="273">
        <f>Fe!G260</f>
        <v>0</v>
      </c>
      <c r="Z258" s="273">
        <f>M.O!H260</f>
        <v>0</v>
      </c>
      <c r="AA258" s="273" t="e">
        <f t="shared" si="22"/>
        <v>#DIV/0!</v>
      </c>
      <c r="AB258" s="273" t="e">
        <f t="shared" si="23"/>
        <v>#DIV/0!</v>
      </c>
      <c r="AC258" s="273" t="e">
        <f t="shared" si="24"/>
        <v>#DIV/0!</v>
      </c>
    </row>
    <row r="259" spans="1:29" x14ac:dyDescent="0.2">
      <c r="A259" s="106">
        <f>Cadastro!A263</f>
        <v>0</v>
      </c>
      <c r="B259" s="27">
        <f>Cadastro!E261</f>
        <v>0</v>
      </c>
      <c r="C259" s="123">
        <f>pH_água!C259</f>
        <v>6.42</v>
      </c>
      <c r="D259" s="123">
        <f>pH_KCl!B260</f>
        <v>0</v>
      </c>
      <c r="E259" s="123">
        <f>'pH CaCl2'!C259</f>
        <v>0</v>
      </c>
      <c r="F259" s="123">
        <f>P_Mehlich1!H244</f>
        <v>0</v>
      </c>
      <c r="G259" s="123">
        <f>P_resina!H264</f>
        <v>0</v>
      </c>
      <c r="H259" s="273">
        <f>K!G229</f>
        <v>0</v>
      </c>
      <c r="I259" s="284">
        <v>0</v>
      </c>
      <c r="J259" s="273">
        <f>'Ca2+'!G260</f>
        <v>0</v>
      </c>
      <c r="K259" s="273">
        <f>Mg²!G262</f>
        <v>0</v>
      </c>
      <c r="L259" s="280">
        <f>Al³!C261</f>
        <v>0</v>
      </c>
      <c r="M259" s="280">
        <f>'H + Al'!D261</f>
        <v>0</v>
      </c>
      <c r="N259" s="273">
        <f t="shared" si="17"/>
        <v>0</v>
      </c>
      <c r="O259" s="273">
        <f t="shared" si="18"/>
        <v>0</v>
      </c>
      <c r="P259" s="273">
        <f t="shared" si="19"/>
        <v>0</v>
      </c>
      <c r="Q259" s="294" t="e">
        <f t="shared" si="20"/>
        <v>#DIV/0!</v>
      </c>
      <c r="R259" s="294" t="e">
        <f t="shared" si="21"/>
        <v>#DIV/0!</v>
      </c>
      <c r="S259" s="123">
        <f>Prem!H261</f>
        <v>0</v>
      </c>
      <c r="T259" s="280">
        <f>S!H265</f>
        <v>0</v>
      </c>
      <c r="U259" s="273">
        <f>B!H260</f>
        <v>0</v>
      </c>
      <c r="V259" s="273">
        <f>Zn!G261</f>
        <v>0</v>
      </c>
      <c r="W259" s="273">
        <f>Cu!G261</f>
        <v>0</v>
      </c>
      <c r="X259" s="273">
        <f>Mn!G261</f>
        <v>0</v>
      </c>
      <c r="Y259" s="273">
        <f>Fe!G261</f>
        <v>0</v>
      </c>
      <c r="Z259" s="273">
        <f>M.O!H261</f>
        <v>0</v>
      </c>
      <c r="AA259" s="273" t="e">
        <f t="shared" si="22"/>
        <v>#DIV/0!</v>
      </c>
      <c r="AB259" s="273" t="e">
        <f t="shared" si="23"/>
        <v>#DIV/0!</v>
      </c>
      <c r="AC259" s="273" t="e">
        <f t="shared" si="24"/>
        <v>#DIV/0!</v>
      </c>
    </row>
    <row r="260" spans="1:29" x14ac:dyDescent="0.2">
      <c r="A260" s="106">
        <f>Cadastro!A264</f>
        <v>0</v>
      </c>
      <c r="B260" s="27">
        <f>Cadastro!E262</f>
        <v>0</v>
      </c>
      <c r="C260" s="123">
        <f>pH_água!C260</f>
        <v>6.42</v>
      </c>
      <c r="D260" s="123">
        <f>pH_KCl!B261</f>
        <v>0</v>
      </c>
      <c r="E260" s="123">
        <f>'pH CaCl2'!C260</f>
        <v>0</v>
      </c>
      <c r="F260" s="123">
        <f>P_Mehlich1!H245</f>
        <v>0</v>
      </c>
      <c r="G260" s="123">
        <f>P_resina!H265</f>
        <v>0</v>
      </c>
      <c r="H260" s="273">
        <f>K!G230</f>
        <v>0</v>
      </c>
      <c r="I260" s="284">
        <v>0</v>
      </c>
      <c r="J260" s="273">
        <f>'Ca2+'!G261</f>
        <v>0</v>
      </c>
      <c r="K260" s="273">
        <f>Mg²!G263</f>
        <v>0</v>
      </c>
      <c r="L260" s="280">
        <f>Al³!C262</f>
        <v>0</v>
      </c>
      <c r="M260" s="280">
        <f>'H + Al'!D262</f>
        <v>0</v>
      </c>
      <c r="N260" s="273">
        <f t="shared" si="17"/>
        <v>0</v>
      </c>
      <c r="O260" s="273">
        <f t="shared" si="18"/>
        <v>0</v>
      </c>
      <c r="P260" s="273">
        <f t="shared" si="19"/>
        <v>0</v>
      </c>
      <c r="Q260" s="294" t="e">
        <f t="shared" si="20"/>
        <v>#DIV/0!</v>
      </c>
      <c r="R260" s="294" t="e">
        <f t="shared" si="21"/>
        <v>#DIV/0!</v>
      </c>
      <c r="S260" s="123">
        <f>Prem!H262</f>
        <v>0</v>
      </c>
      <c r="T260" s="280">
        <f>S!H266</f>
        <v>0</v>
      </c>
      <c r="U260" s="273">
        <f>B!H261</f>
        <v>0</v>
      </c>
      <c r="V260" s="273">
        <f>Zn!G262</f>
        <v>0</v>
      </c>
      <c r="W260" s="273">
        <f>Cu!G262</f>
        <v>0</v>
      </c>
      <c r="X260" s="273">
        <f>Mn!G262</f>
        <v>0</v>
      </c>
      <c r="Y260" s="273">
        <f>Fe!G262</f>
        <v>0</v>
      </c>
      <c r="Z260" s="273">
        <f>M.O!H262</f>
        <v>0</v>
      </c>
      <c r="AA260" s="273" t="e">
        <f t="shared" si="22"/>
        <v>#DIV/0!</v>
      </c>
      <c r="AB260" s="273" t="e">
        <f t="shared" si="23"/>
        <v>#DIV/0!</v>
      </c>
      <c r="AC260" s="273" t="e">
        <f t="shared" si="24"/>
        <v>#DIV/0!</v>
      </c>
    </row>
    <row r="261" spans="1:29" x14ac:dyDescent="0.2">
      <c r="A261" s="106">
        <f>Cadastro!A265</f>
        <v>0</v>
      </c>
      <c r="B261" s="27">
        <f>Cadastro!E263</f>
        <v>0</v>
      </c>
      <c r="C261" s="123">
        <f>pH_água!C261</f>
        <v>6.42</v>
      </c>
      <c r="D261" s="123">
        <f>pH_KCl!B262</f>
        <v>0</v>
      </c>
      <c r="E261" s="123">
        <f>'pH CaCl2'!C261</f>
        <v>0</v>
      </c>
      <c r="F261" s="123">
        <f>P_Mehlich1!H246</f>
        <v>0</v>
      </c>
      <c r="G261" s="123">
        <f>P_resina!H266</f>
        <v>0</v>
      </c>
      <c r="H261" s="273">
        <f>K!G231</f>
        <v>0</v>
      </c>
      <c r="I261" s="284">
        <v>0</v>
      </c>
      <c r="J261" s="273">
        <f>'Ca2+'!G262</f>
        <v>0</v>
      </c>
      <c r="K261" s="273">
        <f>Mg²!G264</f>
        <v>0</v>
      </c>
      <c r="L261" s="280">
        <f>Al³!C263</f>
        <v>0</v>
      </c>
      <c r="M261" s="280">
        <f>'H + Al'!D263</f>
        <v>0</v>
      </c>
      <c r="N261" s="273">
        <f t="shared" si="17"/>
        <v>0</v>
      </c>
      <c r="O261" s="273">
        <f t="shared" si="18"/>
        <v>0</v>
      </c>
      <c r="P261" s="273">
        <f t="shared" si="19"/>
        <v>0</v>
      </c>
      <c r="Q261" s="294" t="e">
        <f t="shared" si="20"/>
        <v>#DIV/0!</v>
      </c>
      <c r="R261" s="294" t="e">
        <f t="shared" si="21"/>
        <v>#DIV/0!</v>
      </c>
      <c r="S261" s="123">
        <f>Prem!H263</f>
        <v>0</v>
      </c>
      <c r="T261" s="280">
        <f>S!H267</f>
        <v>0</v>
      </c>
      <c r="U261" s="273">
        <f>B!H262</f>
        <v>0</v>
      </c>
      <c r="V261" s="273">
        <f>Zn!G263</f>
        <v>0</v>
      </c>
      <c r="W261" s="273">
        <f>Cu!G263</f>
        <v>0</v>
      </c>
      <c r="X261" s="273">
        <f>Mn!G263</f>
        <v>0</v>
      </c>
      <c r="Y261" s="273">
        <f>Fe!G263</f>
        <v>0</v>
      </c>
      <c r="Z261" s="273">
        <f>M.O!H263</f>
        <v>0</v>
      </c>
      <c r="AA261" s="273" t="e">
        <f t="shared" si="22"/>
        <v>#DIV/0!</v>
      </c>
      <c r="AB261" s="273" t="e">
        <f t="shared" si="23"/>
        <v>#DIV/0!</v>
      </c>
      <c r="AC261" s="273" t="e">
        <f t="shared" si="24"/>
        <v>#DIV/0!</v>
      </c>
    </row>
    <row r="262" spans="1:29" x14ac:dyDescent="0.2">
      <c r="A262" s="106">
        <f>Cadastro!A266</f>
        <v>0</v>
      </c>
      <c r="B262" s="27">
        <f>Cadastro!E264</f>
        <v>0</v>
      </c>
      <c r="C262" s="123">
        <f>pH_água!C262</f>
        <v>6.42</v>
      </c>
      <c r="D262" s="123">
        <f>pH_KCl!B263</f>
        <v>0</v>
      </c>
      <c r="E262" s="123">
        <f>'pH CaCl2'!C262</f>
        <v>0</v>
      </c>
      <c r="F262" s="123">
        <f>P_Mehlich1!H247</f>
        <v>0</v>
      </c>
      <c r="G262" s="123">
        <f>P_resina!H267</f>
        <v>0</v>
      </c>
      <c r="H262" s="273">
        <f>K!G232</f>
        <v>0</v>
      </c>
      <c r="I262" s="284">
        <v>0</v>
      </c>
      <c r="J262" s="273">
        <f>'Ca2+'!G263</f>
        <v>0</v>
      </c>
      <c r="K262" s="273">
        <f>Mg²!G265</f>
        <v>0</v>
      </c>
      <c r="L262" s="280">
        <f>Al³!C264</f>
        <v>0</v>
      </c>
      <c r="M262" s="280">
        <f>'H + Al'!D264</f>
        <v>0</v>
      </c>
      <c r="N262" s="273">
        <f t="shared" si="17"/>
        <v>0</v>
      </c>
      <c r="O262" s="273">
        <f t="shared" si="18"/>
        <v>0</v>
      </c>
      <c r="P262" s="273">
        <f t="shared" si="19"/>
        <v>0</v>
      </c>
      <c r="Q262" s="294" t="e">
        <f t="shared" si="20"/>
        <v>#DIV/0!</v>
      </c>
      <c r="R262" s="294" t="e">
        <f t="shared" si="21"/>
        <v>#DIV/0!</v>
      </c>
      <c r="S262" s="123">
        <f>Prem!H264</f>
        <v>0</v>
      </c>
      <c r="T262" s="280">
        <f>S!H268</f>
        <v>0</v>
      </c>
      <c r="U262" s="273">
        <f>B!H263</f>
        <v>0</v>
      </c>
      <c r="V262" s="273">
        <f>Zn!G264</f>
        <v>0</v>
      </c>
      <c r="W262" s="273">
        <f>Cu!G264</f>
        <v>0</v>
      </c>
      <c r="X262" s="273">
        <f>Mn!G264</f>
        <v>0</v>
      </c>
      <c r="Y262" s="273">
        <f>Fe!G264</f>
        <v>0</v>
      </c>
      <c r="Z262" s="273">
        <f>M.O!H264</f>
        <v>0</v>
      </c>
      <c r="AA262" s="273" t="e">
        <f t="shared" si="22"/>
        <v>#DIV/0!</v>
      </c>
      <c r="AB262" s="273" t="e">
        <f t="shared" si="23"/>
        <v>#DIV/0!</v>
      </c>
      <c r="AC262" s="273" t="e">
        <f t="shared" si="24"/>
        <v>#DIV/0!</v>
      </c>
    </row>
    <row r="263" spans="1:29" x14ac:dyDescent="0.2">
      <c r="A263" s="106">
        <f>Cadastro!A267</f>
        <v>0</v>
      </c>
      <c r="B263" s="27">
        <f>Cadastro!E265</f>
        <v>0</v>
      </c>
      <c r="C263" s="123">
        <f>pH_água!C263</f>
        <v>6.42</v>
      </c>
      <c r="D263" s="123">
        <f>pH_KCl!B264</f>
        <v>0</v>
      </c>
      <c r="E263" s="123">
        <f>'pH CaCl2'!C263</f>
        <v>0</v>
      </c>
      <c r="F263" s="123">
        <f>P_Mehlich1!H248</f>
        <v>0</v>
      </c>
      <c r="G263" s="123">
        <f>P_resina!H268</f>
        <v>0</v>
      </c>
      <c r="H263" s="273">
        <f>K!G233</f>
        <v>0</v>
      </c>
      <c r="I263" s="284">
        <v>0</v>
      </c>
      <c r="J263" s="273">
        <f>'Ca2+'!G264</f>
        <v>0</v>
      </c>
      <c r="K263" s="273">
        <f>Mg²!G266</f>
        <v>0</v>
      </c>
      <c r="L263" s="280">
        <f>Al³!C265</f>
        <v>0</v>
      </c>
      <c r="M263" s="280">
        <f>'H + Al'!D265</f>
        <v>0</v>
      </c>
      <c r="N263" s="273">
        <f t="shared" si="17"/>
        <v>0</v>
      </c>
      <c r="O263" s="273">
        <f t="shared" si="18"/>
        <v>0</v>
      </c>
      <c r="P263" s="273">
        <f t="shared" si="19"/>
        <v>0</v>
      </c>
      <c r="Q263" s="294" t="e">
        <f t="shared" si="20"/>
        <v>#DIV/0!</v>
      </c>
      <c r="R263" s="294" t="e">
        <f t="shared" si="21"/>
        <v>#DIV/0!</v>
      </c>
      <c r="S263" s="123">
        <f>Prem!H265</f>
        <v>0</v>
      </c>
      <c r="T263" s="280">
        <f>S!H269</f>
        <v>0</v>
      </c>
      <c r="U263" s="273">
        <f>B!H264</f>
        <v>0</v>
      </c>
      <c r="V263" s="273">
        <f>Zn!G265</f>
        <v>0</v>
      </c>
      <c r="W263" s="273">
        <f>Cu!G265</f>
        <v>0</v>
      </c>
      <c r="X263" s="273">
        <f>Mn!G265</f>
        <v>0</v>
      </c>
      <c r="Y263" s="273">
        <f>Fe!G265</f>
        <v>0</v>
      </c>
      <c r="Z263" s="273">
        <f>M.O!H265</f>
        <v>0</v>
      </c>
      <c r="AA263" s="273" t="e">
        <f t="shared" si="22"/>
        <v>#DIV/0!</v>
      </c>
      <c r="AB263" s="273" t="e">
        <f t="shared" si="23"/>
        <v>#DIV/0!</v>
      </c>
      <c r="AC263" s="273" t="e">
        <f t="shared" si="24"/>
        <v>#DIV/0!</v>
      </c>
    </row>
    <row r="264" spans="1:29" x14ac:dyDescent="0.2">
      <c r="A264" s="106">
        <f>Cadastro!A268</f>
        <v>0</v>
      </c>
      <c r="B264" s="27">
        <f>Cadastro!E266</f>
        <v>0</v>
      </c>
      <c r="C264" s="123">
        <f>pH_água!C264</f>
        <v>6.42</v>
      </c>
      <c r="D264" s="123">
        <f>pH_KCl!B265</f>
        <v>0</v>
      </c>
      <c r="E264" s="123">
        <f>'pH CaCl2'!C264</f>
        <v>0</v>
      </c>
      <c r="F264" s="123">
        <f>P_Mehlich1!H249</f>
        <v>0</v>
      </c>
      <c r="G264" s="123">
        <f>P_resina!H269</f>
        <v>0</v>
      </c>
      <c r="H264" s="273">
        <f>K!G234</f>
        <v>0</v>
      </c>
      <c r="I264" s="284">
        <v>0</v>
      </c>
      <c r="J264" s="273">
        <f>'Ca2+'!G265</f>
        <v>0</v>
      </c>
      <c r="K264" s="273">
        <f>Mg²!G267</f>
        <v>0</v>
      </c>
      <c r="L264" s="280">
        <f>Al³!C266</f>
        <v>0</v>
      </c>
      <c r="M264" s="280">
        <f>'H + Al'!D266</f>
        <v>0</v>
      </c>
      <c r="N264" s="273">
        <f t="shared" si="17"/>
        <v>0</v>
      </c>
      <c r="O264" s="273">
        <f t="shared" si="18"/>
        <v>0</v>
      </c>
      <c r="P264" s="273">
        <f t="shared" si="19"/>
        <v>0</v>
      </c>
      <c r="Q264" s="294" t="e">
        <f t="shared" si="20"/>
        <v>#DIV/0!</v>
      </c>
      <c r="R264" s="294" t="e">
        <f t="shared" si="21"/>
        <v>#DIV/0!</v>
      </c>
      <c r="S264" s="123">
        <f>Prem!H266</f>
        <v>0</v>
      </c>
      <c r="T264" s="280">
        <f>S!H270</f>
        <v>0</v>
      </c>
      <c r="U264" s="273">
        <f>B!H265</f>
        <v>0</v>
      </c>
      <c r="V264" s="273">
        <f>Zn!G266</f>
        <v>0</v>
      </c>
      <c r="W264" s="273">
        <f>Cu!G266</f>
        <v>0</v>
      </c>
      <c r="X264" s="273">
        <f>Mn!G266</f>
        <v>0</v>
      </c>
      <c r="Y264" s="273">
        <f>Fe!G266</f>
        <v>0</v>
      </c>
      <c r="Z264" s="273">
        <f>M.O!H266</f>
        <v>0</v>
      </c>
      <c r="AA264" s="273" t="e">
        <f t="shared" si="22"/>
        <v>#DIV/0!</v>
      </c>
      <c r="AB264" s="273" t="e">
        <f t="shared" si="23"/>
        <v>#DIV/0!</v>
      </c>
      <c r="AC264" s="273" t="e">
        <f t="shared" si="24"/>
        <v>#DIV/0!</v>
      </c>
    </row>
    <row r="265" spans="1:29" x14ac:dyDescent="0.2">
      <c r="A265" s="106">
        <f>Cadastro!A269</f>
        <v>0</v>
      </c>
      <c r="B265" s="27">
        <f>Cadastro!E267</f>
        <v>0</v>
      </c>
      <c r="C265" s="123">
        <f>pH_água!C265</f>
        <v>6.42</v>
      </c>
      <c r="D265" s="123">
        <f>pH_KCl!B266</f>
        <v>0</v>
      </c>
      <c r="E265" s="123">
        <f>'pH CaCl2'!C265</f>
        <v>0</v>
      </c>
      <c r="F265" s="123">
        <f>P_Mehlich1!H250</f>
        <v>0</v>
      </c>
      <c r="G265" s="123">
        <f>P_resina!H270</f>
        <v>0</v>
      </c>
      <c r="H265" s="273">
        <f>K!G235</f>
        <v>0</v>
      </c>
      <c r="I265" s="284">
        <v>0</v>
      </c>
      <c r="J265" s="273">
        <f>'Ca2+'!G266</f>
        <v>0</v>
      </c>
      <c r="K265" s="273">
        <f>Mg²!G268</f>
        <v>0</v>
      </c>
      <c r="L265" s="280">
        <f>Al³!C267</f>
        <v>0</v>
      </c>
      <c r="M265" s="280">
        <f>'H + Al'!D267</f>
        <v>0</v>
      </c>
      <c r="N265" s="273">
        <f t="shared" si="17"/>
        <v>0</v>
      </c>
      <c r="O265" s="273">
        <f t="shared" si="18"/>
        <v>0</v>
      </c>
      <c r="P265" s="273">
        <f t="shared" si="19"/>
        <v>0</v>
      </c>
      <c r="Q265" s="294" t="e">
        <f t="shared" si="20"/>
        <v>#DIV/0!</v>
      </c>
      <c r="R265" s="294" t="e">
        <f t="shared" si="21"/>
        <v>#DIV/0!</v>
      </c>
      <c r="S265" s="123">
        <f>Prem!H267</f>
        <v>0</v>
      </c>
      <c r="T265" s="280">
        <f>S!H271</f>
        <v>0</v>
      </c>
      <c r="U265" s="273">
        <f>B!H266</f>
        <v>0</v>
      </c>
      <c r="V265" s="273">
        <f>Zn!G267</f>
        <v>0</v>
      </c>
      <c r="W265" s="273">
        <f>Cu!G267</f>
        <v>0</v>
      </c>
      <c r="X265" s="273">
        <f>Mn!G267</f>
        <v>0</v>
      </c>
      <c r="Y265" s="273">
        <f>Fe!G267</f>
        <v>0</v>
      </c>
      <c r="Z265" s="273">
        <f>M.O!H267</f>
        <v>0</v>
      </c>
      <c r="AA265" s="273" t="e">
        <f t="shared" si="22"/>
        <v>#DIV/0!</v>
      </c>
      <c r="AB265" s="273" t="e">
        <f t="shared" si="23"/>
        <v>#DIV/0!</v>
      </c>
      <c r="AC265" s="273" t="e">
        <f t="shared" si="24"/>
        <v>#DIV/0!</v>
      </c>
    </row>
    <row r="266" spans="1:29" x14ac:dyDescent="0.2">
      <c r="A266" s="106">
        <f>Cadastro!A270</f>
        <v>0</v>
      </c>
      <c r="B266" s="27">
        <f>Cadastro!E268</f>
        <v>0</v>
      </c>
      <c r="C266" s="123">
        <f>pH_água!C266</f>
        <v>6.42</v>
      </c>
      <c r="D266" s="123">
        <f>pH_KCl!B267</f>
        <v>0</v>
      </c>
      <c r="E266" s="123">
        <f>'pH CaCl2'!C266</f>
        <v>0</v>
      </c>
      <c r="F266" s="123">
        <f>P_Mehlich1!H251</f>
        <v>0</v>
      </c>
      <c r="G266" s="123">
        <f>P_resina!H271</f>
        <v>0</v>
      </c>
      <c r="H266" s="273">
        <f>K!G236</f>
        <v>0</v>
      </c>
      <c r="I266" s="284">
        <v>0</v>
      </c>
      <c r="J266" s="273">
        <f>'Ca2+'!G267</f>
        <v>0</v>
      </c>
      <c r="K266" s="273">
        <f>Mg²!G269</f>
        <v>0</v>
      </c>
      <c r="L266" s="280">
        <f>Al³!C268</f>
        <v>0</v>
      </c>
      <c r="M266" s="280">
        <f>'H + Al'!D268</f>
        <v>0</v>
      </c>
      <c r="N266" s="273">
        <f t="shared" si="17"/>
        <v>0</v>
      </c>
      <c r="O266" s="273">
        <f t="shared" si="18"/>
        <v>0</v>
      </c>
      <c r="P266" s="273">
        <f t="shared" si="19"/>
        <v>0</v>
      </c>
      <c r="Q266" s="294" t="e">
        <f t="shared" si="20"/>
        <v>#DIV/0!</v>
      </c>
      <c r="R266" s="294" t="e">
        <f t="shared" si="21"/>
        <v>#DIV/0!</v>
      </c>
      <c r="S266" s="123">
        <f>Prem!H268</f>
        <v>0</v>
      </c>
      <c r="T266" s="280">
        <f>S!H272</f>
        <v>0</v>
      </c>
      <c r="U266" s="273">
        <f>B!H267</f>
        <v>0</v>
      </c>
      <c r="V266" s="273">
        <f>Zn!G268</f>
        <v>0</v>
      </c>
      <c r="W266" s="273">
        <f>Cu!G268</f>
        <v>0</v>
      </c>
      <c r="X266" s="273">
        <f>Mn!G268</f>
        <v>0</v>
      </c>
      <c r="Y266" s="273">
        <f>Fe!G268</f>
        <v>0</v>
      </c>
      <c r="Z266" s="273">
        <f>M.O!H268</f>
        <v>0</v>
      </c>
      <c r="AA266" s="273" t="e">
        <f t="shared" si="22"/>
        <v>#DIV/0!</v>
      </c>
      <c r="AB266" s="273" t="e">
        <f t="shared" si="23"/>
        <v>#DIV/0!</v>
      </c>
      <c r="AC266" s="273" t="e">
        <f t="shared" si="24"/>
        <v>#DIV/0!</v>
      </c>
    </row>
    <row r="267" spans="1:29" x14ac:dyDescent="0.2">
      <c r="A267" s="106">
        <f>Cadastro!A271</f>
        <v>0</v>
      </c>
      <c r="B267" s="27">
        <f>Cadastro!E269</f>
        <v>0</v>
      </c>
      <c r="C267" s="123">
        <f>pH_água!C267</f>
        <v>6.42</v>
      </c>
      <c r="D267" s="123">
        <f>pH_KCl!B268</f>
        <v>0</v>
      </c>
      <c r="E267" s="123">
        <f>'pH CaCl2'!C267</f>
        <v>0</v>
      </c>
      <c r="F267" s="123">
        <f>P_Mehlich1!H252</f>
        <v>0</v>
      </c>
      <c r="G267" s="123">
        <f>P_resina!H272</f>
        <v>0</v>
      </c>
      <c r="H267" s="273">
        <f>K!G237</f>
        <v>0</v>
      </c>
      <c r="I267" s="284">
        <v>0</v>
      </c>
      <c r="J267" s="273">
        <f>'Ca2+'!G268</f>
        <v>0</v>
      </c>
      <c r="K267" s="273">
        <f>Mg²!G270</f>
        <v>0</v>
      </c>
      <c r="L267" s="280">
        <f>Al³!C269</f>
        <v>0</v>
      </c>
      <c r="M267" s="280">
        <f>'H + Al'!D269</f>
        <v>0</v>
      </c>
      <c r="N267" s="273">
        <f t="shared" si="17"/>
        <v>0</v>
      </c>
      <c r="O267" s="273">
        <f t="shared" si="18"/>
        <v>0</v>
      </c>
      <c r="P267" s="273">
        <f t="shared" si="19"/>
        <v>0</v>
      </c>
      <c r="Q267" s="294" t="e">
        <f t="shared" si="20"/>
        <v>#DIV/0!</v>
      </c>
      <c r="R267" s="294" t="e">
        <f t="shared" si="21"/>
        <v>#DIV/0!</v>
      </c>
      <c r="S267" s="123">
        <f>Prem!H269</f>
        <v>0</v>
      </c>
      <c r="T267" s="280">
        <f>S!H273</f>
        <v>0</v>
      </c>
      <c r="U267" s="273">
        <f>B!H268</f>
        <v>0</v>
      </c>
      <c r="V267" s="273">
        <f>Zn!G269</f>
        <v>0</v>
      </c>
      <c r="W267" s="273">
        <f>Cu!G269</f>
        <v>0</v>
      </c>
      <c r="X267" s="273">
        <f>Mn!G269</f>
        <v>0</v>
      </c>
      <c r="Y267" s="273">
        <f>Fe!G269</f>
        <v>0</v>
      </c>
      <c r="Z267" s="273">
        <f>M.O!H269</f>
        <v>0</v>
      </c>
      <c r="AA267" s="273" t="e">
        <f t="shared" si="22"/>
        <v>#DIV/0!</v>
      </c>
      <c r="AB267" s="273" t="e">
        <f t="shared" si="23"/>
        <v>#DIV/0!</v>
      </c>
      <c r="AC267" s="273" t="e">
        <f t="shared" si="24"/>
        <v>#DIV/0!</v>
      </c>
    </row>
    <row r="268" spans="1:29" x14ac:dyDescent="0.2">
      <c r="A268" s="106">
        <f>Cadastro!A272</f>
        <v>0</v>
      </c>
      <c r="B268" s="27">
        <f>Cadastro!E270</f>
        <v>0</v>
      </c>
      <c r="C268" s="123">
        <f>pH_água!C268</f>
        <v>6.42</v>
      </c>
      <c r="D268" s="123">
        <f>pH_KCl!B269</f>
        <v>0</v>
      </c>
      <c r="E268" s="123">
        <f>'pH CaCl2'!C268</f>
        <v>0</v>
      </c>
      <c r="F268" s="123">
        <f>P_Mehlich1!H253</f>
        <v>0</v>
      </c>
      <c r="G268" s="123">
        <f>P_resina!H273</f>
        <v>0</v>
      </c>
      <c r="H268" s="273">
        <f>K!G238</f>
        <v>0</v>
      </c>
      <c r="I268" s="284">
        <v>0</v>
      </c>
      <c r="J268" s="273">
        <f>'Ca2+'!G269</f>
        <v>0</v>
      </c>
      <c r="K268" s="273">
        <f>Mg²!G271</f>
        <v>0</v>
      </c>
      <c r="L268" s="280">
        <f>Al³!C270</f>
        <v>0</v>
      </c>
      <c r="M268" s="280">
        <f>'H + Al'!D270</f>
        <v>0</v>
      </c>
      <c r="N268" s="273">
        <f t="shared" si="17"/>
        <v>0</v>
      </c>
      <c r="O268" s="273">
        <f t="shared" si="18"/>
        <v>0</v>
      </c>
      <c r="P268" s="273">
        <f t="shared" si="19"/>
        <v>0</v>
      </c>
      <c r="Q268" s="294" t="e">
        <f t="shared" si="20"/>
        <v>#DIV/0!</v>
      </c>
      <c r="R268" s="294" t="e">
        <f t="shared" si="21"/>
        <v>#DIV/0!</v>
      </c>
      <c r="S268" s="123">
        <f>Prem!H270</f>
        <v>0</v>
      </c>
      <c r="T268" s="280">
        <f>S!H274</f>
        <v>0</v>
      </c>
      <c r="U268" s="273">
        <f>B!H269</f>
        <v>0</v>
      </c>
      <c r="V268" s="273">
        <f>Zn!G270</f>
        <v>0</v>
      </c>
      <c r="W268" s="273">
        <f>Cu!G270</f>
        <v>0</v>
      </c>
      <c r="X268" s="273">
        <f>Mn!G270</f>
        <v>0</v>
      </c>
      <c r="Y268" s="273">
        <f>Fe!G270</f>
        <v>0</v>
      </c>
      <c r="Z268" s="273">
        <f>M.O!H270</f>
        <v>0</v>
      </c>
      <c r="AA268" s="273" t="e">
        <f t="shared" si="22"/>
        <v>#DIV/0!</v>
      </c>
      <c r="AB268" s="273" t="e">
        <f t="shared" si="23"/>
        <v>#DIV/0!</v>
      </c>
      <c r="AC268" s="273" t="e">
        <f t="shared" si="24"/>
        <v>#DIV/0!</v>
      </c>
    </row>
    <row r="269" spans="1:29" x14ac:dyDescent="0.2">
      <c r="A269" s="106">
        <f>Cadastro!A273</f>
        <v>0</v>
      </c>
      <c r="B269" s="27">
        <f>Cadastro!E271</f>
        <v>0</v>
      </c>
      <c r="C269" s="123">
        <f>pH_água!C269</f>
        <v>6.42</v>
      </c>
      <c r="D269" s="123">
        <f>pH_KCl!B270</f>
        <v>0</v>
      </c>
      <c r="E269" s="123">
        <f>'pH CaCl2'!C269</f>
        <v>0</v>
      </c>
      <c r="F269" s="123">
        <f>P_Mehlich1!H254</f>
        <v>0</v>
      </c>
      <c r="G269" s="123">
        <f>P_resina!H274</f>
        <v>0</v>
      </c>
      <c r="H269" s="273">
        <f>K!G239</f>
        <v>0</v>
      </c>
      <c r="I269" s="284">
        <v>0</v>
      </c>
      <c r="J269" s="273">
        <f>'Ca2+'!G270</f>
        <v>0</v>
      </c>
      <c r="K269" s="273">
        <f>Mg²!G272</f>
        <v>0</v>
      </c>
      <c r="L269" s="280">
        <f>Al³!C271</f>
        <v>0</v>
      </c>
      <c r="M269" s="280">
        <f>'H + Al'!D271</f>
        <v>0</v>
      </c>
      <c r="N269" s="273">
        <f t="shared" si="17"/>
        <v>0</v>
      </c>
      <c r="O269" s="273">
        <f t="shared" si="18"/>
        <v>0</v>
      </c>
      <c r="P269" s="273">
        <f t="shared" si="19"/>
        <v>0</v>
      </c>
      <c r="Q269" s="294" t="e">
        <f t="shared" si="20"/>
        <v>#DIV/0!</v>
      </c>
      <c r="R269" s="294" t="e">
        <f t="shared" si="21"/>
        <v>#DIV/0!</v>
      </c>
      <c r="S269" s="123">
        <f>Prem!H271</f>
        <v>0</v>
      </c>
      <c r="T269" s="280">
        <f>S!H275</f>
        <v>0</v>
      </c>
      <c r="U269" s="273">
        <f>B!H270</f>
        <v>0</v>
      </c>
      <c r="V269" s="273">
        <f>Zn!G271</f>
        <v>0</v>
      </c>
      <c r="W269" s="273">
        <f>Cu!G271</f>
        <v>0</v>
      </c>
      <c r="X269" s="273">
        <f>Mn!G271</f>
        <v>0</v>
      </c>
      <c r="Y269" s="273">
        <f>Fe!G271</f>
        <v>0</v>
      </c>
      <c r="Z269" s="273">
        <f>M.O!H271</f>
        <v>0</v>
      </c>
      <c r="AA269" s="273" t="e">
        <f t="shared" si="22"/>
        <v>#DIV/0!</v>
      </c>
      <c r="AB269" s="273" t="e">
        <f t="shared" si="23"/>
        <v>#DIV/0!</v>
      </c>
      <c r="AC269" s="273" t="e">
        <f t="shared" si="24"/>
        <v>#DIV/0!</v>
      </c>
    </row>
    <row r="270" spans="1:29" x14ac:dyDescent="0.2">
      <c r="A270" s="106">
        <f>Cadastro!A274</f>
        <v>0</v>
      </c>
      <c r="B270" s="27">
        <f>Cadastro!E272</f>
        <v>0</v>
      </c>
      <c r="C270" s="123">
        <f>pH_água!C270</f>
        <v>6.42</v>
      </c>
      <c r="D270" s="123">
        <f>pH_KCl!B271</f>
        <v>0</v>
      </c>
      <c r="E270" s="123">
        <f>'pH CaCl2'!C270</f>
        <v>0</v>
      </c>
      <c r="F270" s="123">
        <f>P_Mehlich1!H255</f>
        <v>0</v>
      </c>
      <c r="G270" s="123">
        <f>P_resina!H275</f>
        <v>0</v>
      </c>
      <c r="H270" s="273">
        <f>K!G240</f>
        <v>0</v>
      </c>
      <c r="I270" s="284">
        <v>0</v>
      </c>
      <c r="J270" s="273">
        <f>'Ca2+'!G271</f>
        <v>0</v>
      </c>
      <c r="K270" s="273">
        <f>Mg²!G273</f>
        <v>0</v>
      </c>
      <c r="L270" s="280">
        <f>Al³!C272</f>
        <v>0</v>
      </c>
      <c r="M270" s="280">
        <f>'H + Al'!D272</f>
        <v>0</v>
      </c>
      <c r="N270" s="273">
        <f t="shared" si="17"/>
        <v>0</v>
      </c>
      <c r="O270" s="273">
        <f t="shared" si="18"/>
        <v>0</v>
      </c>
      <c r="P270" s="273">
        <f t="shared" si="19"/>
        <v>0</v>
      </c>
      <c r="Q270" s="294" t="e">
        <f t="shared" si="20"/>
        <v>#DIV/0!</v>
      </c>
      <c r="R270" s="294" t="e">
        <f t="shared" si="21"/>
        <v>#DIV/0!</v>
      </c>
      <c r="S270" s="123">
        <f>Prem!H272</f>
        <v>0</v>
      </c>
      <c r="T270" s="280">
        <f>S!H276</f>
        <v>0</v>
      </c>
      <c r="U270" s="273">
        <f>B!H271</f>
        <v>0</v>
      </c>
      <c r="V270" s="273">
        <f>Zn!G272</f>
        <v>0</v>
      </c>
      <c r="W270" s="273">
        <f>Cu!G272</f>
        <v>0</v>
      </c>
      <c r="X270" s="273">
        <f>Mn!G272</f>
        <v>0</v>
      </c>
      <c r="Y270" s="273">
        <f>Fe!G272</f>
        <v>0</v>
      </c>
      <c r="Z270" s="273">
        <f>M.O!H272</f>
        <v>0</v>
      </c>
      <c r="AA270" s="273" t="e">
        <f t="shared" si="22"/>
        <v>#DIV/0!</v>
      </c>
      <c r="AB270" s="273" t="e">
        <f t="shared" si="23"/>
        <v>#DIV/0!</v>
      </c>
      <c r="AC270" s="273" t="e">
        <f t="shared" si="24"/>
        <v>#DIV/0!</v>
      </c>
    </row>
    <row r="271" spans="1:29" x14ac:dyDescent="0.2">
      <c r="A271" s="106">
        <f>Cadastro!A275</f>
        <v>0</v>
      </c>
      <c r="B271" s="27">
        <f>Cadastro!E273</f>
        <v>0</v>
      </c>
      <c r="C271" s="123">
        <f>pH_água!C271</f>
        <v>6.42</v>
      </c>
      <c r="D271" s="123">
        <f>pH_KCl!B272</f>
        <v>0</v>
      </c>
      <c r="E271" s="123">
        <f>'pH CaCl2'!C271</f>
        <v>0</v>
      </c>
      <c r="F271" s="123">
        <f>P_Mehlich1!H256</f>
        <v>0</v>
      </c>
      <c r="G271" s="123">
        <f>P_resina!H276</f>
        <v>0</v>
      </c>
      <c r="H271" s="273">
        <f>K!G241</f>
        <v>0</v>
      </c>
      <c r="I271" s="284">
        <v>0</v>
      </c>
      <c r="J271" s="273">
        <f>'Ca2+'!G272</f>
        <v>0</v>
      </c>
      <c r="K271" s="273">
        <f>Mg²!G274</f>
        <v>0</v>
      </c>
      <c r="L271" s="280">
        <f>Al³!C273</f>
        <v>0</v>
      </c>
      <c r="M271" s="280">
        <f>'H + Al'!D273</f>
        <v>0</v>
      </c>
      <c r="N271" s="273">
        <f t="shared" si="17"/>
        <v>0</v>
      </c>
      <c r="O271" s="273">
        <f t="shared" si="18"/>
        <v>0</v>
      </c>
      <c r="P271" s="273">
        <f t="shared" si="19"/>
        <v>0</v>
      </c>
      <c r="Q271" s="294" t="e">
        <f t="shared" si="20"/>
        <v>#DIV/0!</v>
      </c>
      <c r="R271" s="294" t="e">
        <f t="shared" si="21"/>
        <v>#DIV/0!</v>
      </c>
      <c r="S271" s="123">
        <f>Prem!H273</f>
        <v>0</v>
      </c>
      <c r="T271" s="280">
        <f>S!H277</f>
        <v>0</v>
      </c>
      <c r="U271" s="273">
        <f>B!H272</f>
        <v>0</v>
      </c>
      <c r="V271" s="273">
        <f>Zn!G273</f>
        <v>0</v>
      </c>
      <c r="W271" s="273">
        <f>Cu!G273</f>
        <v>0</v>
      </c>
      <c r="X271" s="273">
        <f>Mn!G273</f>
        <v>0</v>
      </c>
      <c r="Y271" s="273">
        <f>Fe!G273</f>
        <v>0</v>
      </c>
      <c r="Z271" s="273">
        <f>M.O!H273</f>
        <v>0</v>
      </c>
      <c r="AA271" s="273" t="e">
        <f t="shared" si="22"/>
        <v>#DIV/0!</v>
      </c>
      <c r="AB271" s="273" t="e">
        <f t="shared" si="23"/>
        <v>#DIV/0!</v>
      </c>
      <c r="AC271" s="273" t="e">
        <f t="shared" si="24"/>
        <v>#DIV/0!</v>
      </c>
    </row>
    <row r="272" spans="1:29" x14ac:dyDescent="0.2">
      <c r="A272" s="106">
        <f>Cadastro!A276</f>
        <v>0</v>
      </c>
      <c r="B272" s="27">
        <f>Cadastro!E274</f>
        <v>0</v>
      </c>
      <c r="C272" s="123">
        <f>pH_água!C272</f>
        <v>6.42</v>
      </c>
      <c r="D272" s="123">
        <f>pH_KCl!B273</f>
        <v>0</v>
      </c>
      <c r="E272" s="123">
        <f>'pH CaCl2'!C272</f>
        <v>0</v>
      </c>
      <c r="F272" s="123">
        <f>P_Mehlich1!H257</f>
        <v>0</v>
      </c>
      <c r="G272" s="123">
        <f>P_resina!H277</f>
        <v>0</v>
      </c>
      <c r="H272" s="273">
        <f>K!G242</f>
        <v>0</v>
      </c>
      <c r="I272" s="284">
        <v>0</v>
      </c>
      <c r="J272" s="273">
        <f>'Ca2+'!G273</f>
        <v>0</v>
      </c>
      <c r="K272" s="273">
        <f>Mg²!G275</f>
        <v>0</v>
      </c>
      <c r="L272" s="280">
        <f>Al³!C274</f>
        <v>0</v>
      </c>
      <c r="M272" s="280">
        <f>'H + Al'!D274</f>
        <v>0</v>
      </c>
      <c r="N272" s="273">
        <f t="shared" si="17"/>
        <v>0</v>
      </c>
      <c r="O272" s="273">
        <f t="shared" si="18"/>
        <v>0</v>
      </c>
      <c r="P272" s="273">
        <f t="shared" si="19"/>
        <v>0</v>
      </c>
      <c r="Q272" s="294" t="e">
        <f t="shared" si="20"/>
        <v>#DIV/0!</v>
      </c>
      <c r="R272" s="294" t="e">
        <f t="shared" si="21"/>
        <v>#DIV/0!</v>
      </c>
      <c r="S272" s="123">
        <f>Prem!H274</f>
        <v>0</v>
      </c>
      <c r="T272" s="280">
        <f>S!H278</f>
        <v>0</v>
      </c>
      <c r="U272" s="273">
        <f>B!H273</f>
        <v>0</v>
      </c>
      <c r="V272" s="273">
        <f>Zn!G274</f>
        <v>0</v>
      </c>
      <c r="W272" s="273">
        <f>Cu!G274</f>
        <v>0</v>
      </c>
      <c r="X272" s="273">
        <f>Mn!G274</f>
        <v>0</v>
      </c>
      <c r="Y272" s="273">
        <f>Fe!G274</f>
        <v>0</v>
      </c>
      <c r="Z272" s="273">
        <f>M.O!H274</f>
        <v>0</v>
      </c>
      <c r="AA272" s="273" t="e">
        <f t="shared" si="22"/>
        <v>#DIV/0!</v>
      </c>
      <c r="AB272" s="273" t="e">
        <f t="shared" si="23"/>
        <v>#DIV/0!</v>
      </c>
      <c r="AC272" s="273" t="e">
        <f t="shared" si="24"/>
        <v>#DIV/0!</v>
      </c>
    </row>
    <row r="273" spans="1:29" x14ac:dyDescent="0.2">
      <c r="A273" s="106">
        <f>Cadastro!A277</f>
        <v>0</v>
      </c>
      <c r="B273" s="27">
        <f>Cadastro!E275</f>
        <v>0</v>
      </c>
      <c r="C273" s="123">
        <f>pH_água!C273</f>
        <v>6.42</v>
      </c>
      <c r="D273" s="123">
        <f>pH_KCl!B274</f>
        <v>0</v>
      </c>
      <c r="E273" s="123">
        <f>'pH CaCl2'!C273</f>
        <v>0</v>
      </c>
      <c r="F273" s="123">
        <f>P_Mehlich1!H258</f>
        <v>0</v>
      </c>
      <c r="G273" s="123">
        <f>P_resina!H278</f>
        <v>0</v>
      </c>
      <c r="H273" s="273">
        <f>K!G243</f>
        <v>0</v>
      </c>
      <c r="I273" s="284">
        <v>0</v>
      </c>
      <c r="J273" s="273">
        <f>'Ca2+'!G274</f>
        <v>0</v>
      </c>
      <c r="K273" s="273">
        <f>Mg²!G276</f>
        <v>0</v>
      </c>
      <c r="L273" s="280">
        <f>Al³!C275</f>
        <v>0</v>
      </c>
      <c r="M273" s="280">
        <f>'H + Al'!D275</f>
        <v>0</v>
      </c>
      <c r="N273" s="273">
        <f t="shared" si="17"/>
        <v>0</v>
      </c>
      <c r="O273" s="273">
        <f t="shared" si="18"/>
        <v>0</v>
      </c>
      <c r="P273" s="273">
        <f t="shared" si="19"/>
        <v>0</v>
      </c>
      <c r="Q273" s="294" t="e">
        <f t="shared" si="20"/>
        <v>#DIV/0!</v>
      </c>
      <c r="R273" s="294" t="e">
        <f t="shared" si="21"/>
        <v>#DIV/0!</v>
      </c>
      <c r="S273" s="123">
        <f>Prem!H275</f>
        <v>0</v>
      </c>
      <c r="T273" s="280">
        <f>S!H279</f>
        <v>0</v>
      </c>
      <c r="U273" s="273">
        <f>B!H274</f>
        <v>0</v>
      </c>
      <c r="V273" s="273">
        <f>Zn!G275</f>
        <v>0</v>
      </c>
      <c r="W273" s="273">
        <f>Cu!G275</f>
        <v>0</v>
      </c>
      <c r="X273" s="273">
        <f>Mn!G275</f>
        <v>0</v>
      </c>
      <c r="Y273" s="273">
        <f>Fe!G275</f>
        <v>0</v>
      </c>
      <c r="Z273" s="273">
        <f>M.O!H275</f>
        <v>0</v>
      </c>
      <c r="AA273" s="273" t="e">
        <f t="shared" si="22"/>
        <v>#DIV/0!</v>
      </c>
      <c r="AB273" s="273" t="e">
        <f t="shared" si="23"/>
        <v>#DIV/0!</v>
      </c>
      <c r="AC273" s="273" t="e">
        <f t="shared" si="24"/>
        <v>#DIV/0!</v>
      </c>
    </row>
    <row r="274" spans="1:29" x14ac:dyDescent="0.2">
      <c r="A274" s="106">
        <f>Cadastro!A278</f>
        <v>0</v>
      </c>
      <c r="B274" s="27">
        <f>Cadastro!E276</f>
        <v>0</v>
      </c>
      <c r="C274" s="123">
        <f>pH_água!C274</f>
        <v>6.42</v>
      </c>
      <c r="D274" s="123">
        <f>pH_KCl!B275</f>
        <v>0</v>
      </c>
      <c r="E274" s="123">
        <f>'pH CaCl2'!C274</f>
        <v>0</v>
      </c>
      <c r="F274" s="123">
        <f>P_Mehlich1!H259</f>
        <v>0</v>
      </c>
      <c r="G274" s="123">
        <f>P_resina!H279</f>
        <v>0</v>
      </c>
      <c r="H274" s="273">
        <f>K!G244</f>
        <v>0</v>
      </c>
      <c r="I274" s="284">
        <v>0</v>
      </c>
      <c r="J274" s="273">
        <f>'Ca2+'!G275</f>
        <v>0</v>
      </c>
      <c r="K274" s="273">
        <f>Mg²!G277</f>
        <v>0</v>
      </c>
      <c r="L274" s="280">
        <f>Al³!C276</f>
        <v>0</v>
      </c>
      <c r="M274" s="280">
        <f>'H + Al'!D276</f>
        <v>0</v>
      </c>
      <c r="N274" s="273">
        <f t="shared" si="17"/>
        <v>0</v>
      </c>
      <c r="O274" s="273">
        <f t="shared" si="18"/>
        <v>0</v>
      </c>
      <c r="P274" s="273">
        <f t="shared" si="19"/>
        <v>0</v>
      </c>
      <c r="Q274" s="294" t="e">
        <f t="shared" si="20"/>
        <v>#DIV/0!</v>
      </c>
      <c r="R274" s="294" t="e">
        <f t="shared" si="21"/>
        <v>#DIV/0!</v>
      </c>
      <c r="S274" s="123">
        <f>Prem!H276</f>
        <v>0</v>
      </c>
      <c r="T274" s="280">
        <f>S!H280</f>
        <v>0</v>
      </c>
      <c r="U274" s="273">
        <f>B!H275</f>
        <v>0</v>
      </c>
      <c r="V274" s="273">
        <f>Zn!G276</f>
        <v>0</v>
      </c>
      <c r="W274" s="273">
        <f>Cu!G276</f>
        <v>0</v>
      </c>
      <c r="X274" s="273">
        <f>Mn!G276</f>
        <v>0</v>
      </c>
      <c r="Y274" s="273">
        <f>Fe!G276</f>
        <v>0</v>
      </c>
      <c r="Z274" s="273">
        <f>M.O!H276</f>
        <v>0</v>
      </c>
      <c r="AA274" s="273" t="e">
        <f t="shared" si="22"/>
        <v>#DIV/0!</v>
      </c>
      <c r="AB274" s="273" t="e">
        <f t="shared" si="23"/>
        <v>#DIV/0!</v>
      </c>
      <c r="AC274" s="273" t="e">
        <f t="shared" si="24"/>
        <v>#DIV/0!</v>
      </c>
    </row>
    <row r="275" spans="1:29" x14ac:dyDescent="0.2">
      <c r="A275" s="106">
        <f>Cadastro!A279</f>
        <v>0</v>
      </c>
      <c r="B275" s="27">
        <f>Cadastro!E277</f>
        <v>0</v>
      </c>
      <c r="C275" s="123">
        <f>pH_água!C275</f>
        <v>6.42</v>
      </c>
      <c r="D275" s="123">
        <f>pH_KCl!B276</f>
        <v>0</v>
      </c>
      <c r="E275" s="123">
        <f>'pH CaCl2'!C275</f>
        <v>0</v>
      </c>
      <c r="F275" s="123">
        <f>P_Mehlich1!H260</f>
        <v>0</v>
      </c>
      <c r="G275" s="123">
        <f>P_resina!H280</f>
        <v>0</v>
      </c>
      <c r="H275" s="273">
        <f>K!G245</f>
        <v>0</v>
      </c>
      <c r="I275" s="284">
        <v>0</v>
      </c>
      <c r="J275" s="273">
        <f>'Ca2+'!G276</f>
        <v>0</v>
      </c>
      <c r="K275" s="273">
        <f>Mg²!G278</f>
        <v>0</v>
      </c>
      <c r="L275" s="280">
        <f>Al³!C277</f>
        <v>0</v>
      </c>
      <c r="M275" s="280">
        <f>'H + Al'!D277</f>
        <v>0</v>
      </c>
      <c r="N275" s="273">
        <f t="shared" si="17"/>
        <v>0</v>
      </c>
      <c r="O275" s="273">
        <f t="shared" si="18"/>
        <v>0</v>
      </c>
      <c r="P275" s="273">
        <f t="shared" si="19"/>
        <v>0</v>
      </c>
      <c r="Q275" s="294" t="e">
        <f t="shared" si="20"/>
        <v>#DIV/0!</v>
      </c>
      <c r="R275" s="294" t="e">
        <f t="shared" si="21"/>
        <v>#DIV/0!</v>
      </c>
      <c r="S275" s="123">
        <f>Prem!H277</f>
        <v>0</v>
      </c>
      <c r="T275" s="280">
        <f>S!H281</f>
        <v>0</v>
      </c>
      <c r="U275" s="273">
        <f>B!H276</f>
        <v>0</v>
      </c>
      <c r="V275" s="273">
        <f>Zn!G277</f>
        <v>0</v>
      </c>
      <c r="W275" s="273">
        <f>Cu!G277</f>
        <v>0</v>
      </c>
      <c r="X275" s="273">
        <f>Mn!G277</f>
        <v>0</v>
      </c>
      <c r="Y275" s="273">
        <f>Fe!G277</f>
        <v>0</v>
      </c>
      <c r="Z275" s="273">
        <f>M.O!H277</f>
        <v>0</v>
      </c>
      <c r="AA275" s="273" t="e">
        <f t="shared" si="22"/>
        <v>#DIV/0!</v>
      </c>
      <c r="AB275" s="273" t="e">
        <f t="shared" si="23"/>
        <v>#DIV/0!</v>
      </c>
      <c r="AC275" s="273" t="e">
        <f t="shared" si="24"/>
        <v>#DIV/0!</v>
      </c>
    </row>
    <row r="276" spans="1:29" x14ac:dyDescent="0.2">
      <c r="A276" s="106">
        <f>Cadastro!A280</f>
        <v>0</v>
      </c>
      <c r="B276" s="27">
        <f>Cadastro!E278</f>
        <v>0</v>
      </c>
      <c r="C276" s="123">
        <f>pH_água!C276</f>
        <v>6.42</v>
      </c>
      <c r="D276" s="123">
        <f>pH_KCl!B277</f>
        <v>0</v>
      </c>
      <c r="E276" s="123">
        <f>'pH CaCl2'!C276</f>
        <v>0</v>
      </c>
      <c r="F276" s="123">
        <f>P_Mehlich1!H261</f>
        <v>0</v>
      </c>
      <c r="G276" s="123">
        <f>P_resina!H281</f>
        <v>0</v>
      </c>
      <c r="H276" s="273">
        <f>K!G246</f>
        <v>0</v>
      </c>
      <c r="I276" s="284">
        <v>0</v>
      </c>
      <c r="J276" s="273">
        <f>'Ca2+'!G277</f>
        <v>0</v>
      </c>
      <c r="K276" s="273">
        <f>Mg²!G279</f>
        <v>0</v>
      </c>
      <c r="L276" s="280">
        <f>Al³!C278</f>
        <v>0</v>
      </c>
      <c r="M276" s="280">
        <f>'H + Al'!D278</f>
        <v>0</v>
      </c>
      <c r="N276" s="273">
        <f t="shared" si="17"/>
        <v>0</v>
      </c>
      <c r="O276" s="273">
        <f t="shared" si="18"/>
        <v>0</v>
      </c>
      <c r="P276" s="273">
        <f t="shared" si="19"/>
        <v>0</v>
      </c>
      <c r="Q276" s="294" t="e">
        <f t="shared" si="20"/>
        <v>#DIV/0!</v>
      </c>
      <c r="R276" s="294" t="e">
        <f t="shared" si="21"/>
        <v>#DIV/0!</v>
      </c>
      <c r="S276" s="123">
        <f>Prem!H278</f>
        <v>0</v>
      </c>
      <c r="T276" s="280">
        <f>S!H282</f>
        <v>0</v>
      </c>
      <c r="U276" s="273">
        <f>B!H277</f>
        <v>0</v>
      </c>
      <c r="V276" s="273">
        <f>Zn!G278</f>
        <v>0</v>
      </c>
      <c r="W276" s="273">
        <f>Cu!G278</f>
        <v>0</v>
      </c>
      <c r="X276" s="273">
        <f>Mn!G278</f>
        <v>0</v>
      </c>
      <c r="Y276" s="273">
        <f>Fe!G278</f>
        <v>0</v>
      </c>
      <c r="Z276" s="273">
        <f>M.O!H278</f>
        <v>0</v>
      </c>
      <c r="AA276" s="273" t="e">
        <f t="shared" si="22"/>
        <v>#DIV/0!</v>
      </c>
      <c r="AB276" s="273" t="e">
        <f t="shared" si="23"/>
        <v>#DIV/0!</v>
      </c>
      <c r="AC276" s="273" t="e">
        <f t="shared" si="24"/>
        <v>#DIV/0!</v>
      </c>
    </row>
    <row r="277" spans="1:29" x14ac:dyDescent="0.2">
      <c r="A277" s="106">
        <f>Cadastro!A281</f>
        <v>0</v>
      </c>
      <c r="B277" s="27">
        <f>Cadastro!E279</f>
        <v>0</v>
      </c>
      <c r="C277" s="123">
        <f>pH_água!C277</f>
        <v>6.42</v>
      </c>
      <c r="D277" s="123">
        <f>pH_KCl!B278</f>
        <v>0</v>
      </c>
      <c r="E277" s="123">
        <f>'pH CaCl2'!C277</f>
        <v>0</v>
      </c>
      <c r="F277" s="123">
        <f>P_Mehlich1!H262</f>
        <v>0</v>
      </c>
      <c r="G277" s="123">
        <f>P_resina!H282</f>
        <v>0</v>
      </c>
      <c r="H277" s="273">
        <f>K!G247</f>
        <v>0</v>
      </c>
      <c r="I277" s="284">
        <v>0</v>
      </c>
      <c r="J277" s="273">
        <f>'Ca2+'!G278</f>
        <v>0</v>
      </c>
      <c r="K277" s="273">
        <f>Mg²!G280</f>
        <v>0</v>
      </c>
      <c r="L277" s="280">
        <f>Al³!C279</f>
        <v>0</v>
      </c>
      <c r="M277" s="280">
        <f>'H + Al'!D279</f>
        <v>0</v>
      </c>
      <c r="N277" s="273">
        <f t="shared" si="17"/>
        <v>0</v>
      </c>
      <c r="O277" s="273">
        <f t="shared" si="18"/>
        <v>0</v>
      </c>
      <c r="P277" s="273">
        <f t="shared" si="19"/>
        <v>0</v>
      </c>
      <c r="Q277" s="294" t="e">
        <f t="shared" si="20"/>
        <v>#DIV/0!</v>
      </c>
      <c r="R277" s="294" t="e">
        <f t="shared" si="21"/>
        <v>#DIV/0!</v>
      </c>
      <c r="S277" s="123">
        <f>Prem!H279</f>
        <v>0</v>
      </c>
      <c r="T277" s="280">
        <f>S!H283</f>
        <v>0</v>
      </c>
      <c r="U277" s="273">
        <f>B!H278</f>
        <v>0</v>
      </c>
      <c r="V277" s="273">
        <f>Zn!G279</f>
        <v>0</v>
      </c>
      <c r="W277" s="273">
        <f>Cu!G279</f>
        <v>0</v>
      </c>
      <c r="X277" s="273">
        <f>Mn!G279</f>
        <v>0</v>
      </c>
      <c r="Y277" s="273">
        <f>Fe!G279</f>
        <v>0</v>
      </c>
      <c r="Z277" s="273">
        <f>M.O!H279</f>
        <v>0</v>
      </c>
      <c r="AA277" s="273" t="e">
        <f t="shared" si="22"/>
        <v>#DIV/0!</v>
      </c>
      <c r="AB277" s="273" t="e">
        <f t="shared" si="23"/>
        <v>#DIV/0!</v>
      </c>
      <c r="AC277" s="273" t="e">
        <f t="shared" si="24"/>
        <v>#DIV/0!</v>
      </c>
    </row>
    <row r="278" spans="1:29" x14ac:dyDescent="0.2">
      <c r="A278" s="106">
        <f>Cadastro!A282</f>
        <v>0</v>
      </c>
      <c r="B278" s="27">
        <f>Cadastro!E280</f>
        <v>0</v>
      </c>
      <c r="C278" s="123">
        <f>pH_água!C278</f>
        <v>6.42</v>
      </c>
      <c r="D278" s="123">
        <f>pH_KCl!B279</f>
        <v>0</v>
      </c>
      <c r="E278" s="123">
        <f>'pH CaCl2'!C278</f>
        <v>0</v>
      </c>
      <c r="F278" s="123">
        <f>P_Mehlich1!H263</f>
        <v>0</v>
      </c>
      <c r="G278" s="123">
        <f>P_resina!H283</f>
        <v>0</v>
      </c>
      <c r="H278" s="273">
        <f>K!G248</f>
        <v>0</v>
      </c>
      <c r="I278" s="284">
        <v>0</v>
      </c>
      <c r="J278" s="273">
        <f>'Ca2+'!G279</f>
        <v>0</v>
      </c>
      <c r="K278" s="273">
        <f>Mg²!G281</f>
        <v>0</v>
      </c>
      <c r="L278" s="280">
        <f>Al³!C280</f>
        <v>0</v>
      </c>
      <c r="M278" s="280">
        <f>'H + Al'!D280</f>
        <v>0</v>
      </c>
      <c r="N278" s="273">
        <f t="shared" si="17"/>
        <v>0</v>
      </c>
      <c r="O278" s="273">
        <f t="shared" si="18"/>
        <v>0</v>
      </c>
      <c r="P278" s="273">
        <f t="shared" si="19"/>
        <v>0</v>
      </c>
      <c r="Q278" s="294" t="e">
        <f t="shared" si="20"/>
        <v>#DIV/0!</v>
      </c>
      <c r="R278" s="294" t="e">
        <f t="shared" si="21"/>
        <v>#DIV/0!</v>
      </c>
      <c r="S278" s="123">
        <f>Prem!H280</f>
        <v>0</v>
      </c>
      <c r="T278" s="280">
        <f>S!H284</f>
        <v>0</v>
      </c>
      <c r="U278" s="273">
        <f>B!H279</f>
        <v>0</v>
      </c>
      <c r="V278" s="273">
        <f>Zn!G280</f>
        <v>0</v>
      </c>
      <c r="W278" s="273">
        <f>Cu!G280</f>
        <v>0</v>
      </c>
      <c r="X278" s="273">
        <f>Mn!G280</f>
        <v>0</v>
      </c>
      <c r="Y278" s="273">
        <f>Fe!G280</f>
        <v>0</v>
      </c>
      <c r="Z278" s="273">
        <f>M.O!H280</f>
        <v>0</v>
      </c>
      <c r="AA278" s="273" t="e">
        <f t="shared" si="22"/>
        <v>#DIV/0!</v>
      </c>
      <c r="AB278" s="273" t="e">
        <f t="shared" si="23"/>
        <v>#DIV/0!</v>
      </c>
      <c r="AC278" s="273" t="e">
        <f t="shared" si="24"/>
        <v>#DIV/0!</v>
      </c>
    </row>
    <row r="279" spans="1:29" x14ac:dyDescent="0.2">
      <c r="A279" s="106">
        <f>Cadastro!A283</f>
        <v>0</v>
      </c>
      <c r="B279" s="27">
        <f>Cadastro!E281</f>
        <v>0</v>
      </c>
      <c r="C279" s="123">
        <f>pH_água!C279</f>
        <v>6.42</v>
      </c>
      <c r="D279" s="123">
        <f>pH_KCl!B280</f>
        <v>0</v>
      </c>
      <c r="E279" s="123">
        <f>'pH CaCl2'!C279</f>
        <v>0</v>
      </c>
      <c r="F279" s="123">
        <f>P_Mehlich1!H264</f>
        <v>0</v>
      </c>
      <c r="G279" s="123">
        <f>P_resina!H284</f>
        <v>0</v>
      </c>
      <c r="H279" s="273">
        <f>K!G249</f>
        <v>0</v>
      </c>
      <c r="I279" s="284">
        <v>0</v>
      </c>
      <c r="J279" s="273">
        <f>'Ca2+'!G280</f>
        <v>0</v>
      </c>
      <c r="K279" s="273">
        <f>Mg²!G282</f>
        <v>0</v>
      </c>
      <c r="L279" s="280">
        <f>Al³!C281</f>
        <v>0</v>
      </c>
      <c r="M279" s="280">
        <f>'H + Al'!D281</f>
        <v>0</v>
      </c>
      <c r="N279" s="273">
        <f t="shared" si="17"/>
        <v>0</v>
      </c>
      <c r="O279" s="273">
        <f t="shared" si="18"/>
        <v>0</v>
      </c>
      <c r="P279" s="273">
        <f t="shared" si="19"/>
        <v>0</v>
      </c>
      <c r="Q279" s="294" t="e">
        <f t="shared" si="20"/>
        <v>#DIV/0!</v>
      </c>
      <c r="R279" s="294" t="e">
        <f t="shared" si="21"/>
        <v>#DIV/0!</v>
      </c>
      <c r="S279" s="123">
        <f>Prem!H281</f>
        <v>0</v>
      </c>
      <c r="T279" s="280">
        <f>S!H285</f>
        <v>0</v>
      </c>
      <c r="U279" s="273">
        <f>B!H280</f>
        <v>0</v>
      </c>
      <c r="V279" s="273">
        <f>Zn!G281</f>
        <v>0</v>
      </c>
      <c r="W279" s="273">
        <f>Cu!G281</f>
        <v>0</v>
      </c>
      <c r="X279" s="273">
        <f>Mn!G281</f>
        <v>0</v>
      </c>
      <c r="Y279" s="273">
        <f>Fe!G281</f>
        <v>0</v>
      </c>
      <c r="Z279" s="273">
        <f>M.O!H281</f>
        <v>0</v>
      </c>
      <c r="AA279" s="273" t="e">
        <f t="shared" si="22"/>
        <v>#DIV/0!</v>
      </c>
      <c r="AB279" s="273" t="e">
        <f t="shared" si="23"/>
        <v>#DIV/0!</v>
      </c>
      <c r="AC279" s="273" t="e">
        <f t="shared" si="24"/>
        <v>#DIV/0!</v>
      </c>
    </row>
    <row r="280" spans="1:29" x14ac:dyDescent="0.2">
      <c r="A280" s="106">
        <f>Cadastro!A284</f>
        <v>0</v>
      </c>
      <c r="B280" s="27">
        <f>Cadastro!E282</f>
        <v>0</v>
      </c>
      <c r="C280" s="123">
        <f>pH_água!C280</f>
        <v>6.42</v>
      </c>
      <c r="D280" s="123">
        <f>pH_KCl!B281</f>
        <v>0</v>
      </c>
      <c r="E280" s="123">
        <f>'pH CaCl2'!C280</f>
        <v>0</v>
      </c>
      <c r="F280" s="123">
        <f>P_Mehlich1!H265</f>
        <v>0</v>
      </c>
      <c r="G280" s="123">
        <f>P_resina!H285</f>
        <v>0</v>
      </c>
      <c r="H280" s="273">
        <f>K!G250</f>
        <v>0</v>
      </c>
      <c r="I280" s="284">
        <v>0</v>
      </c>
      <c r="J280" s="273">
        <f>'Ca2+'!G281</f>
        <v>0</v>
      </c>
      <c r="K280" s="273">
        <f>Mg²!G283</f>
        <v>0</v>
      </c>
      <c r="L280" s="280">
        <f>Al³!C282</f>
        <v>0</v>
      </c>
      <c r="M280" s="280">
        <f>'H + Al'!D282</f>
        <v>0</v>
      </c>
      <c r="N280" s="273">
        <f t="shared" si="17"/>
        <v>0</v>
      </c>
      <c r="O280" s="273">
        <f t="shared" si="18"/>
        <v>0</v>
      </c>
      <c r="P280" s="273">
        <f t="shared" si="19"/>
        <v>0</v>
      </c>
      <c r="Q280" s="294" t="e">
        <f t="shared" si="20"/>
        <v>#DIV/0!</v>
      </c>
      <c r="R280" s="294" t="e">
        <f t="shared" si="21"/>
        <v>#DIV/0!</v>
      </c>
      <c r="S280" s="123">
        <f>Prem!H282</f>
        <v>0</v>
      </c>
      <c r="T280" s="280">
        <f>S!H286</f>
        <v>0</v>
      </c>
      <c r="U280" s="273">
        <f>B!H281</f>
        <v>0</v>
      </c>
      <c r="V280" s="273">
        <f>Zn!G282</f>
        <v>0</v>
      </c>
      <c r="W280" s="273">
        <f>Cu!G282</f>
        <v>0</v>
      </c>
      <c r="X280" s="273">
        <f>Mn!G282</f>
        <v>0</v>
      </c>
      <c r="Y280" s="273">
        <f>Fe!G282</f>
        <v>0</v>
      </c>
      <c r="Z280" s="273">
        <f>M.O!H282</f>
        <v>0</v>
      </c>
      <c r="AA280" s="273" t="e">
        <f t="shared" si="22"/>
        <v>#DIV/0!</v>
      </c>
      <c r="AB280" s="273" t="e">
        <f t="shared" si="23"/>
        <v>#DIV/0!</v>
      </c>
      <c r="AC280" s="273" t="e">
        <f t="shared" si="24"/>
        <v>#DIV/0!</v>
      </c>
    </row>
    <row r="281" spans="1:29" x14ac:dyDescent="0.2">
      <c r="A281" s="106">
        <f>Cadastro!A285</f>
        <v>0</v>
      </c>
      <c r="B281" s="27">
        <f>Cadastro!E283</f>
        <v>0</v>
      </c>
      <c r="C281" s="123">
        <f>pH_água!C281</f>
        <v>6.42</v>
      </c>
      <c r="D281" s="123">
        <f>pH_KCl!B282</f>
        <v>0</v>
      </c>
      <c r="E281" s="123">
        <f>'pH CaCl2'!C281</f>
        <v>0</v>
      </c>
      <c r="F281" s="123">
        <f>P_Mehlich1!H266</f>
        <v>0</v>
      </c>
      <c r="G281" s="123">
        <f>P_resina!H286</f>
        <v>0</v>
      </c>
      <c r="H281" s="273">
        <f>K!G251</f>
        <v>0</v>
      </c>
      <c r="I281" s="284">
        <v>0</v>
      </c>
      <c r="J281" s="273">
        <f>'Ca2+'!G282</f>
        <v>0</v>
      </c>
      <c r="K281" s="273">
        <f>Mg²!G284</f>
        <v>0</v>
      </c>
      <c r="L281" s="280">
        <f>Al³!C283</f>
        <v>0</v>
      </c>
      <c r="M281" s="280">
        <f>'H + Al'!D283</f>
        <v>0</v>
      </c>
      <c r="N281" s="273">
        <f t="shared" si="17"/>
        <v>0</v>
      </c>
      <c r="O281" s="273">
        <f t="shared" si="18"/>
        <v>0</v>
      </c>
      <c r="P281" s="273">
        <f t="shared" si="19"/>
        <v>0</v>
      </c>
      <c r="Q281" s="294" t="e">
        <f t="shared" si="20"/>
        <v>#DIV/0!</v>
      </c>
      <c r="R281" s="294" t="e">
        <f t="shared" si="21"/>
        <v>#DIV/0!</v>
      </c>
      <c r="S281" s="123">
        <f>Prem!H283</f>
        <v>0</v>
      </c>
      <c r="T281" s="280">
        <f>S!H287</f>
        <v>0</v>
      </c>
      <c r="U281" s="273">
        <f>B!H282</f>
        <v>0</v>
      </c>
      <c r="V281" s="273">
        <f>Zn!G283</f>
        <v>0</v>
      </c>
      <c r="W281" s="273">
        <f>Cu!G283</f>
        <v>0</v>
      </c>
      <c r="X281" s="273">
        <f>Mn!G283</f>
        <v>0</v>
      </c>
      <c r="Y281" s="273">
        <f>Fe!G283</f>
        <v>0</v>
      </c>
      <c r="Z281" s="273">
        <f>M.O!H283</f>
        <v>0</v>
      </c>
      <c r="AA281" s="273" t="e">
        <f t="shared" si="22"/>
        <v>#DIV/0!</v>
      </c>
      <c r="AB281" s="273" t="e">
        <f t="shared" si="23"/>
        <v>#DIV/0!</v>
      </c>
      <c r="AC281" s="273" t="e">
        <f t="shared" si="24"/>
        <v>#DIV/0!</v>
      </c>
    </row>
    <row r="282" spans="1:29" x14ac:dyDescent="0.2">
      <c r="A282" s="106">
        <f>Cadastro!A286</f>
        <v>0</v>
      </c>
      <c r="B282" s="27">
        <f>Cadastro!E284</f>
        <v>0</v>
      </c>
      <c r="C282" s="123">
        <f>pH_água!C282</f>
        <v>6.42</v>
      </c>
      <c r="D282" s="123">
        <f>pH_KCl!B283</f>
        <v>0</v>
      </c>
      <c r="E282" s="123">
        <f>'pH CaCl2'!C282</f>
        <v>0</v>
      </c>
      <c r="F282" s="123">
        <f>P_Mehlich1!H267</f>
        <v>0</v>
      </c>
      <c r="G282" s="123">
        <f>P_resina!H287</f>
        <v>0</v>
      </c>
      <c r="H282" s="273">
        <f>K!G252</f>
        <v>0</v>
      </c>
      <c r="I282" s="284">
        <v>0</v>
      </c>
      <c r="J282" s="273">
        <f>'Ca2+'!G283</f>
        <v>0</v>
      </c>
      <c r="K282" s="273">
        <f>Mg²!G285</f>
        <v>0</v>
      </c>
      <c r="L282" s="280">
        <f>Al³!C284</f>
        <v>0</v>
      </c>
      <c r="M282" s="280">
        <f>'H + Al'!D284</f>
        <v>0</v>
      </c>
      <c r="N282" s="273">
        <f t="shared" si="17"/>
        <v>0</v>
      </c>
      <c r="O282" s="273">
        <f t="shared" si="18"/>
        <v>0</v>
      </c>
      <c r="P282" s="273">
        <f t="shared" si="19"/>
        <v>0</v>
      </c>
      <c r="Q282" s="294" t="e">
        <f t="shared" si="20"/>
        <v>#DIV/0!</v>
      </c>
      <c r="R282" s="294" t="e">
        <f t="shared" si="21"/>
        <v>#DIV/0!</v>
      </c>
      <c r="S282" s="123">
        <f>Prem!H284</f>
        <v>0</v>
      </c>
      <c r="T282" s="280">
        <f>S!H288</f>
        <v>0</v>
      </c>
      <c r="U282" s="273">
        <f>B!H283</f>
        <v>0</v>
      </c>
      <c r="V282" s="273">
        <f>Zn!G284</f>
        <v>0</v>
      </c>
      <c r="W282" s="273">
        <f>Cu!G284</f>
        <v>0</v>
      </c>
      <c r="X282" s="273">
        <f>Mn!G284</f>
        <v>0</v>
      </c>
      <c r="Y282" s="273">
        <f>Fe!G284</f>
        <v>0</v>
      </c>
      <c r="Z282" s="273">
        <f>M.O!H284</f>
        <v>0</v>
      </c>
      <c r="AA282" s="273" t="e">
        <f t="shared" si="22"/>
        <v>#DIV/0!</v>
      </c>
      <c r="AB282" s="273" t="e">
        <f t="shared" si="23"/>
        <v>#DIV/0!</v>
      </c>
      <c r="AC282" s="273" t="e">
        <f t="shared" si="24"/>
        <v>#DIV/0!</v>
      </c>
    </row>
    <row r="283" spans="1:29" x14ac:dyDescent="0.2">
      <c r="A283" s="106">
        <f>Cadastro!A287</f>
        <v>0</v>
      </c>
      <c r="B283" s="27">
        <f>Cadastro!E285</f>
        <v>0</v>
      </c>
      <c r="C283" s="123">
        <f>pH_água!C283</f>
        <v>6.42</v>
      </c>
      <c r="D283" s="123">
        <f>pH_KCl!B284</f>
        <v>0</v>
      </c>
      <c r="E283" s="123">
        <f>'pH CaCl2'!C283</f>
        <v>0</v>
      </c>
      <c r="F283" s="123">
        <f>P_Mehlich1!H268</f>
        <v>0</v>
      </c>
      <c r="G283" s="123">
        <f>P_resina!H288</f>
        <v>0</v>
      </c>
      <c r="H283" s="273">
        <f>K!G253</f>
        <v>0</v>
      </c>
      <c r="I283" s="284">
        <v>0</v>
      </c>
      <c r="J283" s="273">
        <f>'Ca2+'!G284</f>
        <v>0</v>
      </c>
      <c r="K283" s="273">
        <f>Mg²!G286</f>
        <v>0</v>
      </c>
      <c r="L283" s="280">
        <f>Al³!C285</f>
        <v>0</v>
      </c>
      <c r="M283" s="280">
        <f>'H + Al'!D285</f>
        <v>0</v>
      </c>
      <c r="N283" s="273">
        <f t="shared" si="17"/>
        <v>0</v>
      </c>
      <c r="O283" s="273">
        <f t="shared" si="18"/>
        <v>0</v>
      </c>
      <c r="P283" s="273">
        <f t="shared" si="19"/>
        <v>0</v>
      </c>
      <c r="Q283" s="294" t="e">
        <f t="shared" si="20"/>
        <v>#DIV/0!</v>
      </c>
      <c r="R283" s="294" t="e">
        <f t="shared" si="21"/>
        <v>#DIV/0!</v>
      </c>
      <c r="S283" s="123">
        <f>Prem!H285</f>
        <v>0</v>
      </c>
      <c r="T283" s="280">
        <f>S!H289</f>
        <v>0</v>
      </c>
      <c r="U283" s="273">
        <f>B!H284</f>
        <v>0</v>
      </c>
      <c r="V283" s="273">
        <f>Zn!G285</f>
        <v>0</v>
      </c>
      <c r="W283" s="273">
        <f>Cu!G285</f>
        <v>0</v>
      </c>
      <c r="X283" s="273">
        <f>Mn!G285</f>
        <v>0</v>
      </c>
      <c r="Y283" s="273">
        <f>Fe!G285</f>
        <v>0</v>
      </c>
      <c r="Z283" s="273">
        <f>M.O!H285</f>
        <v>0</v>
      </c>
      <c r="AA283" s="273" t="e">
        <f t="shared" si="22"/>
        <v>#DIV/0!</v>
      </c>
      <c r="AB283" s="273" t="e">
        <f t="shared" si="23"/>
        <v>#DIV/0!</v>
      </c>
      <c r="AC283" s="273" t="e">
        <f t="shared" si="24"/>
        <v>#DIV/0!</v>
      </c>
    </row>
    <row r="284" spans="1:29" x14ac:dyDescent="0.2">
      <c r="A284" s="106">
        <f>Cadastro!A288</f>
        <v>0</v>
      </c>
      <c r="B284" s="27">
        <f>Cadastro!E286</f>
        <v>0</v>
      </c>
      <c r="C284" s="123">
        <f>pH_água!C284</f>
        <v>6.42</v>
      </c>
      <c r="D284" s="123">
        <f>pH_KCl!B285</f>
        <v>0</v>
      </c>
      <c r="E284" s="123">
        <f>'pH CaCl2'!C284</f>
        <v>0</v>
      </c>
      <c r="F284" s="123">
        <f>P_Mehlich1!H269</f>
        <v>0</v>
      </c>
      <c r="G284" s="123">
        <f>P_resina!H289</f>
        <v>0</v>
      </c>
      <c r="H284" s="273">
        <f>K!G254</f>
        <v>0</v>
      </c>
      <c r="I284" s="284">
        <v>0</v>
      </c>
      <c r="J284" s="273">
        <f>'Ca2+'!G285</f>
        <v>0</v>
      </c>
      <c r="K284" s="273">
        <f>Mg²!G287</f>
        <v>0</v>
      </c>
      <c r="L284" s="280">
        <f>Al³!C286</f>
        <v>0</v>
      </c>
      <c r="M284" s="280">
        <f>'H + Al'!D286</f>
        <v>0</v>
      </c>
      <c r="N284" s="273">
        <f t="shared" si="17"/>
        <v>0</v>
      </c>
      <c r="O284" s="273">
        <f t="shared" si="18"/>
        <v>0</v>
      </c>
      <c r="P284" s="273">
        <f t="shared" si="19"/>
        <v>0</v>
      </c>
      <c r="Q284" s="294" t="e">
        <f t="shared" si="20"/>
        <v>#DIV/0!</v>
      </c>
      <c r="R284" s="294" t="e">
        <f t="shared" si="21"/>
        <v>#DIV/0!</v>
      </c>
      <c r="S284" s="123">
        <f>Prem!H286</f>
        <v>0</v>
      </c>
      <c r="T284" s="280">
        <f>S!H290</f>
        <v>0</v>
      </c>
      <c r="U284" s="273">
        <f>B!H285</f>
        <v>0</v>
      </c>
      <c r="V284" s="273">
        <f>Zn!G286</f>
        <v>0</v>
      </c>
      <c r="W284" s="273">
        <f>Cu!G286</f>
        <v>0</v>
      </c>
      <c r="X284" s="273">
        <f>Mn!G286</f>
        <v>0</v>
      </c>
      <c r="Y284" s="273">
        <f>Fe!G286</f>
        <v>0</v>
      </c>
      <c r="Z284" s="273">
        <f>M.O!H286</f>
        <v>0</v>
      </c>
      <c r="AA284" s="273" t="e">
        <f t="shared" si="22"/>
        <v>#DIV/0!</v>
      </c>
      <c r="AB284" s="273" t="e">
        <f t="shared" si="23"/>
        <v>#DIV/0!</v>
      </c>
      <c r="AC284" s="273" t="e">
        <f t="shared" si="24"/>
        <v>#DIV/0!</v>
      </c>
    </row>
    <row r="285" spans="1:29" x14ac:dyDescent="0.2">
      <c r="A285" s="106">
        <f>Cadastro!A289</f>
        <v>0</v>
      </c>
      <c r="B285" s="27">
        <f>Cadastro!E287</f>
        <v>0</v>
      </c>
      <c r="C285" s="123">
        <f>pH_água!C285</f>
        <v>6.42</v>
      </c>
      <c r="D285" s="123">
        <f>pH_KCl!B286</f>
        <v>0</v>
      </c>
      <c r="E285" s="123">
        <f>'pH CaCl2'!C285</f>
        <v>0</v>
      </c>
      <c r="F285" s="123">
        <f>P_Mehlich1!H270</f>
        <v>0</v>
      </c>
      <c r="G285" s="123">
        <f>P_resina!H290</f>
        <v>0</v>
      </c>
      <c r="H285" s="273">
        <f>K!G255</f>
        <v>0</v>
      </c>
      <c r="I285" s="284">
        <v>0</v>
      </c>
      <c r="J285" s="273">
        <f>'Ca2+'!G286</f>
        <v>0</v>
      </c>
      <c r="K285" s="273">
        <f>Mg²!G288</f>
        <v>0</v>
      </c>
      <c r="L285" s="280">
        <f>Al³!C287</f>
        <v>0</v>
      </c>
      <c r="M285" s="280">
        <f>'H + Al'!D287</f>
        <v>0</v>
      </c>
      <c r="N285" s="273">
        <f t="shared" si="17"/>
        <v>0</v>
      </c>
      <c r="O285" s="273">
        <f t="shared" si="18"/>
        <v>0</v>
      </c>
      <c r="P285" s="273">
        <f t="shared" si="19"/>
        <v>0</v>
      </c>
      <c r="Q285" s="294" t="e">
        <f t="shared" si="20"/>
        <v>#DIV/0!</v>
      </c>
      <c r="R285" s="294" t="e">
        <f t="shared" si="21"/>
        <v>#DIV/0!</v>
      </c>
      <c r="S285" s="123">
        <f>Prem!H287</f>
        <v>0</v>
      </c>
      <c r="T285" s="280">
        <f>S!H291</f>
        <v>0</v>
      </c>
      <c r="U285" s="273">
        <f>B!H286</f>
        <v>0</v>
      </c>
      <c r="V285" s="273">
        <f>Zn!G287</f>
        <v>0</v>
      </c>
      <c r="W285" s="273">
        <f>Cu!G287</f>
        <v>0</v>
      </c>
      <c r="X285" s="273">
        <f>Mn!G287</f>
        <v>0</v>
      </c>
      <c r="Y285" s="273">
        <f>Fe!G287</f>
        <v>0</v>
      </c>
      <c r="Z285" s="273">
        <f>M.O!H287</f>
        <v>0</v>
      </c>
      <c r="AA285" s="273" t="e">
        <f t="shared" si="22"/>
        <v>#DIV/0!</v>
      </c>
      <c r="AB285" s="273" t="e">
        <f t="shared" si="23"/>
        <v>#DIV/0!</v>
      </c>
      <c r="AC285" s="273" t="e">
        <f t="shared" si="24"/>
        <v>#DIV/0!</v>
      </c>
    </row>
    <row r="286" spans="1:29" x14ac:dyDescent="0.2">
      <c r="A286" s="106">
        <f>Cadastro!A290</f>
        <v>0</v>
      </c>
      <c r="B286" s="27">
        <f>Cadastro!E288</f>
        <v>0</v>
      </c>
      <c r="C286" s="123">
        <f>pH_água!C286</f>
        <v>6.42</v>
      </c>
      <c r="D286" s="123">
        <f>pH_KCl!B287</f>
        <v>0</v>
      </c>
      <c r="E286" s="123">
        <f>'pH CaCl2'!C286</f>
        <v>0</v>
      </c>
      <c r="F286" s="123">
        <f>P_Mehlich1!H271</f>
        <v>0</v>
      </c>
      <c r="G286" s="123">
        <f>P_resina!H291</f>
        <v>0</v>
      </c>
      <c r="H286" s="273">
        <f>K!G256</f>
        <v>0</v>
      </c>
      <c r="I286" s="284">
        <v>0</v>
      </c>
      <c r="J286" s="273">
        <f>'Ca2+'!G287</f>
        <v>0</v>
      </c>
      <c r="K286" s="273">
        <f>Mg²!G289</f>
        <v>0</v>
      </c>
      <c r="L286" s="280">
        <f>Al³!C288</f>
        <v>0</v>
      </c>
      <c r="M286" s="280">
        <f>'H + Al'!D288</f>
        <v>0</v>
      </c>
      <c r="N286" s="273">
        <f t="shared" si="17"/>
        <v>0</v>
      </c>
      <c r="O286" s="273">
        <f t="shared" si="18"/>
        <v>0</v>
      </c>
      <c r="P286" s="273">
        <f t="shared" si="19"/>
        <v>0</v>
      </c>
      <c r="Q286" s="294" t="e">
        <f t="shared" si="20"/>
        <v>#DIV/0!</v>
      </c>
      <c r="R286" s="294" t="e">
        <f t="shared" si="21"/>
        <v>#DIV/0!</v>
      </c>
      <c r="S286" s="123">
        <f>Prem!H288</f>
        <v>0</v>
      </c>
      <c r="T286" s="280">
        <f>S!H292</f>
        <v>0</v>
      </c>
      <c r="U286" s="273">
        <f>B!H287</f>
        <v>0</v>
      </c>
      <c r="V286" s="273">
        <f>Zn!G288</f>
        <v>0</v>
      </c>
      <c r="W286" s="273">
        <f>Cu!G288</f>
        <v>0</v>
      </c>
      <c r="X286" s="273">
        <f>Mn!G288</f>
        <v>0</v>
      </c>
      <c r="Y286" s="273">
        <f>Fe!G288</f>
        <v>0</v>
      </c>
      <c r="Z286" s="273">
        <f>M.O!H288</f>
        <v>0</v>
      </c>
      <c r="AA286" s="273" t="e">
        <f t="shared" si="22"/>
        <v>#DIV/0!</v>
      </c>
      <c r="AB286" s="273" t="e">
        <f t="shared" si="23"/>
        <v>#DIV/0!</v>
      </c>
      <c r="AC286" s="273" t="e">
        <f t="shared" si="24"/>
        <v>#DIV/0!</v>
      </c>
    </row>
    <row r="287" spans="1:29" x14ac:dyDescent="0.2">
      <c r="A287" s="106">
        <f>Cadastro!A291</f>
        <v>0</v>
      </c>
      <c r="B287" s="27">
        <f>Cadastro!E289</f>
        <v>0</v>
      </c>
      <c r="C287" s="123">
        <f>pH_água!C287</f>
        <v>6.42</v>
      </c>
      <c r="D287" s="123">
        <f>pH_KCl!B288</f>
        <v>0</v>
      </c>
      <c r="E287" s="123">
        <f>'pH CaCl2'!C287</f>
        <v>0</v>
      </c>
      <c r="F287" s="123">
        <f>P_Mehlich1!H272</f>
        <v>0</v>
      </c>
      <c r="G287" s="123">
        <f>P_resina!H292</f>
        <v>0</v>
      </c>
      <c r="H287" s="273">
        <f>K!G257</f>
        <v>0</v>
      </c>
      <c r="I287" s="284">
        <v>0</v>
      </c>
      <c r="J287" s="273">
        <f>'Ca2+'!G288</f>
        <v>0</v>
      </c>
      <c r="K287" s="273">
        <f>Mg²!G290</f>
        <v>0</v>
      </c>
      <c r="L287" s="280">
        <f>Al³!C289</f>
        <v>0</v>
      </c>
      <c r="M287" s="280">
        <f>'H + Al'!D289</f>
        <v>0</v>
      </c>
      <c r="N287" s="273">
        <f t="shared" si="17"/>
        <v>0</v>
      </c>
      <c r="O287" s="273">
        <f t="shared" si="18"/>
        <v>0</v>
      </c>
      <c r="P287" s="273">
        <f t="shared" si="19"/>
        <v>0</v>
      </c>
      <c r="Q287" s="294" t="e">
        <f t="shared" si="20"/>
        <v>#DIV/0!</v>
      </c>
      <c r="R287" s="294" t="e">
        <f t="shared" si="21"/>
        <v>#DIV/0!</v>
      </c>
      <c r="S287" s="123">
        <f>Prem!H289</f>
        <v>0</v>
      </c>
      <c r="T287" s="280">
        <f>S!H293</f>
        <v>0</v>
      </c>
      <c r="U287" s="273">
        <f>B!H288</f>
        <v>0</v>
      </c>
      <c r="V287" s="273">
        <f>Zn!G289</f>
        <v>0</v>
      </c>
      <c r="W287" s="273">
        <f>Cu!G289</f>
        <v>0</v>
      </c>
      <c r="X287" s="273">
        <f>Mn!G289</f>
        <v>0</v>
      </c>
      <c r="Y287" s="273">
        <f>Fe!G289</f>
        <v>0</v>
      </c>
      <c r="Z287" s="273">
        <f>M.O!H289</f>
        <v>0</v>
      </c>
      <c r="AA287" s="273" t="e">
        <f t="shared" si="22"/>
        <v>#DIV/0!</v>
      </c>
      <c r="AB287" s="273" t="e">
        <f t="shared" si="23"/>
        <v>#DIV/0!</v>
      </c>
      <c r="AC287" s="273" t="e">
        <f t="shared" si="24"/>
        <v>#DIV/0!</v>
      </c>
    </row>
    <row r="288" spans="1:29" x14ac:dyDescent="0.2">
      <c r="A288" s="106">
        <f>Cadastro!A292</f>
        <v>0</v>
      </c>
      <c r="B288" s="27">
        <f>Cadastro!E290</f>
        <v>0</v>
      </c>
      <c r="C288" s="123">
        <f>pH_água!C288</f>
        <v>6.42</v>
      </c>
      <c r="D288" s="123">
        <f>pH_KCl!B289</f>
        <v>0</v>
      </c>
      <c r="E288" s="123">
        <f>'pH CaCl2'!C288</f>
        <v>0</v>
      </c>
      <c r="F288" s="123">
        <f>P_Mehlich1!H273</f>
        <v>0</v>
      </c>
      <c r="G288" s="123">
        <f>P_resina!H293</f>
        <v>0</v>
      </c>
      <c r="H288" s="273">
        <f>K!G258</f>
        <v>0</v>
      </c>
      <c r="I288" s="284">
        <v>0</v>
      </c>
      <c r="J288" s="273">
        <f>'Ca2+'!G289</f>
        <v>0</v>
      </c>
      <c r="K288" s="273">
        <f>Mg²!G291</f>
        <v>0</v>
      </c>
      <c r="L288" s="280">
        <f>Al³!C290</f>
        <v>0</v>
      </c>
      <c r="M288" s="280">
        <f>'H + Al'!D290</f>
        <v>0</v>
      </c>
      <c r="N288" s="273">
        <f t="shared" si="17"/>
        <v>0</v>
      </c>
      <c r="O288" s="273">
        <f t="shared" si="18"/>
        <v>0</v>
      </c>
      <c r="P288" s="273">
        <f t="shared" si="19"/>
        <v>0</v>
      </c>
      <c r="Q288" s="294" t="e">
        <f t="shared" si="20"/>
        <v>#DIV/0!</v>
      </c>
      <c r="R288" s="294" t="e">
        <f t="shared" si="21"/>
        <v>#DIV/0!</v>
      </c>
      <c r="S288" s="123">
        <f>Prem!H290</f>
        <v>0</v>
      </c>
      <c r="T288" s="280">
        <f>S!H294</f>
        <v>0</v>
      </c>
      <c r="U288" s="273">
        <f>B!H289</f>
        <v>0</v>
      </c>
      <c r="V288" s="273">
        <f>Zn!G290</f>
        <v>0</v>
      </c>
      <c r="W288" s="273">
        <f>Cu!G290</f>
        <v>0</v>
      </c>
      <c r="X288" s="273">
        <f>Mn!G290</f>
        <v>0</v>
      </c>
      <c r="Y288" s="273">
        <f>Fe!G290</f>
        <v>0</v>
      </c>
      <c r="Z288" s="273">
        <f>M.O!H290</f>
        <v>0</v>
      </c>
      <c r="AA288" s="273" t="e">
        <f t="shared" si="22"/>
        <v>#DIV/0!</v>
      </c>
      <c r="AB288" s="273" t="e">
        <f t="shared" si="23"/>
        <v>#DIV/0!</v>
      </c>
      <c r="AC288" s="273" t="e">
        <f t="shared" si="24"/>
        <v>#DIV/0!</v>
      </c>
    </row>
    <row r="289" spans="1:29" x14ac:dyDescent="0.2">
      <c r="A289" s="106">
        <f>Cadastro!A293</f>
        <v>0</v>
      </c>
      <c r="B289" s="27">
        <f>Cadastro!E291</f>
        <v>0</v>
      </c>
      <c r="C289" s="123">
        <f>pH_água!C289</f>
        <v>6.42</v>
      </c>
      <c r="D289" s="123">
        <f>pH_KCl!B290</f>
        <v>0</v>
      </c>
      <c r="E289" s="123">
        <f>'pH CaCl2'!C289</f>
        <v>0</v>
      </c>
      <c r="F289" s="123">
        <f>P_Mehlich1!H274</f>
        <v>0</v>
      </c>
      <c r="G289" s="123">
        <f>P_resina!H294</f>
        <v>0</v>
      </c>
      <c r="H289" s="273">
        <f>K!G259</f>
        <v>0</v>
      </c>
      <c r="I289" s="284">
        <v>0</v>
      </c>
      <c r="J289" s="273">
        <f>'Ca2+'!G290</f>
        <v>0</v>
      </c>
      <c r="K289" s="273">
        <f>Mg²!G292</f>
        <v>0</v>
      </c>
      <c r="L289" s="280">
        <f>Al³!C291</f>
        <v>0</v>
      </c>
      <c r="M289" s="280">
        <f>'H + Al'!D291</f>
        <v>0</v>
      </c>
      <c r="N289" s="273">
        <f t="shared" si="17"/>
        <v>0</v>
      </c>
      <c r="O289" s="273">
        <f t="shared" si="18"/>
        <v>0</v>
      </c>
      <c r="P289" s="273">
        <f t="shared" si="19"/>
        <v>0</v>
      </c>
      <c r="Q289" s="294" t="e">
        <f t="shared" si="20"/>
        <v>#DIV/0!</v>
      </c>
      <c r="R289" s="294" t="e">
        <f t="shared" si="21"/>
        <v>#DIV/0!</v>
      </c>
      <c r="S289" s="123">
        <f>Prem!H291</f>
        <v>0</v>
      </c>
      <c r="T289" s="280">
        <f>S!H295</f>
        <v>0</v>
      </c>
      <c r="U289" s="273">
        <f>B!H290</f>
        <v>0</v>
      </c>
      <c r="V289" s="273">
        <f>Zn!G291</f>
        <v>0</v>
      </c>
      <c r="W289" s="273">
        <f>Cu!G291</f>
        <v>0</v>
      </c>
      <c r="X289" s="273">
        <f>Mn!G291</f>
        <v>0</v>
      </c>
      <c r="Y289" s="273">
        <f>Fe!G291</f>
        <v>0</v>
      </c>
      <c r="Z289" s="273">
        <f>M.O!H291</f>
        <v>0</v>
      </c>
      <c r="AA289" s="273" t="e">
        <f t="shared" si="22"/>
        <v>#DIV/0!</v>
      </c>
      <c r="AB289" s="273" t="e">
        <f t="shared" si="23"/>
        <v>#DIV/0!</v>
      </c>
      <c r="AC289" s="273" t="e">
        <f t="shared" si="24"/>
        <v>#DIV/0!</v>
      </c>
    </row>
    <row r="290" spans="1:29" x14ac:dyDescent="0.2">
      <c r="A290" s="106">
        <f>Cadastro!A294</f>
        <v>0</v>
      </c>
      <c r="B290" s="27">
        <f>Cadastro!E292</f>
        <v>0</v>
      </c>
      <c r="C290" s="123">
        <f>pH_água!C290</f>
        <v>6.42</v>
      </c>
      <c r="D290" s="123">
        <f>pH_KCl!B291</f>
        <v>0</v>
      </c>
      <c r="E290" s="123">
        <f>'pH CaCl2'!C290</f>
        <v>0</v>
      </c>
      <c r="F290" s="123">
        <f>P_Mehlich1!H275</f>
        <v>0</v>
      </c>
      <c r="G290" s="123">
        <f>P_resina!H295</f>
        <v>0</v>
      </c>
      <c r="H290" s="273">
        <f>K!G260</f>
        <v>0</v>
      </c>
      <c r="I290" s="284">
        <v>0</v>
      </c>
      <c r="J290" s="273">
        <f>'Ca2+'!G291</f>
        <v>0</v>
      </c>
      <c r="K290" s="273">
        <f>Mg²!G293</f>
        <v>0</v>
      </c>
      <c r="L290" s="280">
        <f>Al³!C292</f>
        <v>0</v>
      </c>
      <c r="M290" s="280">
        <f>'H + Al'!D292</f>
        <v>0</v>
      </c>
      <c r="N290" s="273">
        <f t="shared" si="17"/>
        <v>0</v>
      </c>
      <c r="O290" s="273">
        <f t="shared" si="18"/>
        <v>0</v>
      </c>
      <c r="P290" s="273">
        <f t="shared" si="19"/>
        <v>0</v>
      </c>
      <c r="Q290" s="294" t="e">
        <f t="shared" si="20"/>
        <v>#DIV/0!</v>
      </c>
      <c r="R290" s="294" t="e">
        <f t="shared" si="21"/>
        <v>#DIV/0!</v>
      </c>
      <c r="S290" s="123">
        <f>Prem!H292</f>
        <v>0</v>
      </c>
      <c r="T290" s="280">
        <f>S!H296</f>
        <v>0</v>
      </c>
      <c r="U290" s="273">
        <f>B!H291</f>
        <v>0</v>
      </c>
      <c r="V290" s="273">
        <f>Zn!G292</f>
        <v>0</v>
      </c>
      <c r="W290" s="273">
        <f>Cu!G292</f>
        <v>0</v>
      </c>
      <c r="X290" s="273">
        <f>Mn!G292</f>
        <v>0</v>
      </c>
      <c r="Y290" s="273">
        <f>Fe!G292</f>
        <v>0</v>
      </c>
      <c r="Z290" s="273">
        <f>M.O!H292</f>
        <v>0</v>
      </c>
      <c r="AA290" s="273" t="e">
        <f t="shared" si="22"/>
        <v>#DIV/0!</v>
      </c>
      <c r="AB290" s="273" t="e">
        <f t="shared" si="23"/>
        <v>#DIV/0!</v>
      </c>
      <c r="AC290" s="273" t="e">
        <f t="shared" si="24"/>
        <v>#DIV/0!</v>
      </c>
    </row>
    <row r="291" spans="1:29" x14ac:dyDescent="0.2">
      <c r="A291" s="106">
        <f>Cadastro!A295</f>
        <v>0</v>
      </c>
      <c r="B291" s="27">
        <f>Cadastro!E293</f>
        <v>0</v>
      </c>
      <c r="C291" s="123">
        <f>pH_água!C291</f>
        <v>6.42</v>
      </c>
      <c r="D291" s="123">
        <f>pH_KCl!B292</f>
        <v>0</v>
      </c>
      <c r="E291" s="123">
        <f>'pH CaCl2'!C291</f>
        <v>0</v>
      </c>
      <c r="F291" s="123">
        <f>P_Mehlich1!H276</f>
        <v>0</v>
      </c>
      <c r="G291" s="123">
        <f>P_resina!H296</f>
        <v>0</v>
      </c>
      <c r="H291" s="273">
        <f>K!G261</f>
        <v>0</v>
      </c>
      <c r="I291" s="284">
        <v>0</v>
      </c>
      <c r="J291" s="273">
        <f>'Ca2+'!G292</f>
        <v>0</v>
      </c>
      <c r="K291" s="273">
        <f>Mg²!G294</f>
        <v>0</v>
      </c>
      <c r="L291" s="280">
        <f>Al³!C293</f>
        <v>0</v>
      </c>
      <c r="M291" s="280">
        <f>'H + Al'!D293</f>
        <v>0</v>
      </c>
      <c r="N291" s="273">
        <f t="shared" si="17"/>
        <v>0</v>
      </c>
      <c r="O291" s="273">
        <f t="shared" si="18"/>
        <v>0</v>
      </c>
      <c r="P291" s="273">
        <f t="shared" si="19"/>
        <v>0</v>
      </c>
      <c r="Q291" s="294" t="e">
        <f t="shared" si="20"/>
        <v>#DIV/0!</v>
      </c>
      <c r="R291" s="294" t="e">
        <f t="shared" si="21"/>
        <v>#DIV/0!</v>
      </c>
      <c r="S291" s="123">
        <f>Prem!H293</f>
        <v>0</v>
      </c>
      <c r="T291" s="280">
        <f>S!H297</f>
        <v>0</v>
      </c>
      <c r="U291" s="273">
        <f>B!H292</f>
        <v>0</v>
      </c>
      <c r="V291" s="273">
        <f>Zn!G293</f>
        <v>0</v>
      </c>
      <c r="W291" s="273">
        <f>Cu!G293</f>
        <v>0</v>
      </c>
      <c r="X291" s="273">
        <f>Mn!G293</f>
        <v>0</v>
      </c>
      <c r="Y291" s="273">
        <f>Fe!G293</f>
        <v>0</v>
      </c>
      <c r="Z291" s="273">
        <f>M.O!H293</f>
        <v>0</v>
      </c>
      <c r="AA291" s="273" t="e">
        <f t="shared" si="22"/>
        <v>#DIV/0!</v>
      </c>
      <c r="AB291" s="273" t="e">
        <f t="shared" si="23"/>
        <v>#DIV/0!</v>
      </c>
      <c r="AC291" s="273" t="e">
        <f t="shared" si="24"/>
        <v>#DIV/0!</v>
      </c>
    </row>
    <row r="292" spans="1:29" x14ac:dyDescent="0.2">
      <c r="A292" s="106">
        <f>Cadastro!A296</f>
        <v>0</v>
      </c>
      <c r="B292" s="27">
        <f>Cadastro!E294</f>
        <v>0</v>
      </c>
      <c r="C292" s="123">
        <f>pH_água!C292</f>
        <v>6.42</v>
      </c>
      <c r="D292" s="123">
        <f>pH_KCl!B293</f>
        <v>0</v>
      </c>
      <c r="E292" s="123">
        <f>'pH CaCl2'!C292</f>
        <v>0</v>
      </c>
      <c r="F292" s="123">
        <f>P_Mehlich1!H277</f>
        <v>0</v>
      </c>
      <c r="G292" s="123">
        <f>P_resina!H297</f>
        <v>0</v>
      </c>
      <c r="H292" s="273">
        <f>K!G262</f>
        <v>0</v>
      </c>
      <c r="I292" s="284">
        <v>0</v>
      </c>
      <c r="J292" s="273">
        <f>'Ca2+'!G293</f>
        <v>0</v>
      </c>
      <c r="K292" s="273">
        <f>Mg²!G295</f>
        <v>0</v>
      </c>
      <c r="L292" s="280">
        <f>Al³!C294</f>
        <v>0</v>
      </c>
      <c r="M292" s="280">
        <f>'H + Al'!D294</f>
        <v>0</v>
      </c>
      <c r="N292" s="273">
        <f t="shared" si="17"/>
        <v>0</v>
      </c>
      <c r="O292" s="273">
        <f t="shared" si="18"/>
        <v>0</v>
      </c>
      <c r="P292" s="273">
        <f t="shared" si="19"/>
        <v>0</v>
      </c>
      <c r="Q292" s="294" t="e">
        <f t="shared" si="20"/>
        <v>#DIV/0!</v>
      </c>
      <c r="R292" s="294" t="e">
        <f t="shared" si="21"/>
        <v>#DIV/0!</v>
      </c>
      <c r="S292" s="123">
        <f>Prem!H294</f>
        <v>0</v>
      </c>
      <c r="T292" s="280">
        <f>S!H298</f>
        <v>0</v>
      </c>
      <c r="U292" s="273">
        <f>B!H293</f>
        <v>0</v>
      </c>
      <c r="V292" s="273">
        <f>Zn!G294</f>
        <v>0</v>
      </c>
      <c r="W292" s="273">
        <f>Cu!G294</f>
        <v>0</v>
      </c>
      <c r="X292" s="273">
        <f>Mn!G294</f>
        <v>0</v>
      </c>
      <c r="Y292" s="273">
        <f>Fe!G294</f>
        <v>0</v>
      </c>
      <c r="Z292" s="273">
        <f>M.O!H294</f>
        <v>0</v>
      </c>
      <c r="AA292" s="273" t="e">
        <f t="shared" si="22"/>
        <v>#DIV/0!</v>
      </c>
      <c r="AB292" s="273" t="e">
        <f t="shared" si="23"/>
        <v>#DIV/0!</v>
      </c>
      <c r="AC292" s="273" t="e">
        <f t="shared" si="24"/>
        <v>#DIV/0!</v>
      </c>
    </row>
    <row r="293" spans="1:29" x14ac:dyDescent="0.2">
      <c r="A293" s="106">
        <f>Cadastro!A297</f>
        <v>0</v>
      </c>
      <c r="B293" s="27">
        <f>Cadastro!E295</f>
        <v>0</v>
      </c>
      <c r="C293" s="123">
        <f>pH_água!C293</f>
        <v>6.42</v>
      </c>
      <c r="D293" s="123">
        <f>pH_KCl!B294</f>
        <v>0</v>
      </c>
      <c r="E293" s="123">
        <f>'pH CaCl2'!C293</f>
        <v>0</v>
      </c>
      <c r="F293" s="123">
        <f>P_Mehlich1!H278</f>
        <v>0</v>
      </c>
      <c r="G293" s="123">
        <f>P_resina!H298</f>
        <v>0</v>
      </c>
      <c r="H293" s="273">
        <f>K!G263</f>
        <v>0</v>
      </c>
      <c r="I293" s="284">
        <v>0</v>
      </c>
      <c r="J293" s="273">
        <f>'Ca2+'!G294</f>
        <v>0</v>
      </c>
      <c r="K293" s="273">
        <f>Mg²!G296</f>
        <v>0</v>
      </c>
      <c r="L293" s="280">
        <f>Al³!C295</f>
        <v>0</v>
      </c>
      <c r="M293" s="280">
        <f>'H + Al'!D295</f>
        <v>0</v>
      </c>
      <c r="N293" s="273">
        <f t="shared" si="17"/>
        <v>0</v>
      </c>
      <c r="O293" s="273">
        <f t="shared" si="18"/>
        <v>0</v>
      </c>
      <c r="P293" s="273">
        <f t="shared" si="19"/>
        <v>0</v>
      </c>
      <c r="Q293" s="294" t="e">
        <f t="shared" si="20"/>
        <v>#DIV/0!</v>
      </c>
      <c r="R293" s="294" t="e">
        <f t="shared" si="21"/>
        <v>#DIV/0!</v>
      </c>
      <c r="S293" s="123">
        <f>Prem!H295</f>
        <v>0</v>
      </c>
      <c r="T293" s="280">
        <f>S!H299</f>
        <v>0</v>
      </c>
      <c r="U293" s="273">
        <f>B!H294</f>
        <v>0</v>
      </c>
      <c r="V293" s="273">
        <f>Zn!G295</f>
        <v>0</v>
      </c>
      <c r="W293" s="273">
        <f>Cu!G295</f>
        <v>0</v>
      </c>
      <c r="X293" s="273">
        <f>Mn!G295</f>
        <v>0</v>
      </c>
      <c r="Y293" s="273">
        <f>Fe!G295</f>
        <v>0</v>
      </c>
      <c r="Z293" s="273">
        <f>M.O!H295</f>
        <v>0</v>
      </c>
      <c r="AA293" s="273" t="e">
        <f t="shared" si="22"/>
        <v>#DIV/0!</v>
      </c>
      <c r="AB293" s="273" t="e">
        <f t="shared" si="23"/>
        <v>#DIV/0!</v>
      </c>
      <c r="AC293" s="273" t="e">
        <f t="shared" si="24"/>
        <v>#DIV/0!</v>
      </c>
    </row>
    <row r="294" spans="1:29" x14ac:dyDescent="0.2">
      <c r="A294" s="106">
        <f>Cadastro!A298</f>
        <v>0</v>
      </c>
      <c r="B294" s="27">
        <f>Cadastro!E296</f>
        <v>0</v>
      </c>
      <c r="C294">
        <f>pH_água!C294</f>
        <v>6.42</v>
      </c>
      <c r="D294">
        <f>pH_KCl!B295</f>
        <v>0</v>
      </c>
      <c r="E294">
        <f>'pH CaCl2'!C294</f>
        <v>0</v>
      </c>
      <c r="F294" s="104">
        <f>P_Mehlich1!H279</f>
        <v>0</v>
      </c>
      <c r="G294" s="123">
        <f>P_resina!H299</f>
        <v>0</v>
      </c>
      <c r="H294" s="272">
        <f>K!G264</f>
        <v>0</v>
      </c>
      <c r="I294" s="125">
        <v>0</v>
      </c>
      <c r="J294" s="272">
        <f>'Ca2+'!G295</f>
        <v>0</v>
      </c>
      <c r="K294" s="272">
        <f>Mg²!G297</f>
        <v>0</v>
      </c>
      <c r="L294" s="279">
        <f>Al³!C296</f>
        <v>0</v>
      </c>
      <c r="M294" s="279">
        <f>'H + Al'!D296</f>
        <v>0</v>
      </c>
      <c r="N294" s="272">
        <f t="shared" si="17"/>
        <v>0</v>
      </c>
      <c r="O294" s="272">
        <f t="shared" si="18"/>
        <v>0</v>
      </c>
      <c r="P294" s="272">
        <f t="shared" si="19"/>
        <v>0</v>
      </c>
      <c r="Q294" s="293" t="e">
        <f t="shared" si="20"/>
        <v>#DIV/0!</v>
      </c>
      <c r="R294" s="293" t="e">
        <f t="shared" si="21"/>
        <v>#DIV/0!</v>
      </c>
      <c r="S294">
        <f>Prem!H296</f>
        <v>0</v>
      </c>
      <c r="T294" s="281">
        <f>S!H300</f>
        <v>0</v>
      </c>
      <c r="U294" s="274">
        <f>B!H295</f>
        <v>0</v>
      </c>
      <c r="V294" s="272">
        <f>Zn!G296</f>
        <v>0</v>
      </c>
      <c r="W294" s="272">
        <f>Cu!G296</f>
        <v>0</v>
      </c>
      <c r="X294" s="272">
        <f>Mn!G296</f>
        <v>0</v>
      </c>
      <c r="Y294" s="272">
        <f>Fe!G296</f>
        <v>0</v>
      </c>
      <c r="Z294" s="274">
        <f>M.O!H296</f>
        <v>0</v>
      </c>
      <c r="AA294" s="272" t="e">
        <f t="shared" si="22"/>
        <v>#DIV/0!</v>
      </c>
      <c r="AB294" s="272" t="e">
        <f t="shared" si="23"/>
        <v>#DIV/0!</v>
      </c>
      <c r="AC294" s="272" t="e">
        <f t="shared" si="24"/>
        <v>#DIV/0!</v>
      </c>
    </row>
    <row r="295" spans="1:29" x14ac:dyDescent="0.2">
      <c r="A295" s="106">
        <f>Cadastro!A299</f>
        <v>0</v>
      </c>
      <c r="B295" s="27">
        <f>Cadastro!E297</f>
        <v>0</v>
      </c>
      <c r="C295">
        <f>pH_água!C295</f>
        <v>6.42</v>
      </c>
      <c r="D295">
        <f>pH_KCl!B296</f>
        <v>0</v>
      </c>
      <c r="E295">
        <f>'pH CaCl2'!C295</f>
        <v>0</v>
      </c>
      <c r="F295" s="104">
        <f>P_Mehlich1!H280</f>
        <v>0</v>
      </c>
      <c r="G295" s="123">
        <f>P_resina!H300</f>
        <v>0</v>
      </c>
      <c r="H295" s="272">
        <f>K!G265</f>
        <v>0</v>
      </c>
      <c r="I295" s="125">
        <v>0</v>
      </c>
      <c r="J295" s="272">
        <f>'Ca2+'!G296</f>
        <v>0</v>
      </c>
      <c r="K295" s="272">
        <f>Mg²!G298</f>
        <v>0</v>
      </c>
      <c r="L295" s="279">
        <f>Al³!C297</f>
        <v>0</v>
      </c>
      <c r="M295" s="279">
        <f>'H + Al'!D297</f>
        <v>0</v>
      </c>
      <c r="N295" s="272">
        <f t="shared" si="17"/>
        <v>0</v>
      </c>
      <c r="O295" s="272">
        <f t="shared" si="18"/>
        <v>0</v>
      </c>
      <c r="P295" s="272">
        <f t="shared" si="19"/>
        <v>0</v>
      </c>
      <c r="Q295" s="293" t="e">
        <f t="shared" si="20"/>
        <v>#DIV/0!</v>
      </c>
      <c r="R295" s="293" t="e">
        <f t="shared" si="21"/>
        <v>#DIV/0!</v>
      </c>
      <c r="S295">
        <f>Prem!H297</f>
        <v>0</v>
      </c>
      <c r="T295" s="281">
        <f>S!H301</f>
        <v>0</v>
      </c>
      <c r="U295" s="274">
        <f>B!H296</f>
        <v>0</v>
      </c>
      <c r="V295" s="272">
        <f>Zn!G297</f>
        <v>0</v>
      </c>
      <c r="W295" s="272">
        <f>Cu!G297</f>
        <v>0</v>
      </c>
      <c r="X295" s="272">
        <f>Mn!G297</f>
        <v>0</v>
      </c>
      <c r="Y295" s="272">
        <f>Fe!G297</f>
        <v>0</v>
      </c>
      <c r="Z295" s="274">
        <f>M.O!H297</f>
        <v>0</v>
      </c>
      <c r="AA295" s="272" t="e">
        <f t="shared" si="22"/>
        <v>#DIV/0!</v>
      </c>
      <c r="AB295" s="272" t="e">
        <f t="shared" si="23"/>
        <v>#DIV/0!</v>
      </c>
      <c r="AC295" s="272" t="e">
        <f t="shared" si="24"/>
        <v>#DIV/0!</v>
      </c>
    </row>
    <row r="296" spans="1:29" x14ac:dyDescent="0.2">
      <c r="A296" s="106">
        <f>Cadastro!A300</f>
        <v>0</v>
      </c>
      <c r="B296" s="27">
        <f>Cadastro!E298</f>
        <v>0</v>
      </c>
      <c r="C296">
        <f>pH_água!C296</f>
        <v>6.42</v>
      </c>
      <c r="D296">
        <f>pH_KCl!B297</f>
        <v>0</v>
      </c>
      <c r="E296">
        <f>'pH CaCl2'!C296</f>
        <v>0</v>
      </c>
      <c r="F296" s="104">
        <f>P_Mehlich1!H281</f>
        <v>0</v>
      </c>
      <c r="G296" s="123">
        <f>P_resina!H301</f>
        <v>0</v>
      </c>
      <c r="H296" s="272">
        <f>K!G266</f>
        <v>0</v>
      </c>
      <c r="I296" s="125">
        <v>0</v>
      </c>
      <c r="J296" s="272">
        <f>'Ca2+'!G297</f>
        <v>0</v>
      </c>
      <c r="K296" s="272">
        <f>Mg²!G299</f>
        <v>0</v>
      </c>
      <c r="L296" s="279">
        <f>Al³!C298</f>
        <v>0</v>
      </c>
      <c r="M296" s="279">
        <f>'H + Al'!D298</f>
        <v>0</v>
      </c>
      <c r="N296" s="272">
        <f t="shared" si="17"/>
        <v>0</v>
      </c>
      <c r="O296" s="272">
        <f t="shared" si="18"/>
        <v>0</v>
      </c>
      <c r="P296" s="272">
        <f t="shared" si="19"/>
        <v>0</v>
      </c>
      <c r="Q296" s="293" t="e">
        <f t="shared" si="20"/>
        <v>#DIV/0!</v>
      </c>
      <c r="R296" s="293" t="e">
        <f t="shared" si="21"/>
        <v>#DIV/0!</v>
      </c>
      <c r="S296">
        <f>Prem!H298</f>
        <v>0</v>
      </c>
      <c r="T296" s="281">
        <f>S!H302</f>
        <v>0</v>
      </c>
      <c r="U296" s="274">
        <f>B!H297</f>
        <v>0</v>
      </c>
      <c r="V296" s="272">
        <f>Zn!G298</f>
        <v>0</v>
      </c>
      <c r="W296" s="272">
        <f>Cu!G298</f>
        <v>0</v>
      </c>
      <c r="X296" s="272">
        <f>Mn!G298</f>
        <v>0</v>
      </c>
      <c r="Y296" s="272">
        <f>Fe!G298</f>
        <v>0</v>
      </c>
      <c r="Z296" s="274">
        <f>M.O!H298</f>
        <v>0</v>
      </c>
      <c r="AA296" s="272" t="e">
        <f t="shared" si="22"/>
        <v>#DIV/0!</v>
      </c>
      <c r="AB296" s="272" t="e">
        <f t="shared" si="23"/>
        <v>#DIV/0!</v>
      </c>
      <c r="AC296" s="272" t="e">
        <f t="shared" si="24"/>
        <v>#DIV/0!</v>
      </c>
    </row>
    <row r="297" spans="1:29" x14ac:dyDescent="0.2">
      <c r="A297" s="106">
        <f>Cadastro!A301</f>
        <v>0</v>
      </c>
      <c r="B297" s="27">
        <f>Cadastro!E299</f>
        <v>0</v>
      </c>
      <c r="C297">
        <f>pH_água!C297</f>
        <v>6.42</v>
      </c>
      <c r="D297">
        <f>pH_KCl!B298</f>
        <v>0</v>
      </c>
      <c r="E297">
        <f>'pH CaCl2'!C297</f>
        <v>0</v>
      </c>
      <c r="F297" s="104">
        <f>P_Mehlich1!H282</f>
        <v>0</v>
      </c>
      <c r="G297" s="123">
        <f>P_resina!H302</f>
        <v>0</v>
      </c>
      <c r="H297" s="272">
        <f>K!G267</f>
        <v>0</v>
      </c>
      <c r="I297" s="125">
        <v>0</v>
      </c>
      <c r="J297" s="272">
        <f>'Ca2+'!G298</f>
        <v>0</v>
      </c>
      <c r="K297" s="272">
        <f>Mg²!G300</f>
        <v>0</v>
      </c>
      <c r="L297" s="279">
        <f>Al³!C299</f>
        <v>0</v>
      </c>
      <c r="M297" s="279">
        <f>'H + Al'!D299</f>
        <v>0</v>
      </c>
      <c r="N297" s="272">
        <f t="shared" si="17"/>
        <v>0</v>
      </c>
      <c r="O297" s="272">
        <f t="shared" si="18"/>
        <v>0</v>
      </c>
      <c r="P297" s="272">
        <f t="shared" si="19"/>
        <v>0</v>
      </c>
      <c r="Q297" s="293" t="e">
        <f t="shared" si="20"/>
        <v>#DIV/0!</v>
      </c>
      <c r="R297" s="293" t="e">
        <f t="shared" si="21"/>
        <v>#DIV/0!</v>
      </c>
      <c r="S297">
        <f>Prem!H299</f>
        <v>0</v>
      </c>
      <c r="T297" s="281">
        <f>S!H303</f>
        <v>0</v>
      </c>
      <c r="U297" s="274">
        <f>B!H298</f>
        <v>0</v>
      </c>
      <c r="V297" s="272">
        <f>Zn!G299</f>
        <v>0</v>
      </c>
      <c r="W297" s="272">
        <f>Cu!G299</f>
        <v>0</v>
      </c>
      <c r="X297" s="272">
        <f>Mn!G299</f>
        <v>0</v>
      </c>
      <c r="Y297" s="272">
        <f>Fe!G299</f>
        <v>0</v>
      </c>
      <c r="Z297" s="274">
        <f>M.O!H299</f>
        <v>0</v>
      </c>
      <c r="AA297" s="272" t="e">
        <f t="shared" si="22"/>
        <v>#DIV/0!</v>
      </c>
      <c r="AB297" s="272" t="e">
        <f t="shared" si="23"/>
        <v>#DIV/0!</v>
      </c>
      <c r="AC297" s="272" t="e">
        <f t="shared" si="24"/>
        <v>#DIV/0!</v>
      </c>
    </row>
    <row r="298" spans="1:29" x14ac:dyDescent="0.2">
      <c r="A298" s="106">
        <f>Cadastro!A302</f>
        <v>0</v>
      </c>
      <c r="B298" s="27">
        <f>Cadastro!E300</f>
        <v>0</v>
      </c>
      <c r="C298">
        <f>pH_água!C298</f>
        <v>6.42</v>
      </c>
      <c r="D298">
        <f>pH_KCl!B299</f>
        <v>0</v>
      </c>
      <c r="E298">
        <f>'pH CaCl2'!C298</f>
        <v>0</v>
      </c>
      <c r="F298" s="104">
        <f>P_Mehlich1!H283</f>
        <v>0</v>
      </c>
      <c r="G298" s="123">
        <f>P_resina!H303</f>
        <v>0</v>
      </c>
      <c r="H298" s="272">
        <f>K!G268</f>
        <v>0</v>
      </c>
      <c r="I298" s="125">
        <v>0</v>
      </c>
      <c r="J298" s="272">
        <f>'Ca2+'!G299</f>
        <v>0</v>
      </c>
      <c r="K298" s="272">
        <f>Mg²!G301</f>
        <v>0</v>
      </c>
      <c r="L298" s="279">
        <f>Al³!C300</f>
        <v>0</v>
      </c>
      <c r="M298" s="279">
        <f>'H + Al'!D300</f>
        <v>0</v>
      </c>
      <c r="N298" s="272">
        <f t="shared" si="17"/>
        <v>0</v>
      </c>
      <c r="O298" s="272">
        <f t="shared" si="18"/>
        <v>0</v>
      </c>
      <c r="P298" s="272">
        <f t="shared" si="19"/>
        <v>0</v>
      </c>
      <c r="Q298" s="293" t="e">
        <f t="shared" si="20"/>
        <v>#DIV/0!</v>
      </c>
      <c r="R298" s="293" t="e">
        <f t="shared" si="21"/>
        <v>#DIV/0!</v>
      </c>
      <c r="S298">
        <f>Prem!H300</f>
        <v>0</v>
      </c>
      <c r="T298" s="281">
        <f>S!H304</f>
        <v>0</v>
      </c>
      <c r="U298" s="274">
        <f>B!H299</f>
        <v>0</v>
      </c>
      <c r="V298" s="272">
        <f>Zn!G300</f>
        <v>0</v>
      </c>
      <c r="W298" s="272">
        <f>Cu!G300</f>
        <v>0</v>
      </c>
      <c r="X298" s="272">
        <f>Mn!G300</f>
        <v>0</v>
      </c>
      <c r="Y298" s="272">
        <f>Fe!G300</f>
        <v>0</v>
      </c>
      <c r="Z298" s="274">
        <f>M.O!H300</f>
        <v>0</v>
      </c>
      <c r="AA298" s="272" t="e">
        <f t="shared" si="22"/>
        <v>#DIV/0!</v>
      </c>
      <c r="AB298" s="272" t="e">
        <f t="shared" si="23"/>
        <v>#DIV/0!</v>
      </c>
      <c r="AC298" s="272" t="e">
        <f t="shared" si="24"/>
        <v>#DIV/0!</v>
      </c>
    </row>
    <row r="299" spans="1:29" x14ac:dyDescent="0.2">
      <c r="A299" s="106">
        <f>Cadastro!A303</f>
        <v>0</v>
      </c>
      <c r="B299" s="27">
        <f>Cadastro!E301</f>
        <v>0</v>
      </c>
      <c r="C299">
        <f>pH_água!C299</f>
        <v>6.42</v>
      </c>
      <c r="D299">
        <f>pH_KCl!B300</f>
        <v>0</v>
      </c>
      <c r="E299">
        <f>'pH CaCl2'!C299</f>
        <v>0</v>
      </c>
      <c r="F299" s="104">
        <f>P_Mehlich1!H284</f>
        <v>0</v>
      </c>
      <c r="G299" s="123">
        <f>P_resina!H304</f>
        <v>0</v>
      </c>
      <c r="H299" s="272">
        <f>K!G269</f>
        <v>0</v>
      </c>
      <c r="I299" s="125">
        <v>0</v>
      </c>
      <c r="J299" s="272">
        <f>'Ca2+'!G300</f>
        <v>0</v>
      </c>
      <c r="K299" s="272">
        <f>Mg²!G302</f>
        <v>0</v>
      </c>
      <c r="L299" s="279">
        <f>Al³!C301</f>
        <v>0</v>
      </c>
      <c r="M299" s="279">
        <f>'H + Al'!D301</f>
        <v>0</v>
      </c>
      <c r="N299" s="272">
        <f t="shared" si="17"/>
        <v>0</v>
      </c>
      <c r="O299" s="272">
        <f t="shared" si="18"/>
        <v>0</v>
      </c>
      <c r="P299" s="272">
        <f t="shared" si="19"/>
        <v>0</v>
      </c>
      <c r="Q299" s="293" t="e">
        <f t="shared" si="20"/>
        <v>#DIV/0!</v>
      </c>
      <c r="R299" s="293" t="e">
        <f t="shared" si="21"/>
        <v>#DIV/0!</v>
      </c>
      <c r="S299">
        <f>Prem!H301</f>
        <v>0</v>
      </c>
      <c r="T299" s="281">
        <f>S!H305</f>
        <v>0</v>
      </c>
      <c r="U299" s="274">
        <f>B!H300</f>
        <v>0</v>
      </c>
      <c r="V299" s="272">
        <f>Zn!G301</f>
        <v>0</v>
      </c>
      <c r="W299" s="272">
        <f>Cu!G301</f>
        <v>0</v>
      </c>
      <c r="X299" s="272">
        <f>Mn!G301</f>
        <v>0</v>
      </c>
      <c r="Y299" s="272">
        <f>Fe!G301</f>
        <v>0</v>
      </c>
      <c r="Z299" s="274">
        <f>M.O!H301</f>
        <v>0</v>
      </c>
      <c r="AA299" s="272" t="e">
        <f t="shared" si="22"/>
        <v>#DIV/0!</v>
      </c>
      <c r="AB299" s="272" t="e">
        <f t="shared" si="23"/>
        <v>#DIV/0!</v>
      </c>
      <c r="AC299" s="272" t="e">
        <f t="shared" si="24"/>
        <v>#DIV/0!</v>
      </c>
    </row>
    <row r="300" spans="1:29" x14ac:dyDescent="0.2">
      <c r="A300" s="106">
        <f>Cadastro!A304</f>
        <v>0</v>
      </c>
      <c r="B300" s="27">
        <f>Cadastro!E302</f>
        <v>0</v>
      </c>
      <c r="C300">
        <f>pH_água!C300</f>
        <v>6.42</v>
      </c>
      <c r="D300">
        <f>pH_KCl!B301</f>
        <v>0</v>
      </c>
      <c r="E300">
        <f>'pH CaCl2'!C300</f>
        <v>0</v>
      </c>
      <c r="F300" s="104">
        <f>P_Mehlich1!H285</f>
        <v>0</v>
      </c>
      <c r="G300" s="123">
        <f>P_resina!H305</f>
        <v>0</v>
      </c>
      <c r="H300" s="272">
        <f>K!G270</f>
        <v>0</v>
      </c>
      <c r="I300" s="125">
        <v>0</v>
      </c>
      <c r="J300" s="272">
        <f>'Ca2+'!G301</f>
        <v>0</v>
      </c>
      <c r="K300" s="272">
        <f>Mg²!G303</f>
        <v>0</v>
      </c>
      <c r="L300" s="279">
        <f>Al³!C302</f>
        <v>0</v>
      </c>
      <c r="M300" s="279">
        <f>'H + Al'!D302</f>
        <v>0</v>
      </c>
      <c r="N300" s="272">
        <f t="shared" si="17"/>
        <v>0</v>
      </c>
      <c r="O300" s="272">
        <f t="shared" si="18"/>
        <v>0</v>
      </c>
      <c r="P300" s="272">
        <f t="shared" si="19"/>
        <v>0</v>
      </c>
      <c r="Q300" s="293" t="e">
        <f t="shared" si="20"/>
        <v>#DIV/0!</v>
      </c>
      <c r="R300" s="293" t="e">
        <f t="shared" si="21"/>
        <v>#DIV/0!</v>
      </c>
      <c r="S300">
        <f>Prem!H302</f>
        <v>0</v>
      </c>
      <c r="T300" s="281">
        <f>S!H306</f>
        <v>0</v>
      </c>
      <c r="U300" s="274">
        <f>B!H301</f>
        <v>0</v>
      </c>
      <c r="V300" s="272">
        <f>Zn!G302</f>
        <v>0</v>
      </c>
      <c r="W300" s="272">
        <f>Cu!G302</f>
        <v>0</v>
      </c>
      <c r="X300" s="272">
        <f>Mn!G302</f>
        <v>0</v>
      </c>
      <c r="Y300" s="272">
        <f>Fe!G302</f>
        <v>0</v>
      </c>
      <c r="Z300" s="274">
        <f>M.O!H302</f>
        <v>0</v>
      </c>
      <c r="AA300" s="272" t="e">
        <f t="shared" si="22"/>
        <v>#DIV/0!</v>
      </c>
      <c r="AB300" s="272" t="e">
        <f t="shared" si="23"/>
        <v>#DIV/0!</v>
      </c>
      <c r="AC300" s="272" t="e">
        <f t="shared" si="24"/>
        <v>#DIV/0!</v>
      </c>
    </row>
    <row r="301" spans="1:29" x14ac:dyDescent="0.2">
      <c r="A301" s="106">
        <f>Cadastro!A305</f>
        <v>0</v>
      </c>
      <c r="B301" s="27">
        <f>Cadastro!E303</f>
        <v>0</v>
      </c>
      <c r="C301">
        <f>pH_água!C301</f>
        <v>6.42</v>
      </c>
      <c r="D301">
        <f>pH_KCl!B302</f>
        <v>0</v>
      </c>
      <c r="E301">
        <f>'pH CaCl2'!C301</f>
        <v>0</v>
      </c>
      <c r="F301" s="104">
        <f>P_Mehlich1!H286</f>
        <v>0</v>
      </c>
      <c r="G301" s="123">
        <f>P_resina!H306</f>
        <v>0</v>
      </c>
      <c r="H301" s="272">
        <f>K!G271</f>
        <v>0</v>
      </c>
      <c r="I301" s="125">
        <v>0</v>
      </c>
      <c r="J301" s="272">
        <f>'Ca2+'!G302</f>
        <v>0</v>
      </c>
      <c r="K301" s="272">
        <f>Mg²!G304</f>
        <v>0</v>
      </c>
      <c r="L301" s="279">
        <f>Al³!C303</f>
        <v>0</v>
      </c>
      <c r="M301" s="279">
        <f>'H + Al'!D303</f>
        <v>0</v>
      </c>
      <c r="N301" s="272">
        <f t="shared" si="17"/>
        <v>0</v>
      </c>
      <c r="O301" s="272">
        <f t="shared" si="18"/>
        <v>0</v>
      </c>
      <c r="P301" s="272">
        <f t="shared" si="19"/>
        <v>0</v>
      </c>
      <c r="Q301" s="293" t="e">
        <f t="shared" si="20"/>
        <v>#DIV/0!</v>
      </c>
      <c r="R301" s="293" t="e">
        <f t="shared" si="21"/>
        <v>#DIV/0!</v>
      </c>
      <c r="S301">
        <f>Prem!H303</f>
        <v>0</v>
      </c>
      <c r="T301" s="281">
        <f>S!H307</f>
        <v>0</v>
      </c>
      <c r="U301" s="274">
        <f>B!H302</f>
        <v>0</v>
      </c>
      <c r="V301" s="272">
        <f>Zn!G303</f>
        <v>0</v>
      </c>
      <c r="W301" s="272">
        <f>Cu!G303</f>
        <v>0</v>
      </c>
      <c r="X301" s="272">
        <f>Mn!G303</f>
        <v>0</v>
      </c>
      <c r="Y301" s="272">
        <f>Fe!G303</f>
        <v>0</v>
      </c>
      <c r="Z301" s="274">
        <f>M.O!H303</f>
        <v>0</v>
      </c>
      <c r="AA301" s="272" t="e">
        <f t="shared" si="22"/>
        <v>#DIV/0!</v>
      </c>
      <c r="AB301" s="272" t="e">
        <f t="shared" si="23"/>
        <v>#DIV/0!</v>
      </c>
      <c r="AC301" s="272" t="e">
        <f t="shared" si="24"/>
        <v>#DIV/0!</v>
      </c>
    </row>
    <row r="302" spans="1:29" x14ac:dyDescent="0.2">
      <c r="A302" s="106">
        <f>Cadastro!A306</f>
        <v>0</v>
      </c>
      <c r="B302" s="27">
        <f>Cadastro!E304</f>
        <v>0</v>
      </c>
      <c r="C302">
        <f>pH_água!C302</f>
        <v>6.42</v>
      </c>
      <c r="D302">
        <f>pH_KCl!B303</f>
        <v>0</v>
      </c>
      <c r="E302">
        <f>'pH CaCl2'!C302</f>
        <v>0</v>
      </c>
      <c r="F302" s="104">
        <f>P_Mehlich1!H287</f>
        <v>0</v>
      </c>
      <c r="G302" s="123">
        <f>P_resina!H307</f>
        <v>0</v>
      </c>
      <c r="H302" s="272">
        <f>K!G272</f>
        <v>0</v>
      </c>
      <c r="I302" s="125">
        <v>0</v>
      </c>
      <c r="J302" s="272">
        <f>'Ca2+'!G303</f>
        <v>0</v>
      </c>
      <c r="K302" s="272">
        <f>Mg²!G305</f>
        <v>0</v>
      </c>
      <c r="L302" s="279">
        <f>Al³!C304</f>
        <v>0</v>
      </c>
      <c r="M302" s="279">
        <f>'H + Al'!D304</f>
        <v>0</v>
      </c>
      <c r="N302" s="272">
        <f t="shared" si="17"/>
        <v>0</v>
      </c>
      <c r="O302" s="272">
        <f t="shared" si="18"/>
        <v>0</v>
      </c>
      <c r="P302" s="272">
        <f t="shared" si="19"/>
        <v>0</v>
      </c>
      <c r="Q302" s="293" t="e">
        <f t="shared" si="20"/>
        <v>#DIV/0!</v>
      </c>
      <c r="R302" s="293" t="e">
        <f t="shared" si="21"/>
        <v>#DIV/0!</v>
      </c>
      <c r="S302">
        <f>Prem!H304</f>
        <v>0</v>
      </c>
      <c r="T302" s="281">
        <f>S!H308</f>
        <v>0</v>
      </c>
      <c r="U302" s="274">
        <f>B!H303</f>
        <v>0</v>
      </c>
      <c r="V302" s="272">
        <f>Zn!G304</f>
        <v>0</v>
      </c>
      <c r="W302" s="272">
        <f>Cu!G304</f>
        <v>0</v>
      </c>
      <c r="X302" s="272">
        <f>Mn!G304</f>
        <v>0</v>
      </c>
      <c r="Y302" s="272">
        <f>Fe!G304</f>
        <v>0</v>
      </c>
      <c r="Z302" s="274">
        <f>M.O!H304</f>
        <v>0</v>
      </c>
      <c r="AA302" s="272" t="e">
        <f t="shared" si="22"/>
        <v>#DIV/0!</v>
      </c>
      <c r="AB302" s="272" t="e">
        <f t="shared" si="23"/>
        <v>#DIV/0!</v>
      </c>
      <c r="AC302" s="272" t="e">
        <f t="shared" si="24"/>
        <v>#DIV/0!</v>
      </c>
    </row>
    <row r="303" spans="1:29" x14ac:dyDescent="0.2">
      <c r="A303" s="106">
        <f>Cadastro!A307</f>
        <v>0</v>
      </c>
      <c r="B303" s="27">
        <f>Cadastro!E305</f>
        <v>0</v>
      </c>
      <c r="C303">
        <f>pH_água!C303</f>
        <v>6.42</v>
      </c>
      <c r="D303">
        <f>pH_KCl!B304</f>
        <v>0</v>
      </c>
      <c r="E303">
        <f>'pH CaCl2'!C303</f>
        <v>0</v>
      </c>
      <c r="F303" s="104">
        <f>P_Mehlich1!H288</f>
        <v>0</v>
      </c>
      <c r="G303" s="123">
        <f>P_resina!H308</f>
        <v>0</v>
      </c>
      <c r="H303" s="272">
        <f>K!G273</f>
        <v>0</v>
      </c>
      <c r="I303" s="125">
        <v>0</v>
      </c>
      <c r="J303" s="272">
        <f>'Ca2+'!G304</f>
        <v>0</v>
      </c>
      <c r="K303" s="272">
        <f>Mg²!G306</f>
        <v>0</v>
      </c>
      <c r="L303" s="279">
        <f>Al³!C305</f>
        <v>0</v>
      </c>
      <c r="M303" s="279">
        <f>'H + Al'!D305</f>
        <v>0</v>
      </c>
      <c r="N303" s="272">
        <f t="shared" si="17"/>
        <v>0</v>
      </c>
      <c r="O303" s="272">
        <f t="shared" si="18"/>
        <v>0</v>
      </c>
      <c r="P303" s="272">
        <f t="shared" si="19"/>
        <v>0</v>
      </c>
      <c r="Q303" s="293" t="e">
        <f t="shared" si="20"/>
        <v>#DIV/0!</v>
      </c>
      <c r="R303" s="293" t="e">
        <f t="shared" si="21"/>
        <v>#DIV/0!</v>
      </c>
      <c r="S303">
        <f>Prem!H305</f>
        <v>0</v>
      </c>
      <c r="T303" s="281">
        <f>S!H309</f>
        <v>0</v>
      </c>
      <c r="U303" s="274">
        <f>B!H304</f>
        <v>0</v>
      </c>
      <c r="V303" s="272">
        <f>Zn!G305</f>
        <v>0</v>
      </c>
      <c r="W303" s="272">
        <f>Cu!G305</f>
        <v>0</v>
      </c>
      <c r="X303" s="272">
        <f>Mn!G305</f>
        <v>0</v>
      </c>
      <c r="Y303" s="272">
        <f>Fe!G305</f>
        <v>0</v>
      </c>
      <c r="Z303" s="274">
        <f>M.O!H305</f>
        <v>0</v>
      </c>
      <c r="AA303" s="272" t="e">
        <f t="shared" si="22"/>
        <v>#DIV/0!</v>
      </c>
      <c r="AB303" s="272" t="e">
        <f t="shared" si="23"/>
        <v>#DIV/0!</v>
      </c>
      <c r="AC303" s="272" t="e">
        <f t="shared" si="24"/>
        <v>#DIV/0!</v>
      </c>
    </row>
    <row r="304" spans="1:29" x14ac:dyDescent="0.2">
      <c r="A304" s="106">
        <f>Cadastro!A308</f>
        <v>0</v>
      </c>
      <c r="B304" s="27">
        <f>Cadastro!E306</f>
        <v>0</v>
      </c>
      <c r="C304">
        <f>pH_água!C304</f>
        <v>6.42</v>
      </c>
      <c r="D304">
        <f>pH_KCl!B305</f>
        <v>0</v>
      </c>
      <c r="E304">
        <f>'pH CaCl2'!C304</f>
        <v>0</v>
      </c>
      <c r="F304" s="104">
        <f>P_Mehlich1!H289</f>
        <v>0</v>
      </c>
      <c r="G304" s="123">
        <f>P_resina!H309</f>
        <v>0</v>
      </c>
      <c r="H304" s="272">
        <f>K!G274</f>
        <v>0</v>
      </c>
      <c r="I304" s="125">
        <v>0</v>
      </c>
      <c r="J304" s="272">
        <f>'Ca2+'!G305</f>
        <v>0</v>
      </c>
      <c r="K304" s="272">
        <f>Mg²!G307</f>
        <v>0</v>
      </c>
      <c r="L304" s="279">
        <f>Al³!C306</f>
        <v>0</v>
      </c>
      <c r="M304" s="279">
        <f>'H + Al'!D306</f>
        <v>0</v>
      </c>
      <c r="N304" s="272">
        <f t="shared" si="17"/>
        <v>0</v>
      </c>
      <c r="O304" s="272">
        <f t="shared" si="18"/>
        <v>0</v>
      </c>
      <c r="P304" s="272">
        <f t="shared" si="19"/>
        <v>0</v>
      </c>
      <c r="Q304" s="293" t="e">
        <f t="shared" si="20"/>
        <v>#DIV/0!</v>
      </c>
      <c r="R304" s="293" t="e">
        <f t="shared" si="21"/>
        <v>#DIV/0!</v>
      </c>
      <c r="S304">
        <f>Prem!H306</f>
        <v>0</v>
      </c>
      <c r="T304" s="281">
        <f>S!H310</f>
        <v>0</v>
      </c>
      <c r="U304" s="274">
        <f>B!H305</f>
        <v>0</v>
      </c>
      <c r="V304" s="272">
        <f>Zn!G306</f>
        <v>0</v>
      </c>
      <c r="W304" s="272">
        <f>Cu!G306</f>
        <v>0</v>
      </c>
      <c r="X304" s="272">
        <f>Mn!G306</f>
        <v>0</v>
      </c>
      <c r="Y304" s="272">
        <f>Fe!G306</f>
        <v>0</v>
      </c>
      <c r="Z304" s="274">
        <f>M.O!H306</f>
        <v>0</v>
      </c>
      <c r="AA304" s="272" t="e">
        <f t="shared" si="22"/>
        <v>#DIV/0!</v>
      </c>
      <c r="AB304" s="272" t="e">
        <f t="shared" si="23"/>
        <v>#DIV/0!</v>
      </c>
      <c r="AC304" s="272" t="e">
        <f t="shared" si="24"/>
        <v>#DIV/0!</v>
      </c>
    </row>
    <row r="305" spans="1:29" x14ac:dyDescent="0.2">
      <c r="A305" s="106">
        <f>Cadastro!A309</f>
        <v>0</v>
      </c>
      <c r="B305" s="27">
        <f>Cadastro!E307</f>
        <v>0</v>
      </c>
      <c r="C305">
        <f>pH_água!C305</f>
        <v>6.42</v>
      </c>
      <c r="D305">
        <f>pH_KCl!B306</f>
        <v>0</v>
      </c>
      <c r="E305">
        <f>'pH CaCl2'!C305</f>
        <v>0</v>
      </c>
      <c r="F305" s="104">
        <f>P_Mehlich1!H290</f>
        <v>0</v>
      </c>
      <c r="G305" s="123">
        <f>P_resina!H310</f>
        <v>0</v>
      </c>
      <c r="H305" s="272">
        <f>K!G275</f>
        <v>0</v>
      </c>
      <c r="I305" s="125">
        <v>0</v>
      </c>
      <c r="J305" s="272">
        <f>'Ca2+'!G306</f>
        <v>0</v>
      </c>
      <c r="K305" s="272">
        <f>Mg²!G308</f>
        <v>0</v>
      </c>
      <c r="L305" s="279">
        <f>Al³!C307</f>
        <v>0</v>
      </c>
      <c r="M305" s="279">
        <f>'H + Al'!D307</f>
        <v>0</v>
      </c>
      <c r="N305" s="272">
        <f t="shared" si="17"/>
        <v>0</v>
      </c>
      <c r="O305" s="272">
        <f t="shared" si="18"/>
        <v>0</v>
      </c>
      <c r="P305" s="272">
        <f t="shared" si="19"/>
        <v>0</v>
      </c>
      <c r="Q305" s="293" t="e">
        <f t="shared" si="20"/>
        <v>#DIV/0!</v>
      </c>
      <c r="R305" s="293" t="e">
        <f t="shared" si="21"/>
        <v>#DIV/0!</v>
      </c>
      <c r="S305">
        <f>Prem!H307</f>
        <v>0</v>
      </c>
      <c r="T305" s="281">
        <f>S!H311</f>
        <v>0</v>
      </c>
      <c r="U305" s="274">
        <f>B!H306</f>
        <v>0</v>
      </c>
      <c r="V305" s="272">
        <f>Zn!G307</f>
        <v>0</v>
      </c>
      <c r="W305" s="272">
        <f>Cu!G307</f>
        <v>0</v>
      </c>
      <c r="X305" s="272">
        <f>Mn!G307</f>
        <v>0</v>
      </c>
      <c r="Y305" s="272">
        <f>Fe!G307</f>
        <v>0</v>
      </c>
      <c r="Z305" s="274">
        <f>M.O!H307</f>
        <v>0</v>
      </c>
      <c r="AA305" s="272" t="e">
        <f t="shared" si="22"/>
        <v>#DIV/0!</v>
      </c>
      <c r="AB305" s="272" t="e">
        <f t="shared" si="23"/>
        <v>#DIV/0!</v>
      </c>
      <c r="AC305" s="272" t="e">
        <f t="shared" si="24"/>
        <v>#DIV/0!</v>
      </c>
    </row>
    <row r="306" spans="1:29" x14ac:dyDescent="0.2">
      <c r="A306" s="106">
        <f>Cadastro!A310</f>
        <v>0</v>
      </c>
      <c r="B306" s="27">
        <f>Cadastro!E308</f>
        <v>0</v>
      </c>
      <c r="C306">
        <f>pH_água!C306</f>
        <v>6.42</v>
      </c>
      <c r="D306">
        <f>pH_KCl!B307</f>
        <v>0</v>
      </c>
      <c r="E306">
        <f>'pH CaCl2'!C306</f>
        <v>0</v>
      </c>
      <c r="F306" s="104">
        <f>P_Mehlich1!H291</f>
        <v>0</v>
      </c>
      <c r="G306" s="123">
        <f>P_resina!H311</f>
        <v>0</v>
      </c>
      <c r="H306" s="272">
        <f>K!G276</f>
        <v>0</v>
      </c>
      <c r="I306" s="125">
        <v>0</v>
      </c>
      <c r="J306" s="272">
        <f>'Ca2+'!G307</f>
        <v>0</v>
      </c>
      <c r="K306" s="272">
        <f>Mg²!G309</f>
        <v>0</v>
      </c>
      <c r="L306" s="279">
        <f>Al³!C308</f>
        <v>0</v>
      </c>
      <c r="M306" s="279">
        <f>'H + Al'!D308</f>
        <v>0</v>
      </c>
      <c r="N306" s="272">
        <f t="shared" si="17"/>
        <v>0</v>
      </c>
      <c r="O306" s="272">
        <f t="shared" si="18"/>
        <v>0</v>
      </c>
      <c r="P306" s="272">
        <f t="shared" si="19"/>
        <v>0</v>
      </c>
      <c r="Q306" s="293" t="e">
        <f t="shared" si="20"/>
        <v>#DIV/0!</v>
      </c>
      <c r="R306" s="293" t="e">
        <f t="shared" si="21"/>
        <v>#DIV/0!</v>
      </c>
      <c r="S306">
        <f>Prem!H308</f>
        <v>0</v>
      </c>
      <c r="T306" s="281">
        <f>S!H312</f>
        <v>0</v>
      </c>
      <c r="U306" s="274">
        <f>B!H307</f>
        <v>0</v>
      </c>
      <c r="V306" s="272">
        <f>Zn!G308</f>
        <v>0</v>
      </c>
      <c r="W306" s="272">
        <f>Cu!G308</f>
        <v>0</v>
      </c>
      <c r="X306" s="272">
        <f>Mn!G308</f>
        <v>0</v>
      </c>
      <c r="Y306" s="272">
        <f>Fe!G308</f>
        <v>0</v>
      </c>
      <c r="Z306" s="274">
        <f>M.O!H308</f>
        <v>0</v>
      </c>
      <c r="AA306" s="272" t="e">
        <f t="shared" si="22"/>
        <v>#DIV/0!</v>
      </c>
      <c r="AB306" s="272" t="e">
        <f t="shared" si="23"/>
        <v>#DIV/0!</v>
      </c>
      <c r="AC306" s="272" t="e">
        <f t="shared" si="24"/>
        <v>#DIV/0!</v>
      </c>
    </row>
    <row r="307" spans="1:29" x14ac:dyDescent="0.2">
      <c r="A307" s="106">
        <f>Cadastro!A311</f>
        <v>0</v>
      </c>
      <c r="B307" s="27">
        <f>Cadastro!E309</f>
        <v>0</v>
      </c>
      <c r="C307">
        <f>pH_água!C307</f>
        <v>6.42</v>
      </c>
      <c r="D307">
        <f>pH_KCl!B308</f>
        <v>0</v>
      </c>
      <c r="E307">
        <f>'pH CaCl2'!C307</f>
        <v>0</v>
      </c>
      <c r="F307" s="104">
        <f>P_Mehlich1!H292</f>
        <v>0</v>
      </c>
      <c r="G307" s="123">
        <f>P_resina!H312</f>
        <v>0</v>
      </c>
      <c r="H307" s="272">
        <f>K!G277</f>
        <v>0</v>
      </c>
      <c r="I307" s="125">
        <v>0</v>
      </c>
      <c r="J307" s="272">
        <f>'Ca2+'!G308</f>
        <v>0</v>
      </c>
      <c r="K307" s="272">
        <f>Mg²!G310</f>
        <v>0</v>
      </c>
      <c r="L307" s="279">
        <f>Al³!C309</f>
        <v>0</v>
      </c>
      <c r="M307" s="279">
        <f>'H + Al'!D309</f>
        <v>0</v>
      </c>
      <c r="N307" s="272">
        <f t="shared" si="17"/>
        <v>0</v>
      </c>
      <c r="O307" s="272">
        <f t="shared" si="18"/>
        <v>0</v>
      </c>
      <c r="P307" s="272">
        <f t="shared" si="19"/>
        <v>0</v>
      </c>
      <c r="Q307" s="293" t="e">
        <f t="shared" si="20"/>
        <v>#DIV/0!</v>
      </c>
      <c r="R307" s="293" t="e">
        <f t="shared" si="21"/>
        <v>#DIV/0!</v>
      </c>
      <c r="S307">
        <f>Prem!H309</f>
        <v>0</v>
      </c>
      <c r="T307" s="281">
        <f>S!H313</f>
        <v>0</v>
      </c>
      <c r="U307" s="274">
        <f>B!H308</f>
        <v>0</v>
      </c>
      <c r="V307" s="272">
        <f>Zn!G309</f>
        <v>0</v>
      </c>
      <c r="W307" s="272">
        <f>Cu!G309</f>
        <v>0</v>
      </c>
      <c r="X307" s="272">
        <f>Mn!G309</f>
        <v>0</v>
      </c>
      <c r="Y307" s="272">
        <f>Fe!G309</f>
        <v>0</v>
      </c>
      <c r="Z307" s="274">
        <f>M.O!H309</f>
        <v>0</v>
      </c>
      <c r="AA307" s="272" t="e">
        <f t="shared" si="22"/>
        <v>#DIV/0!</v>
      </c>
      <c r="AB307" s="272" t="e">
        <f t="shared" si="23"/>
        <v>#DIV/0!</v>
      </c>
      <c r="AC307" s="272" t="e">
        <f t="shared" si="24"/>
        <v>#DIV/0!</v>
      </c>
    </row>
    <row r="308" spans="1:29" x14ac:dyDescent="0.2">
      <c r="A308" s="106">
        <f>Cadastro!A312</f>
        <v>0</v>
      </c>
      <c r="B308" s="27">
        <f>Cadastro!E310</f>
        <v>0</v>
      </c>
      <c r="C308">
        <f>pH_água!C308</f>
        <v>6.42</v>
      </c>
      <c r="D308">
        <f>pH_KCl!B309</f>
        <v>0</v>
      </c>
      <c r="E308">
        <f>'pH CaCl2'!C308</f>
        <v>0</v>
      </c>
      <c r="F308" s="104">
        <f>P_Mehlich1!H293</f>
        <v>0</v>
      </c>
      <c r="G308" s="123">
        <f>P_resina!H313</f>
        <v>0</v>
      </c>
      <c r="H308" s="272">
        <f>K!G278</f>
        <v>0</v>
      </c>
      <c r="I308" s="125">
        <v>0</v>
      </c>
      <c r="J308" s="272">
        <f>'Ca2+'!G309</f>
        <v>0</v>
      </c>
      <c r="K308" s="272">
        <f>Mg²!G311</f>
        <v>0</v>
      </c>
      <c r="L308" s="279">
        <f>Al³!C310</f>
        <v>0</v>
      </c>
      <c r="M308" s="279">
        <f>'H + Al'!D310</f>
        <v>0</v>
      </c>
      <c r="N308" s="272">
        <f t="shared" ref="N308:N371" si="25">(H308/390)+(I308/230)+J308+K308</f>
        <v>0</v>
      </c>
      <c r="O308" s="272">
        <f t="shared" ref="O308:O371" si="26">N308+L308</f>
        <v>0</v>
      </c>
      <c r="P308" s="272">
        <f t="shared" ref="P308:P371" si="27">N308+M308</f>
        <v>0</v>
      </c>
      <c r="Q308" s="293" t="e">
        <f t="shared" ref="Q308:Q371" si="28">(N308/P308)*100</f>
        <v>#DIV/0!</v>
      </c>
      <c r="R308" s="293" t="e">
        <f t="shared" ref="R308:R371" si="29">(L308/O308)*100</f>
        <v>#DIV/0!</v>
      </c>
      <c r="S308">
        <f>Prem!H310</f>
        <v>0</v>
      </c>
      <c r="T308" s="281">
        <f>S!H314</f>
        <v>0</v>
      </c>
      <c r="U308" s="274">
        <f>B!H309</f>
        <v>0</v>
      </c>
      <c r="V308" s="272">
        <f>Zn!G310</f>
        <v>0</v>
      </c>
      <c r="W308" s="272">
        <f>Cu!G310</f>
        <v>0</v>
      </c>
      <c r="X308" s="272">
        <f>Mn!G310</f>
        <v>0</v>
      </c>
      <c r="Y308" s="272">
        <f>Fe!G310</f>
        <v>0</v>
      </c>
      <c r="Z308" s="274">
        <f>M.O!H310</f>
        <v>0</v>
      </c>
      <c r="AA308" s="272" t="e">
        <f t="shared" ref="AA308:AA371" si="30">J308/K308</f>
        <v>#DIV/0!</v>
      </c>
      <c r="AB308" s="272" t="e">
        <f t="shared" ref="AB308:AB371" si="31">J308/(H308/390)</f>
        <v>#DIV/0!</v>
      </c>
      <c r="AC308" s="272" t="e">
        <f t="shared" ref="AC308:AC371" si="32">K308/(H308/390)</f>
        <v>#DIV/0!</v>
      </c>
    </row>
    <row r="309" spans="1:29" x14ac:dyDescent="0.2">
      <c r="A309" s="106">
        <f>Cadastro!A313</f>
        <v>0</v>
      </c>
      <c r="B309" s="27">
        <f>Cadastro!E311</f>
        <v>0</v>
      </c>
      <c r="C309">
        <f>pH_água!C309</f>
        <v>6.42</v>
      </c>
      <c r="D309">
        <f>pH_KCl!B310</f>
        <v>0</v>
      </c>
      <c r="E309">
        <f>'pH CaCl2'!C309</f>
        <v>0</v>
      </c>
      <c r="F309" s="104">
        <f>P_Mehlich1!H294</f>
        <v>0</v>
      </c>
      <c r="G309" s="123">
        <f>P_resina!H314</f>
        <v>0</v>
      </c>
      <c r="H309" s="272">
        <f>K!G279</f>
        <v>0</v>
      </c>
      <c r="I309" s="125">
        <v>0</v>
      </c>
      <c r="J309" s="272">
        <f>'Ca2+'!G310</f>
        <v>0</v>
      </c>
      <c r="K309" s="272">
        <f>Mg²!G312</f>
        <v>0</v>
      </c>
      <c r="L309" s="279">
        <f>Al³!C311</f>
        <v>0</v>
      </c>
      <c r="M309" s="279">
        <f>'H + Al'!D311</f>
        <v>0</v>
      </c>
      <c r="N309" s="272">
        <f t="shared" si="25"/>
        <v>0</v>
      </c>
      <c r="O309" s="272">
        <f t="shared" si="26"/>
        <v>0</v>
      </c>
      <c r="P309" s="272">
        <f t="shared" si="27"/>
        <v>0</v>
      </c>
      <c r="Q309" s="293" t="e">
        <f t="shared" si="28"/>
        <v>#DIV/0!</v>
      </c>
      <c r="R309" s="293" t="e">
        <f t="shared" si="29"/>
        <v>#DIV/0!</v>
      </c>
      <c r="S309">
        <f>Prem!H311</f>
        <v>0</v>
      </c>
      <c r="T309" s="281">
        <f>S!H315</f>
        <v>0</v>
      </c>
      <c r="U309" s="274">
        <f>B!H310</f>
        <v>0</v>
      </c>
      <c r="V309" s="272">
        <f>Zn!G311</f>
        <v>0</v>
      </c>
      <c r="W309" s="272">
        <f>Cu!G311</f>
        <v>0</v>
      </c>
      <c r="X309" s="272">
        <f>Mn!G311</f>
        <v>0</v>
      </c>
      <c r="Y309" s="272">
        <f>Fe!G311</f>
        <v>0</v>
      </c>
      <c r="Z309" s="274">
        <f>M.O!H311</f>
        <v>0</v>
      </c>
      <c r="AA309" s="272" t="e">
        <f t="shared" si="30"/>
        <v>#DIV/0!</v>
      </c>
      <c r="AB309" s="272" t="e">
        <f t="shared" si="31"/>
        <v>#DIV/0!</v>
      </c>
      <c r="AC309" s="272" t="e">
        <f t="shared" si="32"/>
        <v>#DIV/0!</v>
      </c>
    </row>
    <row r="310" spans="1:29" x14ac:dyDescent="0.2">
      <c r="A310" s="106">
        <f>Cadastro!A314</f>
        <v>0</v>
      </c>
      <c r="B310" s="27">
        <f>Cadastro!E312</f>
        <v>0</v>
      </c>
      <c r="C310">
        <f>pH_água!C310</f>
        <v>6.42</v>
      </c>
      <c r="D310">
        <f>pH_KCl!B311</f>
        <v>0</v>
      </c>
      <c r="E310">
        <f>'pH CaCl2'!C310</f>
        <v>0</v>
      </c>
      <c r="F310" s="104">
        <f>P_Mehlich1!H295</f>
        <v>0</v>
      </c>
      <c r="G310" s="123">
        <f>P_resina!H315</f>
        <v>0</v>
      </c>
      <c r="H310" s="272">
        <f>K!G280</f>
        <v>0</v>
      </c>
      <c r="I310" s="125">
        <v>0</v>
      </c>
      <c r="J310" s="272">
        <f>'Ca2+'!G311</f>
        <v>0</v>
      </c>
      <c r="K310" s="272">
        <f>Mg²!G313</f>
        <v>0</v>
      </c>
      <c r="L310" s="279">
        <f>Al³!C312</f>
        <v>0</v>
      </c>
      <c r="M310" s="279">
        <f>'H + Al'!D312</f>
        <v>0</v>
      </c>
      <c r="N310" s="272">
        <f t="shared" si="25"/>
        <v>0</v>
      </c>
      <c r="O310" s="272">
        <f t="shared" si="26"/>
        <v>0</v>
      </c>
      <c r="P310" s="272">
        <f t="shared" si="27"/>
        <v>0</v>
      </c>
      <c r="Q310" s="293" t="e">
        <f t="shared" si="28"/>
        <v>#DIV/0!</v>
      </c>
      <c r="R310" s="293" t="e">
        <f t="shared" si="29"/>
        <v>#DIV/0!</v>
      </c>
      <c r="S310">
        <f>Prem!H312</f>
        <v>0</v>
      </c>
      <c r="T310" s="281">
        <f>S!H316</f>
        <v>0</v>
      </c>
      <c r="U310" s="274">
        <f>B!H311</f>
        <v>0</v>
      </c>
      <c r="V310" s="272">
        <f>Zn!G312</f>
        <v>0</v>
      </c>
      <c r="W310" s="272">
        <f>Cu!G312</f>
        <v>0</v>
      </c>
      <c r="X310" s="272">
        <f>Mn!G312</f>
        <v>0</v>
      </c>
      <c r="Y310" s="272">
        <f>Fe!G312</f>
        <v>0</v>
      </c>
      <c r="Z310" s="274">
        <f>M.O!H312</f>
        <v>0</v>
      </c>
      <c r="AA310" s="272" t="e">
        <f t="shared" si="30"/>
        <v>#DIV/0!</v>
      </c>
      <c r="AB310" s="272" t="e">
        <f t="shared" si="31"/>
        <v>#DIV/0!</v>
      </c>
      <c r="AC310" s="272" t="e">
        <f t="shared" si="32"/>
        <v>#DIV/0!</v>
      </c>
    </row>
    <row r="311" spans="1:29" x14ac:dyDescent="0.2">
      <c r="A311" s="106">
        <f>Cadastro!A315</f>
        <v>0</v>
      </c>
      <c r="B311" s="27">
        <f>Cadastro!E313</f>
        <v>0</v>
      </c>
      <c r="C311">
        <f>pH_água!C311</f>
        <v>6.42</v>
      </c>
      <c r="D311">
        <f>pH_KCl!B312</f>
        <v>0</v>
      </c>
      <c r="E311">
        <f>'pH CaCl2'!C311</f>
        <v>0</v>
      </c>
      <c r="F311" s="104">
        <f>P_Mehlich1!H296</f>
        <v>0</v>
      </c>
      <c r="G311" s="123">
        <f>P_resina!H316</f>
        <v>0</v>
      </c>
      <c r="H311" s="272">
        <f>K!G281</f>
        <v>0</v>
      </c>
      <c r="I311" s="125">
        <v>0</v>
      </c>
      <c r="J311" s="272">
        <f>'Ca2+'!G312</f>
        <v>0</v>
      </c>
      <c r="K311" s="272">
        <f>Mg²!G314</f>
        <v>0</v>
      </c>
      <c r="L311" s="279">
        <f>Al³!C313</f>
        <v>0</v>
      </c>
      <c r="M311" s="279">
        <f>'H + Al'!D313</f>
        <v>0</v>
      </c>
      <c r="N311" s="272">
        <f t="shared" si="25"/>
        <v>0</v>
      </c>
      <c r="O311" s="272">
        <f t="shared" si="26"/>
        <v>0</v>
      </c>
      <c r="P311" s="272">
        <f t="shared" si="27"/>
        <v>0</v>
      </c>
      <c r="Q311" s="293" t="e">
        <f t="shared" si="28"/>
        <v>#DIV/0!</v>
      </c>
      <c r="R311" s="293" t="e">
        <f t="shared" si="29"/>
        <v>#DIV/0!</v>
      </c>
      <c r="S311">
        <f>Prem!H313</f>
        <v>0</v>
      </c>
      <c r="T311" s="281">
        <f>S!H317</f>
        <v>0</v>
      </c>
      <c r="U311" s="274">
        <f>B!H312</f>
        <v>0</v>
      </c>
      <c r="V311" s="272">
        <f>Zn!G313</f>
        <v>0</v>
      </c>
      <c r="W311" s="272">
        <f>Cu!G313</f>
        <v>0</v>
      </c>
      <c r="X311" s="272">
        <f>Mn!G313</f>
        <v>0</v>
      </c>
      <c r="Y311" s="272">
        <f>Fe!G313</f>
        <v>0</v>
      </c>
      <c r="Z311" s="274">
        <f>M.O!H313</f>
        <v>0</v>
      </c>
      <c r="AA311" s="272" t="e">
        <f t="shared" si="30"/>
        <v>#DIV/0!</v>
      </c>
      <c r="AB311" s="272" t="e">
        <f t="shared" si="31"/>
        <v>#DIV/0!</v>
      </c>
      <c r="AC311" s="272" t="e">
        <f t="shared" si="32"/>
        <v>#DIV/0!</v>
      </c>
    </row>
    <row r="312" spans="1:29" x14ac:dyDescent="0.2">
      <c r="A312" s="106">
        <f>Cadastro!A316</f>
        <v>0</v>
      </c>
      <c r="B312" s="27">
        <f>Cadastro!E314</f>
        <v>0</v>
      </c>
      <c r="C312">
        <f>pH_água!C312</f>
        <v>6.42</v>
      </c>
      <c r="D312">
        <f>pH_KCl!B313</f>
        <v>0</v>
      </c>
      <c r="E312">
        <f>'pH CaCl2'!C312</f>
        <v>0</v>
      </c>
      <c r="F312" s="104">
        <f>P_Mehlich1!H297</f>
        <v>0</v>
      </c>
      <c r="G312" s="123">
        <f>P_resina!H317</f>
        <v>0</v>
      </c>
      <c r="H312" s="272">
        <f>K!G282</f>
        <v>0</v>
      </c>
      <c r="I312" s="125">
        <v>0</v>
      </c>
      <c r="J312" s="272">
        <f>'Ca2+'!G313</f>
        <v>0</v>
      </c>
      <c r="K312" s="272">
        <f>Mg²!G315</f>
        <v>0</v>
      </c>
      <c r="L312" s="279">
        <f>Al³!C314</f>
        <v>0</v>
      </c>
      <c r="M312" s="279">
        <f>'H + Al'!D314</f>
        <v>0</v>
      </c>
      <c r="N312" s="272">
        <f t="shared" si="25"/>
        <v>0</v>
      </c>
      <c r="O312" s="272">
        <f t="shared" si="26"/>
        <v>0</v>
      </c>
      <c r="P312" s="272">
        <f t="shared" si="27"/>
        <v>0</v>
      </c>
      <c r="Q312" s="293" t="e">
        <f t="shared" si="28"/>
        <v>#DIV/0!</v>
      </c>
      <c r="R312" s="293" t="e">
        <f t="shared" si="29"/>
        <v>#DIV/0!</v>
      </c>
      <c r="S312">
        <f>Prem!H314</f>
        <v>0</v>
      </c>
      <c r="T312" s="281">
        <f>S!H318</f>
        <v>0</v>
      </c>
      <c r="U312" s="274">
        <f>B!H313</f>
        <v>0</v>
      </c>
      <c r="V312" s="272">
        <f>Zn!G314</f>
        <v>0</v>
      </c>
      <c r="W312" s="272">
        <f>Cu!G314</f>
        <v>0</v>
      </c>
      <c r="X312" s="272">
        <f>Mn!G314</f>
        <v>0</v>
      </c>
      <c r="Y312" s="272">
        <f>Fe!G314</f>
        <v>0</v>
      </c>
      <c r="Z312" s="274">
        <f>M.O!H314</f>
        <v>0</v>
      </c>
      <c r="AA312" s="272" t="e">
        <f t="shared" si="30"/>
        <v>#DIV/0!</v>
      </c>
      <c r="AB312" s="272" t="e">
        <f t="shared" si="31"/>
        <v>#DIV/0!</v>
      </c>
      <c r="AC312" s="272" t="e">
        <f t="shared" si="32"/>
        <v>#DIV/0!</v>
      </c>
    </row>
    <row r="313" spans="1:29" x14ac:dyDescent="0.2">
      <c r="A313" s="106">
        <f>Cadastro!A317</f>
        <v>0</v>
      </c>
      <c r="B313" s="27">
        <f>Cadastro!E315</f>
        <v>0</v>
      </c>
      <c r="C313">
        <f>pH_água!C313</f>
        <v>6.42</v>
      </c>
      <c r="D313">
        <f>pH_KCl!B314</f>
        <v>0</v>
      </c>
      <c r="E313">
        <f>'pH CaCl2'!C313</f>
        <v>0</v>
      </c>
      <c r="F313" s="104">
        <f>P_Mehlich1!H298</f>
        <v>0</v>
      </c>
      <c r="G313" s="123">
        <f>P_resina!H318</f>
        <v>0</v>
      </c>
      <c r="H313" s="272">
        <f>K!G283</f>
        <v>0</v>
      </c>
      <c r="I313" s="125">
        <v>0</v>
      </c>
      <c r="J313" s="272">
        <f>'Ca2+'!G314</f>
        <v>0</v>
      </c>
      <c r="K313" s="272">
        <f>Mg²!G316</f>
        <v>0</v>
      </c>
      <c r="L313" s="279">
        <f>Al³!C315</f>
        <v>0</v>
      </c>
      <c r="M313" s="279">
        <f>'H + Al'!D315</f>
        <v>0</v>
      </c>
      <c r="N313" s="272">
        <f t="shared" si="25"/>
        <v>0</v>
      </c>
      <c r="O313" s="272">
        <f t="shared" si="26"/>
        <v>0</v>
      </c>
      <c r="P313" s="272">
        <f t="shared" si="27"/>
        <v>0</v>
      </c>
      <c r="Q313" s="293" t="e">
        <f t="shared" si="28"/>
        <v>#DIV/0!</v>
      </c>
      <c r="R313" s="293" t="e">
        <f t="shared" si="29"/>
        <v>#DIV/0!</v>
      </c>
      <c r="S313">
        <f>Prem!H315</f>
        <v>0</v>
      </c>
      <c r="T313" s="281">
        <f>S!H319</f>
        <v>0</v>
      </c>
      <c r="U313" s="274">
        <f>B!H314</f>
        <v>0</v>
      </c>
      <c r="V313" s="272">
        <f>Zn!G315</f>
        <v>0</v>
      </c>
      <c r="W313" s="272">
        <f>Cu!G315</f>
        <v>0</v>
      </c>
      <c r="X313" s="272">
        <f>Mn!G315</f>
        <v>0</v>
      </c>
      <c r="Y313" s="272">
        <f>Fe!G315</f>
        <v>0</v>
      </c>
      <c r="Z313" s="274">
        <f>M.O!H315</f>
        <v>0</v>
      </c>
      <c r="AA313" s="272" t="e">
        <f t="shared" si="30"/>
        <v>#DIV/0!</v>
      </c>
      <c r="AB313" s="272" t="e">
        <f t="shared" si="31"/>
        <v>#DIV/0!</v>
      </c>
      <c r="AC313" s="272" t="e">
        <f t="shared" si="32"/>
        <v>#DIV/0!</v>
      </c>
    </row>
    <row r="314" spans="1:29" x14ac:dyDescent="0.2">
      <c r="A314" s="106">
        <f>Cadastro!A318</f>
        <v>0</v>
      </c>
      <c r="B314" s="27">
        <f>Cadastro!E316</f>
        <v>0</v>
      </c>
      <c r="C314">
        <f>pH_água!C314</f>
        <v>6.42</v>
      </c>
      <c r="D314">
        <f>pH_KCl!B315</f>
        <v>0</v>
      </c>
      <c r="E314">
        <f>'pH CaCl2'!C314</f>
        <v>0</v>
      </c>
      <c r="F314" s="104">
        <f>P_Mehlich1!H299</f>
        <v>0</v>
      </c>
      <c r="G314" s="123">
        <f>P_resina!H319</f>
        <v>0</v>
      </c>
      <c r="H314" s="272">
        <f>K!G284</f>
        <v>0</v>
      </c>
      <c r="I314" s="125">
        <v>0</v>
      </c>
      <c r="J314" s="272">
        <f>'Ca2+'!G315</f>
        <v>0</v>
      </c>
      <c r="K314" s="272">
        <f>Mg²!G317</f>
        <v>0</v>
      </c>
      <c r="L314" s="279">
        <f>Al³!C316</f>
        <v>0</v>
      </c>
      <c r="M314" s="279">
        <f>'H + Al'!D316</f>
        <v>0</v>
      </c>
      <c r="N314" s="272">
        <f t="shared" si="25"/>
        <v>0</v>
      </c>
      <c r="O314" s="272">
        <f t="shared" si="26"/>
        <v>0</v>
      </c>
      <c r="P314" s="272">
        <f t="shared" si="27"/>
        <v>0</v>
      </c>
      <c r="Q314" s="293" t="e">
        <f t="shared" si="28"/>
        <v>#DIV/0!</v>
      </c>
      <c r="R314" s="293" t="e">
        <f t="shared" si="29"/>
        <v>#DIV/0!</v>
      </c>
      <c r="S314">
        <f>Prem!H316</f>
        <v>0</v>
      </c>
      <c r="T314" s="281">
        <f>S!H320</f>
        <v>0</v>
      </c>
      <c r="U314" s="274">
        <f>B!H315</f>
        <v>0</v>
      </c>
      <c r="V314" s="272">
        <f>Zn!G316</f>
        <v>0</v>
      </c>
      <c r="W314" s="272">
        <f>Cu!G316</f>
        <v>0</v>
      </c>
      <c r="X314" s="272">
        <f>Mn!G316</f>
        <v>0</v>
      </c>
      <c r="Y314" s="272">
        <f>Fe!G316</f>
        <v>0</v>
      </c>
      <c r="Z314" s="274">
        <f>M.O!H316</f>
        <v>0</v>
      </c>
      <c r="AA314" s="272" t="e">
        <f t="shared" si="30"/>
        <v>#DIV/0!</v>
      </c>
      <c r="AB314" s="272" t="e">
        <f t="shared" si="31"/>
        <v>#DIV/0!</v>
      </c>
      <c r="AC314" s="272" t="e">
        <f t="shared" si="32"/>
        <v>#DIV/0!</v>
      </c>
    </row>
    <row r="315" spans="1:29" x14ac:dyDescent="0.2">
      <c r="A315" s="106">
        <f>Cadastro!A319</f>
        <v>0</v>
      </c>
      <c r="B315" s="27">
        <f>Cadastro!E317</f>
        <v>0</v>
      </c>
      <c r="C315">
        <f>pH_água!C315</f>
        <v>6.42</v>
      </c>
      <c r="D315">
        <f>pH_KCl!B316</f>
        <v>0</v>
      </c>
      <c r="E315">
        <f>'pH CaCl2'!C315</f>
        <v>0</v>
      </c>
      <c r="F315" s="104">
        <f>P_Mehlich1!H300</f>
        <v>0</v>
      </c>
      <c r="G315" s="123">
        <f>P_resina!H320</f>
        <v>0</v>
      </c>
      <c r="H315" s="272">
        <f>K!G285</f>
        <v>0</v>
      </c>
      <c r="I315" s="125">
        <v>0</v>
      </c>
      <c r="J315" s="272">
        <f>'Ca2+'!G316</f>
        <v>0</v>
      </c>
      <c r="K315" s="272">
        <f>Mg²!G318</f>
        <v>0</v>
      </c>
      <c r="L315" s="279">
        <f>Al³!C317</f>
        <v>0</v>
      </c>
      <c r="M315" s="279">
        <f>'H + Al'!D317</f>
        <v>0</v>
      </c>
      <c r="N315" s="272">
        <f t="shared" si="25"/>
        <v>0</v>
      </c>
      <c r="O315" s="272">
        <f t="shared" si="26"/>
        <v>0</v>
      </c>
      <c r="P315" s="272">
        <f t="shared" si="27"/>
        <v>0</v>
      </c>
      <c r="Q315" s="293" t="e">
        <f t="shared" si="28"/>
        <v>#DIV/0!</v>
      </c>
      <c r="R315" s="293" t="e">
        <f t="shared" si="29"/>
        <v>#DIV/0!</v>
      </c>
      <c r="S315">
        <f>Prem!H317</f>
        <v>0</v>
      </c>
      <c r="T315" s="281">
        <f>S!H321</f>
        <v>0</v>
      </c>
      <c r="U315" s="274">
        <f>B!H316</f>
        <v>0</v>
      </c>
      <c r="V315" s="272">
        <f>Zn!G317</f>
        <v>0</v>
      </c>
      <c r="W315" s="272">
        <f>Cu!G317</f>
        <v>0</v>
      </c>
      <c r="X315" s="272">
        <f>Mn!G317</f>
        <v>0</v>
      </c>
      <c r="Y315" s="272">
        <f>Fe!G317</f>
        <v>0</v>
      </c>
      <c r="Z315" s="274">
        <f>M.O!H317</f>
        <v>0</v>
      </c>
      <c r="AA315" s="272" t="e">
        <f t="shared" si="30"/>
        <v>#DIV/0!</v>
      </c>
      <c r="AB315" s="272" t="e">
        <f t="shared" si="31"/>
        <v>#DIV/0!</v>
      </c>
      <c r="AC315" s="272" t="e">
        <f t="shared" si="32"/>
        <v>#DIV/0!</v>
      </c>
    </row>
    <row r="316" spans="1:29" x14ac:dyDescent="0.2">
      <c r="A316" s="106">
        <f>Cadastro!A320</f>
        <v>0</v>
      </c>
      <c r="B316" s="27">
        <f>Cadastro!E318</f>
        <v>0</v>
      </c>
      <c r="C316">
        <f>pH_água!C316</f>
        <v>6.42</v>
      </c>
      <c r="D316">
        <f>pH_KCl!B317</f>
        <v>0</v>
      </c>
      <c r="E316">
        <f>'pH CaCl2'!C316</f>
        <v>0</v>
      </c>
      <c r="F316" s="104">
        <f>P_Mehlich1!H301</f>
        <v>0</v>
      </c>
      <c r="G316" s="123">
        <f>P_resina!H321</f>
        <v>0</v>
      </c>
      <c r="H316" s="272">
        <f>K!G286</f>
        <v>0</v>
      </c>
      <c r="I316" s="125">
        <v>0</v>
      </c>
      <c r="J316" s="272">
        <f>'Ca2+'!G317</f>
        <v>0</v>
      </c>
      <c r="K316" s="272">
        <f>Mg²!G319</f>
        <v>0</v>
      </c>
      <c r="L316" s="279">
        <f>Al³!C318</f>
        <v>0</v>
      </c>
      <c r="M316" s="279">
        <f>'H + Al'!D318</f>
        <v>0</v>
      </c>
      <c r="N316" s="272">
        <f t="shared" si="25"/>
        <v>0</v>
      </c>
      <c r="O316" s="272">
        <f t="shared" si="26"/>
        <v>0</v>
      </c>
      <c r="P316" s="272">
        <f t="shared" si="27"/>
        <v>0</v>
      </c>
      <c r="Q316" s="293" t="e">
        <f t="shared" si="28"/>
        <v>#DIV/0!</v>
      </c>
      <c r="R316" s="293" t="e">
        <f t="shared" si="29"/>
        <v>#DIV/0!</v>
      </c>
      <c r="S316">
        <f>Prem!H318</f>
        <v>0</v>
      </c>
      <c r="T316" s="281">
        <f>S!H322</f>
        <v>0</v>
      </c>
      <c r="U316" s="274">
        <f>B!H317</f>
        <v>0</v>
      </c>
      <c r="V316" s="272">
        <f>Zn!G318</f>
        <v>0</v>
      </c>
      <c r="W316" s="272">
        <f>Cu!G318</f>
        <v>0</v>
      </c>
      <c r="X316" s="272">
        <f>Mn!G318</f>
        <v>0</v>
      </c>
      <c r="Y316" s="272">
        <f>Fe!G318</f>
        <v>0</v>
      </c>
      <c r="Z316" s="274">
        <f>M.O!H318</f>
        <v>0</v>
      </c>
      <c r="AA316" s="272" t="e">
        <f t="shared" si="30"/>
        <v>#DIV/0!</v>
      </c>
      <c r="AB316" s="272" t="e">
        <f t="shared" si="31"/>
        <v>#DIV/0!</v>
      </c>
      <c r="AC316" s="272" t="e">
        <f t="shared" si="32"/>
        <v>#DIV/0!</v>
      </c>
    </row>
    <row r="317" spans="1:29" x14ac:dyDescent="0.2">
      <c r="A317" s="106">
        <f>Cadastro!A321</f>
        <v>0</v>
      </c>
      <c r="B317" s="27">
        <f>Cadastro!E319</f>
        <v>0</v>
      </c>
      <c r="C317">
        <f>pH_água!C317</f>
        <v>6.42</v>
      </c>
      <c r="D317">
        <f>pH_KCl!B318</f>
        <v>0</v>
      </c>
      <c r="E317">
        <f>'pH CaCl2'!C317</f>
        <v>0</v>
      </c>
      <c r="F317" s="104">
        <f>P_Mehlich1!H302</f>
        <v>0</v>
      </c>
      <c r="G317" s="123">
        <f>P_resina!H322</f>
        <v>0</v>
      </c>
      <c r="H317" s="272">
        <f>K!G287</f>
        <v>0</v>
      </c>
      <c r="I317" s="125">
        <v>0</v>
      </c>
      <c r="J317" s="272">
        <f>'Ca2+'!G318</f>
        <v>0</v>
      </c>
      <c r="K317" s="272">
        <f>Mg²!G320</f>
        <v>0</v>
      </c>
      <c r="L317" s="279">
        <f>Al³!C319</f>
        <v>0</v>
      </c>
      <c r="M317" s="279">
        <f>'H + Al'!D319</f>
        <v>0</v>
      </c>
      <c r="N317" s="272">
        <f t="shared" si="25"/>
        <v>0</v>
      </c>
      <c r="O317" s="272">
        <f t="shared" si="26"/>
        <v>0</v>
      </c>
      <c r="P317" s="272">
        <f t="shared" si="27"/>
        <v>0</v>
      </c>
      <c r="Q317" s="293" t="e">
        <f t="shared" si="28"/>
        <v>#DIV/0!</v>
      </c>
      <c r="R317" s="293" t="e">
        <f t="shared" si="29"/>
        <v>#DIV/0!</v>
      </c>
      <c r="S317">
        <f>Prem!H319</f>
        <v>0</v>
      </c>
      <c r="T317" s="281">
        <f>S!H323</f>
        <v>0</v>
      </c>
      <c r="U317" s="274">
        <f>B!H318</f>
        <v>0</v>
      </c>
      <c r="V317" s="272">
        <f>Zn!G319</f>
        <v>0</v>
      </c>
      <c r="W317" s="272">
        <f>Cu!G319</f>
        <v>0</v>
      </c>
      <c r="X317" s="272">
        <f>Mn!G319</f>
        <v>0</v>
      </c>
      <c r="Y317" s="272">
        <f>Fe!G319</f>
        <v>0</v>
      </c>
      <c r="Z317" s="274">
        <f>M.O!H319</f>
        <v>0</v>
      </c>
      <c r="AA317" s="272" t="e">
        <f t="shared" si="30"/>
        <v>#DIV/0!</v>
      </c>
      <c r="AB317" s="272" t="e">
        <f t="shared" si="31"/>
        <v>#DIV/0!</v>
      </c>
      <c r="AC317" s="272" t="e">
        <f t="shared" si="32"/>
        <v>#DIV/0!</v>
      </c>
    </row>
    <row r="318" spans="1:29" x14ac:dyDescent="0.2">
      <c r="A318" s="106">
        <f>Cadastro!A322</f>
        <v>0</v>
      </c>
      <c r="B318" s="27">
        <f>Cadastro!E320</f>
        <v>0</v>
      </c>
      <c r="C318">
        <f>pH_água!C318</f>
        <v>0</v>
      </c>
      <c r="D318">
        <f>pH_KCl!B319</f>
        <v>0</v>
      </c>
      <c r="E318">
        <f>'pH CaCl2'!C318</f>
        <v>0</v>
      </c>
      <c r="F318" s="104">
        <f>P_Mehlich1!H303</f>
        <v>0</v>
      </c>
      <c r="G318" s="123">
        <f>P_resina!H323</f>
        <v>0</v>
      </c>
      <c r="H318" s="272">
        <f>K!G288</f>
        <v>0</v>
      </c>
      <c r="I318" s="125">
        <v>0</v>
      </c>
      <c r="J318" s="272">
        <f>'Ca2+'!G319</f>
        <v>0</v>
      </c>
      <c r="K318" s="272">
        <f>Mg²!G321</f>
        <v>0</v>
      </c>
      <c r="L318" s="279">
        <f>Al³!C320</f>
        <v>0</v>
      </c>
      <c r="M318" s="279">
        <f>'H + Al'!D320</f>
        <v>0</v>
      </c>
      <c r="N318" s="272">
        <f t="shared" si="25"/>
        <v>0</v>
      </c>
      <c r="O318" s="272">
        <f t="shared" si="26"/>
        <v>0</v>
      </c>
      <c r="P318" s="272">
        <f t="shared" si="27"/>
        <v>0</v>
      </c>
      <c r="Q318" s="293" t="e">
        <f t="shared" si="28"/>
        <v>#DIV/0!</v>
      </c>
      <c r="R318" s="293" t="e">
        <f t="shared" si="29"/>
        <v>#DIV/0!</v>
      </c>
      <c r="S318">
        <f>Prem!H320</f>
        <v>0</v>
      </c>
      <c r="T318" s="281">
        <f>S!H324</f>
        <v>0</v>
      </c>
      <c r="U318" s="274">
        <f>B!H319</f>
        <v>0</v>
      </c>
      <c r="V318" s="272">
        <f>Zn!G320</f>
        <v>0</v>
      </c>
      <c r="W318" s="272">
        <f>Cu!G320</f>
        <v>0</v>
      </c>
      <c r="X318" s="272">
        <f>Mn!G320</f>
        <v>0</v>
      </c>
      <c r="Y318" s="272">
        <f>Fe!G320</f>
        <v>0</v>
      </c>
      <c r="Z318" s="274">
        <f>M.O!H320</f>
        <v>0</v>
      </c>
      <c r="AA318" s="272" t="e">
        <f t="shared" si="30"/>
        <v>#DIV/0!</v>
      </c>
      <c r="AB318" s="272" t="e">
        <f t="shared" si="31"/>
        <v>#DIV/0!</v>
      </c>
      <c r="AC318" s="272" t="e">
        <f t="shared" si="32"/>
        <v>#DIV/0!</v>
      </c>
    </row>
    <row r="319" spans="1:29" x14ac:dyDescent="0.2">
      <c r="A319" s="106">
        <f>Cadastro!A323</f>
        <v>0</v>
      </c>
      <c r="B319" s="27">
        <f>Cadastro!E321</f>
        <v>0</v>
      </c>
      <c r="C319">
        <f>pH_água!C319</f>
        <v>0</v>
      </c>
      <c r="D319">
        <f>pH_KCl!B320</f>
        <v>0</v>
      </c>
      <c r="E319">
        <f>'pH CaCl2'!C319</f>
        <v>0</v>
      </c>
      <c r="F319" s="104">
        <f>P_Mehlich1!H304</f>
        <v>0</v>
      </c>
      <c r="G319" s="123">
        <f>P_resina!H324</f>
        <v>0</v>
      </c>
      <c r="H319" s="272">
        <f>K!G289</f>
        <v>0</v>
      </c>
      <c r="I319" s="125">
        <v>0</v>
      </c>
      <c r="J319" s="272">
        <f>'Ca2+'!G320</f>
        <v>0</v>
      </c>
      <c r="K319" s="272">
        <f>Mg²!G322</f>
        <v>0</v>
      </c>
      <c r="L319" s="279">
        <f>Al³!C321</f>
        <v>0</v>
      </c>
      <c r="M319" s="279">
        <f>'H + Al'!D321</f>
        <v>0</v>
      </c>
      <c r="N319" s="272">
        <f t="shared" si="25"/>
        <v>0</v>
      </c>
      <c r="O319" s="272">
        <f t="shared" si="26"/>
        <v>0</v>
      </c>
      <c r="P319" s="272">
        <f t="shared" si="27"/>
        <v>0</v>
      </c>
      <c r="Q319" s="293" t="e">
        <f t="shared" si="28"/>
        <v>#DIV/0!</v>
      </c>
      <c r="R319" s="293" t="e">
        <f t="shared" si="29"/>
        <v>#DIV/0!</v>
      </c>
      <c r="S319">
        <f>Prem!H321</f>
        <v>0</v>
      </c>
      <c r="T319" s="281">
        <f>S!H325</f>
        <v>0</v>
      </c>
      <c r="U319" s="274">
        <f>B!H320</f>
        <v>0</v>
      </c>
      <c r="V319" s="272">
        <f>Zn!G321</f>
        <v>0</v>
      </c>
      <c r="W319" s="272">
        <f>Cu!G321</f>
        <v>0</v>
      </c>
      <c r="X319" s="272">
        <f>Mn!G321</f>
        <v>0</v>
      </c>
      <c r="Y319" s="272">
        <f>Fe!G321</f>
        <v>0</v>
      </c>
      <c r="Z319" s="274">
        <f>M.O!H321</f>
        <v>0</v>
      </c>
      <c r="AA319" s="272" t="e">
        <f t="shared" si="30"/>
        <v>#DIV/0!</v>
      </c>
      <c r="AB319" s="272" t="e">
        <f t="shared" si="31"/>
        <v>#DIV/0!</v>
      </c>
      <c r="AC319" s="272" t="e">
        <f t="shared" si="32"/>
        <v>#DIV/0!</v>
      </c>
    </row>
    <row r="320" spans="1:29" x14ac:dyDescent="0.2">
      <c r="A320" s="106">
        <f>Cadastro!A324</f>
        <v>0</v>
      </c>
      <c r="B320" s="27">
        <f>Cadastro!E322</f>
        <v>0</v>
      </c>
      <c r="C320">
        <f>pH_água!C320</f>
        <v>0</v>
      </c>
      <c r="D320">
        <f>pH_KCl!B321</f>
        <v>0</v>
      </c>
      <c r="E320">
        <f>'pH CaCl2'!C320</f>
        <v>0</v>
      </c>
      <c r="F320" s="104">
        <f>P_Mehlich1!H305</f>
        <v>0</v>
      </c>
      <c r="G320" s="123">
        <f>P_resina!H325</f>
        <v>0</v>
      </c>
      <c r="H320" s="272">
        <f>K!G290</f>
        <v>0</v>
      </c>
      <c r="I320" s="125">
        <v>0</v>
      </c>
      <c r="J320" s="272">
        <f>'Ca2+'!G321</f>
        <v>0</v>
      </c>
      <c r="K320" s="272">
        <f>Mg²!G323</f>
        <v>0</v>
      </c>
      <c r="L320" s="279">
        <f>Al³!C322</f>
        <v>0</v>
      </c>
      <c r="M320" s="279">
        <f>'H + Al'!D322</f>
        <v>0</v>
      </c>
      <c r="N320" s="272">
        <f t="shared" si="25"/>
        <v>0</v>
      </c>
      <c r="O320" s="272">
        <f t="shared" si="26"/>
        <v>0</v>
      </c>
      <c r="P320" s="272">
        <f t="shared" si="27"/>
        <v>0</v>
      </c>
      <c r="Q320" s="293" t="e">
        <f t="shared" si="28"/>
        <v>#DIV/0!</v>
      </c>
      <c r="R320" s="293" t="e">
        <f t="shared" si="29"/>
        <v>#DIV/0!</v>
      </c>
      <c r="S320">
        <f>Prem!H322</f>
        <v>0</v>
      </c>
      <c r="T320" s="281">
        <f>S!H326</f>
        <v>0</v>
      </c>
      <c r="U320" s="274">
        <f>B!H321</f>
        <v>0</v>
      </c>
      <c r="V320" s="272">
        <f>Zn!G322</f>
        <v>0</v>
      </c>
      <c r="W320" s="272">
        <f>Cu!G322</f>
        <v>0</v>
      </c>
      <c r="X320" s="272">
        <f>Mn!G322</f>
        <v>0</v>
      </c>
      <c r="Y320" s="272">
        <f>Fe!G322</f>
        <v>0</v>
      </c>
      <c r="Z320" s="274">
        <f>M.O!H322</f>
        <v>0</v>
      </c>
      <c r="AA320" s="272" t="e">
        <f t="shared" si="30"/>
        <v>#DIV/0!</v>
      </c>
      <c r="AB320" s="272" t="e">
        <f t="shared" si="31"/>
        <v>#DIV/0!</v>
      </c>
      <c r="AC320" s="272" t="e">
        <f t="shared" si="32"/>
        <v>#DIV/0!</v>
      </c>
    </row>
    <row r="321" spans="1:29" x14ac:dyDescent="0.2">
      <c r="A321" s="106">
        <f>Cadastro!A325</f>
        <v>0</v>
      </c>
      <c r="B321" s="27">
        <f>Cadastro!E323</f>
        <v>0</v>
      </c>
      <c r="C321">
        <f>pH_água!C321</f>
        <v>0</v>
      </c>
      <c r="D321">
        <f>pH_KCl!B322</f>
        <v>0</v>
      </c>
      <c r="E321">
        <f>'pH CaCl2'!C321</f>
        <v>0</v>
      </c>
      <c r="F321" s="104">
        <f>P_Mehlich1!H306</f>
        <v>0</v>
      </c>
      <c r="G321" s="123">
        <f>P_resina!H326</f>
        <v>0</v>
      </c>
      <c r="H321" s="272">
        <f>K!G291</f>
        <v>0</v>
      </c>
      <c r="I321" s="125">
        <v>0</v>
      </c>
      <c r="J321" s="272">
        <f>'Ca2+'!G322</f>
        <v>0</v>
      </c>
      <c r="K321" s="272">
        <f>Mg²!G324</f>
        <v>0</v>
      </c>
      <c r="L321" s="279">
        <f>Al³!C323</f>
        <v>0</v>
      </c>
      <c r="M321" s="279">
        <f>'H + Al'!D323</f>
        <v>0</v>
      </c>
      <c r="N321" s="272">
        <f t="shared" si="25"/>
        <v>0</v>
      </c>
      <c r="O321" s="272">
        <f t="shared" si="26"/>
        <v>0</v>
      </c>
      <c r="P321" s="272">
        <f t="shared" si="27"/>
        <v>0</v>
      </c>
      <c r="Q321" s="293" t="e">
        <f t="shared" si="28"/>
        <v>#DIV/0!</v>
      </c>
      <c r="R321" s="293" t="e">
        <f t="shared" si="29"/>
        <v>#DIV/0!</v>
      </c>
      <c r="S321">
        <f>Prem!H323</f>
        <v>0</v>
      </c>
      <c r="T321" s="281">
        <f>S!H327</f>
        <v>0</v>
      </c>
      <c r="U321" s="274">
        <f>B!H322</f>
        <v>0</v>
      </c>
      <c r="V321" s="272">
        <f>Zn!G323</f>
        <v>0</v>
      </c>
      <c r="W321" s="272">
        <f>Cu!G323</f>
        <v>0</v>
      </c>
      <c r="X321" s="272">
        <f>Mn!G323</f>
        <v>0</v>
      </c>
      <c r="Y321" s="272">
        <f>Fe!G323</f>
        <v>0</v>
      </c>
      <c r="Z321" s="274">
        <f>M.O!H323</f>
        <v>0</v>
      </c>
      <c r="AA321" s="272" t="e">
        <f t="shared" si="30"/>
        <v>#DIV/0!</v>
      </c>
      <c r="AB321" s="272" t="e">
        <f t="shared" si="31"/>
        <v>#DIV/0!</v>
      </c>
      <c r="AC321" s="272" t="e">
        <f t="shared" si="32"/>
        <v>#DIV/0!</v>
      </c>
    </row>
    <row r="322" spans="1:29" x14ac:dyDescent="0.2">
      <c r="A322" s="106">
        <f>Cadastro!A326</f>
        <v>0</v>
      </c>
      <c r="B322" s="27">
        <f>Cadastro!E324</f>
        <v>0</v>
      </c>
      <c r="C322">
        <f>pH_água!C322</f>
        <v>0</v>
      </c>
      <c r="D322">
        <f>pH_KCl!B323</f>
        <v>0</v>
      </c>
      <c r="E322">
        <f>'pH CaCl2'!C322</f>
        <v>0</v>
      </c>
      <c r="F322" s="104">
        <f>P_Mehlich1!H307</f>
        <v>0</v>
      </c>
      <c r="G322" s="123">
        <f>P_resina!H327</f>
        <v>0</v>
      </c>
      <c r="H322" s="272">
        <f>K!G292</f>
        <v>0</v>
      </c>
      <c r="I322" s="125">
        <v>0</v>
      </c>
      <c r="J322" s="272">
        <f>'Ca2+'!G323</f>
        <v>0</v>
      </c>
      <c r="K322" s="272">
        <f>Mg²!G325</f>
        <v>0</v>
      </c>
      <c r="L322" s="279">
        <f>Al³!C324</f>
        <v>0</v>
      </c>
      <c r="M322" s="279">
        <f>'H + Al'!D324</f>
        <v>0</v>
      </c>
      <c r="N322" s="272">
        <f t="shared" si="25"/>
        <v>0</v>
      </c>
      <c r="O322" s="272">
        <f t="shared" si="26"/>
        <v>0</v>
      </c>
      <c r="P322" s="272">
        <f t="shared" si="27"/>
        <v>0</v>
      </c>
      <c r="Q322" s="293" t="e">
        <f t="shared" si="28"/>
        <v>#DIV/0!</v>
      </c>
      <c r="R322" s="293" t="e">
        <f t="shared" si="29"/>
        <v>#DIV/0!</v>
      </c>
      <c r="S322">
        <f>Prem!H324</f>
        <v>0</v>
      </c>
      <c r="T322" s="281">
        <f>S!H328</f>
        <v>0</v>
      </c>
      <c r="U322" s="274">
        <f>B!H323</f>
        <v>0</v>
      </c>
      <c r="V322" s="272">
        <f>Zn!G324</f>
        <v>0</v>
      </c>
      <c r="W322" s="272">
        <f>Cu!G324</f>
        <v>0</v>
      </c>
      <c r="X322" s="272">
        <f>Mn!G324</f>
        <v>0</v>
      </c>
      <c r="Y322" s="272">
        <f>Fe!G324</f>
        <v>0</v>
      </c>
      <c r="Z322" s="274">
        <f>M.O!H324</f>
        <v>0</v>
      </c>
      <c r="AA322" s="272" t="e">
        <f t="shared" si="30"/>
        <v>#DIV/0!</v>
      </c>
      <c r="AB322" s="272" t="e">
        <f t="shared" si="31"/>
        <v>#DIV/0!</v>
      </c>
      <c r="AC322" s="272" t="e">
        <f t="shared" si="32"/>
        <v>#DIV/0!</v>
      </c>
    </row>
    <row r="323" spans="1:29" x14ac:dyDescent="0.2">
      <c r="A323" s="106">
        <f>Cadastro!A327</f>
        <v>0</v>
      </c>
      <c r="B323" s="27">
        <f>Cadastro!E325</f>
        <v>0</v>
      </c>
      <c r="C323">
        <f>pH_água!C323</f>
        <v>0</v>
      </c>
      <c r="D323">
        <f>pH_KCl!B324</f>
        <v>0</v>
      </c>
      <c r="E323">
        <f>'pH CaCl2'!C323</f>
        <v>0</v>
      </c>
      <c r="F323" s="104">
        <f>P_Mehlich1!H308</f>
        <v>0</v>
      </c>
      <c r="G323" s="123">
        <f>P_resina!H328</f>
        <v>0</v>
      </c>
      <c r="H323" s="272">
        <f>K!G293</f>
        <v>0</v>
      </c>
      <c r="I323" s="125">
        <v>0</v>
      </c>
      <c r="J323" s="272">
        <f>'Ca2+'!G324</f>
        <v>0</v>
      </c>
      <c r="K323" s="272">
        <f>Mg²!G326</f>
        <v>0</v>
      </c>
      <c r="L323" s="279">
        <f>Al³!C325</f>
        <v>0</v>
      </c>
      <c r="M323" s="279">
        <f>'H + Al'!D325</f>
        <v>0</v>
      </c>
      <c r="N323" s="272">
        <f t="shared" si="25"/>
        <v>0</v>
      </c>
      <c r="O323" s="272">
        <f t="shared" si="26"/>
        <v>0</v>
      </c>
      <c r="P323" s="272">
        <f t="shared" si="27"/>
        <v>0</v>
      </c>
      <c r="Q323" s="293" t="e">
        <f t="shared" si="28"/>
        <v>#DIV/0!</v>
      </c>
      <c r="R323" s="293" t="e">
        <f t="shared" si="29"/>
        <v>#DIV/0!</v>
      </c>
      <c r="S323">
        <f>Prem!H325</f>
        <v>0</v>
      </c>
      <c r="T323" s="281">
        <f>S!H329</f>
        <v>0</v>
      </c>
      <c r="U323" s="274">
        <f>B!H324</f>
        <v>0</v>
      </c>
      <c r="V323" s="272">
        <f>Zn!G325</f>
        <v>0</v>
      </c>
      <c r="W323" s="272">
        <f>Cu!G325</f>
        <v>0</v>
      </c>
      <c r="X323" s="272">
        <f>Mn!G325</f>
        <v>0</v>
      </c>
      <c r="Y323" s="272">
        <f>Fe!G325</f>
        <v>0</v>
      </c>
      <c r="Z323" s="274">
        <f>M.O!H325</f>
        <v>0</v>
      </c>
      <c r="AA323" s="272" t="e">
        <f t="shared" si="30"/>
        <v>#DIV/0!</v>
      </c>
      <c r="AB323" s="272" t="e">
        <f t="shared" si="31"/>
        <v>#DIV/0!</v>
      </c>
      <c r="AC323" s="272" t="e">
        <f t="shared" si="32"/>
        <v>#DIV/0!</v>
      </c>
    </row>
    <row r="324" spans="1:29" x14ac:dyDescent="0.2">
      <c r="A324" s="106">
        <f>Cadastro!A328</f>
        <v>0</v>
      </c>
      <c r="B324" s="27">
        <f>Cadastro!E326</f>
        <v>0</v>
      </c>
      <c r="C324">
        <f>pH_água!C324</f>
        <v>0</v>
      </c>
      <c r="D324">
        <f>pH_KCl!B325</f>
        <v>0</v>
      </c>
      <c r="E324">
        <f>'pH CaCl2'!C324</f>
        <v>0</v>
      </c>
      <c r="F324" s="104">
        <f>P_Mehlich1!H309</f>
        <v>0</v>
      </c>
      <c r="G324" s="123">
        <f>P_resina!H329</f>
        <v>0</v>
      </c>
      <c r="H324" s="272">
        <f>K!G294</f>
        <v>0</v>
      </c>
      <c r="I324" s="125">
        <v>0</v>
      </c>
      <c r="J324" s="272">
        <f>'Ca2+'!G325</f>
        <v>0</v>
      </c>
      <c r="K324" s="272">
        <f>Mg²!G327</f>
        <v>0</v>
      </c>
      <c r="L324" s="279">
        <f>Al³!C326</f>
        <v>0</v>
      </c>
      <c r="M324" s="279">
        <f>'H + Al'!D326</f>
        <v>0</v>
      </c>
      <c r="N324" s="272">
        <f t="shared" si="25"/>
        <v>0</v>
      </c>
      <c r="O324" s="272">
        <f t="shared" si="26"/>
        <v>0</v>
      </c>
      <c r="P324" s="272">
        <f t="shared" si="27"/>
        <v>0</v>
      </c>
      <c r="Q324" s="293" t="e">
        <f t="shared" si="28"/>
        <v>#DIV/0!</v>
      </c>
      <c r="R324" s="293" t="e">
        <f t="shared" si="29"/>
        <v>#DIV/0!</v>
      </c>
      <c r="S324">
        <f>Prem!H326</f>
        <v>0</v>
      </c>
      <c r="T324" s="281">
        <f>S!H330</f>
        <v>0</v>
      </c>
      <c r="U324" s="274">
        <f>B!H325</f>
        <v>0</v>
      </c>
      <c r="V324" s="272">
        <f>Zn!G326</f>
        <v>0</v>
      </c>
      <c r="W324" s="272">
        <f>Cu!G326</f>
        <v>0</v>
      </c>
      <c r="X324" s="272">
        <f>Mn!G326</f>
        <v>0</v>
      </c>
      <c r="Y324" s="272">
        <f>Fe!G326</f>
        <v>0</v>
      </c>
      <c r="Z324" s="274">
        <f>M.O!H326</f>
        <v>0</v>
      </c>
      <c r="AA324" s="272" t="e">
        <f t="shared" si="30"/>
        <v>#DIV/0!</v>
      </c>
      <c r="AB324" s="272" t="e">
        <f t="shared" si="31"/>
        <v>#DIV/0!</v>
      </c>
      <c r="AC324" s="272" t="e">
        <f t="shared" si="32"/>
        <v>#DIV/0!</v>
      </c>
    </row>
    <row r="325" spans="1:29" x14ac:dyDescent="0.2">
      <c r="A325" s="106">
        <f>Cadastro!A329</f>
        <v>0</v>
      </c>
      <c r="B325" s="27">
        <f>Cadastro!E327</f>
        <v>0</v>
      </c>
      <c r="C325">
        <f>pH_água!C325</f>
        <v>0</v>
      </c>
      <c r="D325">
        <f>pH_KCl!B326</f>
        <v>0</v>
      </c>
      <c r="E325">
        <f>'pH CaCl2'!C325</f>
        <v>0</v>
      </c>
      <c r="F325" s="104">
        <f>P_Mehlich1!H310</f>
        <v>0</v>
      </c>
      <c r="G325" s="123">
        <f>P_resina!H330</f>
        <v>0</v>
      </c>
      <c r="H325" s="272">
        <f>K!G295</f>
        <v>0</v>
      </c>
      <c r="I325" s="125">
        <v>0</v>
      </c>
      <c r="J325" s="272">
        <f>'Ca2+'!G326</f>
        <v>0</v>
      </c>
      <c r="K325" s="272">
        <f>Mg²!G328</f>
        <v>0</v>
      </c>
      <c r="L325" s="279">
        <f>Al³!C327</f>
        <v>0</v>
      </c>
      <c r="M325" s="279">
        <f>'H + Al'!D327</f>
        <v>0</v>
      </c>
      <c r="N325" s="272">
        <f t="shared" si="25"/>
        <v>0</v>
      </c>
      <c r="O325" s="272">
        <f t="shared" si="26"/>
        <v>0</v>
      </c>
      <c r="P325" s="272">
        <f t="shared" si="27"/>
        <v>0</v>
      </c>
      <c r="Q325" s="293" t="e">
        <f t="shared" si="28"/>
        <v>#DIV/0!</v>
      </c>
      <c r="R325" s="293" t="e">
        <f t="shared" si="29"/>
        <v>#DIV/0!</v>
      </c>
      <c r="S325">
        <f>Prem!H327</f>
        <v>0</v>
      </c>
      <c r="T325" s="281">
        <f>S!H331</f>
        <v>0</v>
      </c>
      <c r="U325" s="274">
        <f>B!H326</f>
        <v>0</v>
      </c>
      <c r="V325" s="272">
        <f>Zn!G327</f>
        <v>0</v>
      </c>
      <c r="W325" s="272">
        <f>Cu!G327</f>
        <v>0</v>
      </c>
      <c r="X325" s="272">
        <f>Mn!G327</f>
        <v>0</v>
      </c>
      <c r="Y325" s="272">
        <f>Fe!G327</f>
        <v>0</v>
      </c>
      <c r="Z325" s="274">
        <f>M.O!H327</f>
        <v>0</v>
      </c>
      <c r="AA325" s="272" t="e">
        <f t="shared" si="30"/>
        <v>#DIV/0!</v>
      </c>
      <c r="AB325" s="272" t="e">
        <f t="shared" si="31"/>
        <v>#DIV/0!</v>
      </c>
      <c r="AC325" s="272" t="e">
        <f t="shared" si="32"/>
        <v>#DIV/0!</v>
      </c>
    </row>
    <row r="326" spans="1:29" x14ac:dyDescent="0.2">
      <c r="A326" s="106">
        <f>Cadastro!A330</f>
        <v>0</v>
      </c>
      <c r="B326" s="27">
        <f>Cadastro!E328</f>
        <v>0</v>
      </c>
      <c r="C326">
        <f>pH_água!C326</f>
        <v>0</v>
      </c>
      <c r="D326">
        <f>pH_KCl!B327</f>
        <v>0</v>
      </c>
      <c r="E326">
        <f>'pH CaCl2'!C326</f>
        <v>0</v>
      </c>
      <c r="F326" s="104">
        <f>P_Mehlich1!H311</f>
        <v>0</v>
      </c>
      <c r="G326" s="123">
        <f>P_resina!H331</f>
        <v>0</v>
      </c>
      <c r="H326" s="272">
        <f>K!G296</f>
        <v>0</v>
      </c>
      <c r="I326" s="125">
        <v>0</v>
      </c>
      <c r="J326" s="272">
        <f>'Ca2+'!G327</f>
        <v>0</v>
      </c>
      <c r="K326" s="272">
        <f>Mg²!G329</f>
        <v>0</v>
      </c>
      <c r="L326" s="279">
        <f>Al³!C328</f>
        <v>0</v>
      </c>
      <c r="M326" s="279">
        <f>'H + Al'!D328</f>
        <v>0</v>
      </c>
      <c r="N326" s="272">
        <f t="shared" si="25"/>
        <v>0</v>
      </c>
      <c r="O326" s="272">
        <f t="shared" si="26"/>
        <v>0</v>
      </c>
      <c r="P326" s="272">
        <f t="shared" si="27"/>
        <v>0</v>
      </c>
      <c r="Q326" s="293" t="e">
        <f t="shared" si="28"/>
        <v>#DIV/0!</v>
      </c>
      <c r="R326" s="293" t="e">
        <f t="shared" si="29"/>
        <v>#DIV/0!</v>
      </c>
      <c r="S326">
        <f>Prem!H328</f>
        <v>0</v>
      </c>
      <c r="T326" s="281">
        <f>S!H332</f>
        <v>0</v>
      </c>
      <c r="U326" s="274">
        <f>B!H327</f>
        <v>0</v>
      </c>
      <c r="V326" s="272">
        <f>Zn!G328</f>
        <v>0</v>
      </c>
      <c r="W326" s="272">
        <f>Cu!G328</f>
        <v>0</v>
      </c>
      <c r="X326" s="272">
        <f>Mn!G328</f>
        <v>0</v>
      </c>
      <c r="Y326" s="272">
        <f>Fe!G328</f>
        <v>0</v>
      </c>
      <c r="Z326" s="274">
        <f>M.O!H328</f>
        <v>0</v>
      </c>
      <c r="AA326" s="272" t="e">
        <f t="shared" si="30"/>
        <v>#DIV/0!</v>
      </c>
      <c r="AB326" s="272" t="e">
        <f t="shared" si="31"/>
        <v>#DIV/0!</v>
      </c>
      <c r="AC326" s="272" t="e">
        <f t="shared" si="32"/>
        <v>#DIV/0!</v>
      </c>
    </row>
    <row r="327" spans="1:29" x14ac:dyDescent="0.2">
      <c r="A327" s="106">
        <f>Cadastro!A331</f>
        <v>0</v>
      </c>
      <c r="B327" s="27">
        <f>Cadastro!E329</f>
        <v>0</v>
      </c>
      <c r="C327">
        <f>pH_água!C327</f>
        <v>0</v>
      </c>
      <c r="D327">
        <f>pH_KCl!B328</f>
        <v>0</v>
      </c>
      <c r="E327">
        <f>'pH CaCl2'!C327</f>
        <v>0</v>
      </c>
      <c r="F327" s="104">
        <f>P_Mehlich1!H312</f>
        <v>0</v>
      </c>
      <c r="G327" s="123">
        <f>P_resina!H332</f>
        <v>0</v>
      </c>
      <c r="H327" s="272">
        <f>K!G297</f>
        <v>0</v>
      </c>
      <c r="I327" s="125">
        <v>0</v>
      </c>
      <c r="J327" s="272">
        <f>'Ca2+'!G328</f>
        <v>0</v>
      </c>
      <c r="K327" s="272">
        <f>Mg²!G330</f>
        <v>0</v>
      </c>
      <c r="L327" s="279">
        <f>Al³!C329</f>
        <v>0</v>
      </c>
      <c r="M327" s="279">
        <f>'H + Al'!D329</f>
        <v>0</v>
      </c>
      <c r="N327" s="272">
        <f t="shared" si="25"/>
        <v>0</v>
      </c>
      <c r="O327" s="272">
        <f t="shared" si="26"/>
        <v>0</v>
      </c>
      <c r="P327" s="272">
        <f t="shared" si="27"/>
        <v>0</v>
      </c>
      <c r="Q327" s="293" t="e">
        <f t="shared" si="28"/>
        <v>#DIV/0!</v>
      </c>
      <c r="R327" s="293" t="e">
        <f t="shared" si="29"/>
        <v>#DIV/0!</v>
      </c>
      <c r="S327">
        <f>Prem!H329</f>
        <v>0</v>
      </c>
      <c r="T327" s="281">
        <f>S!H333</f>
        <v>0</v>
      </c>
      <c r="U327" s="274">
        <f>B!H328</f>
        <v>0</v>
      </c>
      <c r="V327" s="272">
        <f>Zn!G329</f>
        <v>0</v>
      </c>
      <c r="W327" s="272">
        <f>Cu!G329</f>
        <v>0</v>
      </c>
      <c r="X327" s="272">
        <f>Mn!G329</f>
        <v>0</v>
      </c>
      <c r="Y327" s="272">
        <f>Fe!G329</f>
        <v>0</v>
      </c>
      <c r="Z327" s="274">
        <f>M.O!H329</f>
        <v>0</v>
      </c>
      <c r="AA327" s="272" t="e">
        <f t="shared" si="30"/>
        <v>#DIV/0!</v>
      </c>
      <c r="AB327" s="272" t="e">
        <f t="shared" si="31"/>
        <v>#DIV/0!</v>
      </c>
      <c r="AC327" s="272" t="e">
        <f t="shared" si="32"/>
        <v>#DIV/0!</v>
      </c>
    </row>
    <row r="328" spans="1:29" x14ac:dyDescent="0.2">
      <c r="A328" s="106">
        <f>Cadastro!A332</f>
        <v>0</v>
      </c>
      <c r="B328" s="27">
        <f>Cadastro!E330</f>
        <v>0</v>
      </c>
      <c r="C328">
        <f>pH_água!C328</f>
        <v>0</v>
      </c>
      <c r="D328">
        <f>pH_KCl!B329</f>
        <v>0</v>
      </c>
      <c r="E328">
        <f>'pH CaCl2'!C328</f>
        <v>0</v>
      </c>
      <c r="F328" s="104">
        <f>P_Mehlich1!H313</f>
        <v>0</v>
      </c>
      <c r="G328" s="123">
        <f>P_resina!H333</f>
        <v>0</v>
      </c>
      <c r="H328" s="272">
        <f>K!G298</f>
        <v>0</v>
      </c>
      <c r="I328" s="125">
        <v>0</v>
      </c>
      <c r="J328" s="272">
        <f>'Ca2+'!G329</f>
        <v>0</v>
      </c>
      <c r="K328" s="272">
        <f>Mg²!G331</f>
        <v>0</v>
      </c>
      <c r="L328" s="279">
        <f>Al³!C330</f>
        <v>0</v>
      </c>
      <c r="M328" s="279">
        <f>'H + Al'!D330</f>
        <v>0</v>
      </c>
      <c r="N328" s="272">
        <f t="shared" si="25"/>
        <v>0</v>
      </c>
      <c r="O328" s="272">
        <f t="shared" si="26"/>
        <v>0</v>
      </c>
      <c r="P328" s="272">
        <f t="shared" si="27"/>
        <v>0</v>
      </c>
      <c r="Q328" s="293" t="e">
        <f t="shared" si="28"/>
        <v>#DIV/0!</v>
      </c>
      <c r="R328" s="293" t="e">
        <f t="shared" si="29"/>
        <v>#DIV/0!</v>
      </c>
      <c r="S328">
        <f>Prem!H330</f>
        <v>0</v>
      </c>
      <c r="T328" s="281">
        <f>S!H334</f>
        <v>0</v>
      </c>
      <c r="U328" s="274">
        <f>B!H329</f>
        <v>0</v>
      </c>
      <c r="V328" s="272">
        <f>Zn!G330</f>
        <v>0</v>
      </c>
      <c r="W328" s="272">
        <f>Cu!G330</f>
        <v>0</v>
      </c>
      <c r="X328" s="272">
        <f>Mn!G330</f>
        <v>0</v>
      </c>
      <c r="Y328" s="272">
        <f>Fe!G330</f>
        <v>0</v>
      </c>
      <c r="Z328" s="274">
        <f>M.O!H330</f>
        <v>0</v>
      </c>
      <c r="AA328" s="272" t="e">
        <f t="shared" si="30"/>
        <v>#DIV/0!</v>
      </c>
      <c r="AB328" s="272" t="e">
        <f t="shared" si="31"/>
        <v>#DIV/0!</v>
      </c>
      <c r="AC328" s="272" t="e">
        <f t="shared" si="32"/>
        <v>#DIV/0!</v>
      </c>
    </row>
    <row r="329" spans="1:29" x14ac:dyDescent="0.2">
      <c r="A329" s="106">
        <f>Cadastro!A333</f>
        <v>0</v>
      </c>
      <c r="B329" s="27">
        <f>Cadastro!E331</f>
        <v>0</v>
      </c>
      <c r="C329">
        <f>pH_água!C329</f>
        <v>0</v>
      </c>
      <c r="D329">
        <f>pH_KCl!B330</f>
        <v>0</v>
      </c>
      <c r="E329">
        <f>'pH CaCl2'!C329</f>
        <v>0</v>
      </c>
      <c r="F329" s="104">
        <f>P_Mehlich1!H314</f>
        <v>0</v>
      </c>
      <c r="G329" s="123">
        <f>P_resina!H334</f>
        <v>0</v>
      </c>
      <c r="H329" s="272">
        <f>K!G299</f>
        <v>0</v>
      </c>
      <c r="I329" s="125">
        <v>0</v>
      </c>
      <c r="J329" s="272">
        <f>'Ca2+'!G330</f>
        <v>0</v>
      </c>
      <c r="K329" s="272">
        <f>Mg²!G332</f>
        <v>0</v>
      </c>
      <c r="L329" s="279">
        <f>Al³!C331</f>
        <v>0</v>
      </c>
      <c r="M329" s="279">
        <f>'H + Al'!D331</f>
        <v>0</v>
      </c>
      <c r="N329" s="272">
        <f t="shared" si="25"/>
        <v>0</v>
      </c>
      <c r="O329" s="272">
        <f t="shared" si="26"/>
        <v>0</v>
      </c>
      <c r="P329" s="272">
        <f t="shared" si="27"/>
        <v>0</v>
      </c>
      <c r="Q329" s="293" t="e">
        <f t="shared" si="28"/>
        <v>#DIV/0!</v>
      </c>
      <c r="R329" s="293" t="e">
        <f t="shared" si="29"/>
        <v>#DIV/0!</v>
      </c>
      <c r="S329">
        <f>Prem!H331</f>
        <v>0</v>
      </c>
      <c r="T329" s="281">
        <f>S!H335</f>
        <v>0</v>
      </c>
      <c r="U329" s="274">
        <f>B!H330</f>
        <v>0</v>
      </c>
      <c r="V329" s="272">
        <f>Zn!G331</f>
        <v>0</v>
      </c>
      <c r="W329" s="272">
        <f>Cu!G331</f>
        <v>0</v>
      </c>
      <c r="X329" s="272">
        <f>Mn!G331</f>
        <v>0</v>
      </c>
      <c r="Y329" s="272">
        <f>Fe!G331</f>
        <v>0</v>
      </c>
      <c r="Z329" s="274">
        <f>M.O!H331</f>
        <v>0</v>
      </c>
      <c r="AA329" s="272" t="e">
        <f t="shared" si="30"/>
        <v>#DIV/0!</v>
      </c>
      <c r="AB329" s="272" t="e">
        <f t="shared" si="31"/>
        <v>#DIV/0!</v>
      </c>
      <c r="AC329" s="272" t="e">
        <f t="shared" si="32"/>
        <v>#DIV/0!</v>
      </c>
    </row>
    <row r="330" spans="1:29" x14ac:dyDescent="0.2">
      <c r="A330" s="106">
        <f>Cadastro!A334</f>
        <v>0</v>
      </c>
      <c r="B330" s="27">
        <f>Cadastro!E332</f>
        <v>0</v>
      </c>
      <c r="C330">
        <f>pH_água!C330</f>
        <v>0</v>
      </c>
      <c r="D330">
        <f>pH_KCl!B331</f>
        <v>0</v>
      </c>
      <c r="E330">
        <f>'pH CaCl2'!C330</f>
        <v>0</v>
      </c>
      <c r="F330" s="104">
        <f>P_Mehlich1!H315</f>
        <v>0</v>
      </c>
      <c r="G330" s="123">
        <f>P_resina!H335</f>
        <v>0</v>
      </c>
      <c r="H330" s="272">
        <f>K!G300</f>
        <v>0</v>
      </c>
      <c r="I330" s="125">
        <v>0</v>
      </c>
      <c r="J330" s="272">
        <f>'Ca2+'!G331</f>
        <v>0</v>
      </c>
      <c r="K330" s="272">
        <f>Mg²!G333</f>
        <v>0</v>
      </c>
      <c r="L330" s="279">
        <f>Al³!C332</f>
        <v>0</v>
      </c>
      <c r="M330" s="279">
        <f>'H + Al'!D332</f>
        <v>0</v>
      </c>
      <c r="N330" s="272">
        <f t="shared" si="25"/>
        <v>0</v>
      </c>
      <c r="O330" s="272">
        <f t="shared" si="26"/>
        <v>0</v>
      </c>
      <c r="P330" s="272">
        <f t="shared" si="27"/>
        <v>0</v>
      </c>
      <c r="Q330" s="293" t="e">
        <f t="shared" si="28"/>
        <v>#DIV/0!</v>
      </c>
      <c r="R330" s="293" t="e">
        <f t="shared" si="29"/>
        <v>#DIV/0!</v>
      </c>
      <c r="S330">
        <f>Prem!H332</f>
        <v>0</v>
      </c>
      <c r="T330" s="281">
        <f>S!H336</f>
        <v>0</v>
      </c>
      <c r="U330" s="274">
        <f>B!H331</f>
        <v>0</v>
      </c>
      <c r="V330" s="272">
        <f>Zn!G332</f>
        <v>0</v>
      </c>
      <c r="W330" s="272">
        <f>Cu!G332</f>
        <v>0</v>
      </c>
      <c r="X330" s="272">
        <f>Mn!G332</f>
        <v>0</v>
      </c>
      <c r="Y330" s="272">
        <f>Fe!G332</f>
        <v>0</v>
      </c>
      <c r="Z330" s="274">
        <f>M.O!H332</f>
        <v>0</v>
      </c>
      <c r="AA330" s="272" t="e">
        <f t="shared" si="30"/>
        <v>#DIV/0!</v>
      </c>
      <c r="AB330" s="272" t="e">
        <f t="shared" si="31"/>
        <v>#DIV/0!</v>
      </c>
      <c r="AC330" s="272" t="e">
        <f t="shared" si="32"/>
        <v>#DIV/0!</v>
      </c>
    </row>
    <row r="331" spans="1:29" x14ac:dyDescent="0.2">
      <c r="A331" s="106">
        <f>Cadastro!A335</f>
        <v>0</v>
      </c>
      <c r="B331" s="27">
        <f>Cadastro!E333</f>
        <v>0</v>
      </c>
      <c r="C331">
        <f>pH_água!C331</f>
        <v>0</v>
      </c>
      <c r="D331">
        <f>pH_KCl!B332</f>
        <v>0</v>
      </c>
      <c r="E331">
        <f>'pH CaCl2'!C331</f>
        <v>0</v>
      </c>
      <c r="F331" s="104">
        <f>P_Mehlich1!H316</f>
        <v>0</v>
      </c>
      <c r="G331" s="123">
        <f>P_resina!H336</f>
        <v>0</v>
      </c>
      <c r="H331" s="272">
        <f>K!G301</f>
        <v>0</v>
      </c>
      <c r="I331" s="125">
        <v>0</v>
      </c>
      <c r="J331" s="272">
        <f>'Ca2+'!G332</f>
        <v>0</v>
      </c>
      <c r="K331" s="272">
        <f>Mg²!G334</f>
        <v>0</v>
      </c>
      <c r="L331" s="279">
        <f>Al³!C333</f>
        <v>0</v>
      </c>
      <c r="M331" s="279">
        <f>'H + Al'!D333</f>
        <v>0</v>
      </c>
      <c r="N331" s="272">
        <f t="shared" si="25"/>
        <v>0</v>
      </c>
      <c r="O331" s="272">
        <f t="shared" si="26"/>
        <v>0</v>
      </c>
      <c r="P331" s="272">
        <f t="shared" si="27"/>
        <v>0</v>
      </c>
      <c r="Q331" s="293" t="e">
        <f t="shared" si="28"/>
        <v>#DIV/0!</v>
      </c>
      <c r="R331" s="293" t="e">
        <f t="shared" si="29"/>
        <v>#DIV/0!</v>
      </c>
      <c r="S331">
        <f>Prem!H333</f>
        <v>0</v>
      </c>
      <c r="T331" s="281">
        <f>S!H337</f>
        <v>0</v>
      </c>
      <c r="U331" s="274">
        <f>B!H332</f>
        <v>0</v>
      </c>
      <c r="V331" s="272">
        <f>Zn!G333</f>
        <v>0</v>
      </c>
      <c r="W331" s="272">
        <f>Cu!G333</f>
        <v>0</v>
      </c>
      <c r="X331" s="272">
        <f>Mn!G333</f>
        <v>0</v>
      </c>
      <c r="Y331" s="272">
        <f>Fe!G333</f>
        <v>0</v>
      </c>
      <c r="Z331" s="274">
        <f>M.O!H333</f>
        <v>0</v>
      </c>
      <c r="AA331" s="272" t="e">
        <f t="shared" si="30"/>
        <v>#DIV/0!</v>
      </c>
      <c r="AB331" s="272" t="e">
        <f t="shared" si="31"/>
        <v>#DIV/0!</v>
      </c>
      <c r="AC331" s="272" t="e">
        <f t="shared" si="32"/>
        <v>#DIV/0!</v>
      </c>
    </row>
    <row r="332" spans="1:29" x14ac:dyDescent="0.2">
      <c r="A332" s="106">
        <f>Cadastro!A336</f>
        <v>0</v>
      </c>
      <c r="B332" s="27">
        <f>Cadastro!E334</f>
        <v>0</v>
      </c>
      <c r="C332">
        <f>pH_água!C332</f>
        <v>0</v>
      </c>
      <c r="D332">
        <f>pH_KCl!B333</f>
        <v>0</v>
      </c>
      <c r="E332">
        <f>'pH CaCl2'!C332</f>
        <v>0</v>
      </c>
      <c r="F332" s="104">
        <f>P_Mehlich1!H317</f>
        <v>0</v>
      </c>
      <c r="G332" s="123">
        <f>P_resina!H337</f>
        <v>0</v>
      </c>
      <c r="H332" s="272">
        <f>K!G302</f>
        <v>0</v>
      </c>
      <c r="I332" s="125">
        <v>0</v>
      </c>
      <c r="J332" s="272">
        <f>'Ca2+'!G333</f>
        <v>0</v>
      </c>
      <c r="K332" s="272">
        <f>Mg²!G335</f>
        <v>0</v>
      </c>
      <c r="L332" s="279">
        <f>Al³!C334</f>
        <v>0</v>
      </c>
      <c r="M332" s="279">
        <f>'H + Al'!D334</f>
        <v>0</v>
      </c>
      <c r="N332" s="272">
        <f t="shared" si="25"/>
        <v>0</v>
      </c>
      <c r="O332" s="272">
        <f t="shared" si="26"/>
        <v>0</v>
      </c>
      <c r="P332" s="272">
        <f t="shared" si="27"/>
        <v>0</v>
      </c>
      <c r="Q332" s="293" t="e">
        <f t="shared" si="28"/>
        <v>#DIV/0!</v>
      </c>
      <c r="R332" s="293" t="e">
        <f t="shared" si="29"/>
        <v>#DIV/0!</v>
      </c>
      <c r="S332">
        <f>Prem!H334</f>
        <v>0</v>
      </c>
      <c r="T332" s="281">
        <f>S!H338</f>
        <v>0</v>
      </c>
      <c r="U332" s="274">
        <f>B!H333</f>
        <v>0</v>
      </c>
      <c r="V332" s="272">
        <f>Zn!G334</f>
        <v>0</v>
      </c>
      <c r="W332" s="272">
        <f>Cu!G334</f>
        <v>0</v>
      </c>
      <c r="X332" s="272">
        <f>Mn!G334</f>
        <v>0</v>
      </c>
      <c r="Y332" s="272">
        <f>Fe!G334</f>
        <v>0</v>
      </c>
      <c r="Z332" s="274">
        <f>M.O!H334</f>
        <v>0</v>
      </c>
      <c r="AA332" s="272" t="e">
        <f t="shared" si="30"/>
        <v>#DIV/0!</v>
      </c>
      <c r="AB332" s="272" t="e">
        <f t="shared" si="31"/>
        <v>#DIV/0!</v>
      </c>
      <c r="AC332" s="272" t="e">
        <f t="shared" si="32"/>
        <v>#DIV/0!</v>
      </c>
    </row>
    <row r="333" spans="1:29" x14ac:dyDescent="0.2">
      <c r="A333" s="106">
        <f>Cadastro!A337</f>
        <v>0</v>
      </c>
      <c r="B333" s="27">
        <f>Cadastro!E335</f>
        <v>0</v>
      </c>
      <c r="C333">
        <f>pH_água!C333</f>
        <v>0</v>
      </c>
      <c r="D333">
        <f>pH_KCl!B334</f>
        <v>0</v>
      </c>
      <c r="E333">
        <f>'pH CaCl2'!C333</f>
        <v>0</v>
      </c>
      <c r="F333" s="104">
        <f>P_Mehlich1!H318</f>
        <v>0</v>
      </c>
      <c r="G333" s="123">
        <f>P_resina!H338</f>
        <v>0</v>
      </c>
      <c r="H333" s="272">
        <f>K!G303</f>
        <v>0</v>
      </c>
      <c r="I333" s="125">
        <v>0</v>
      </c>
      <c r="J333" s="272">
        <f>'Ca2+'!G334</f>
        <v>0</v>
      </c>
      <c r="K333" s="272">
        <f>Mg²!G336</f>
        <v>0</v>
      </c>
      <c r="L333" s="279">
        <f>Al³!C335</f>
        <v>0</v>
      </c>
      <c r="M333" s="279">
        <f>'H + Al'!D335</f>
        <v>0</v>
      </c>
      <c r="N333" s="272">
        <f t="shared" si="25"/>
        <v>0</v>
      </c>
      <c r="O333" s="272">
        <f t="shared" si="26"/>
        <v>0</v>
      </c>
      <c r="P333" s="272">
        <f t="shared" si="27"/>
        <v>0</v>
      </c>
      <c r="Q333" s="293" t="e">
        <f t="shared" si="28"/>
        <v>#DIV/0!</v>
      </c>
      <c r="R333" s="293" t="e">
        <f t="shared" si="29"/>
        <v>#DIV/0!</v>
      </c>
      <c r="S333">
        <f>Prem!H335</f>
        <v>0</v>
      </c>
      <c r="T333" s="281">
        <f>S!H339</f>
        <v>0</v>
      </c>
      <c r="U333" s="274">
        <f>B!H334</f>
        <v>0</v>
      </c>
      <c r="V333" s="272">
        <f>Zn!G335</f>
        <v>0</v>
      </c>
      <c r="W333" s="272">
        <f>Cu!G335</f>
        <v>0</v>
      </c>
      <c r="X333" s="272">
        <f>Mn!G335</f>
        <v>0</v>
      </c>
      <c r="Y333" s="272">
        <f>Fe!G335</f>
        <v>0</v>
      </c>
      <c r="Z333" s="274">
        <f>M.O!H335</f>
        <v>0</v>
      </c>
      <c r="AA333" s="272" t="e">
        <f t="shared" si="30"/>
        <v>#DIV/0!</v>
      </c>
      <c r="AB333" s="272" t="e">
        <f t="shared" si="31"/>
        <v>#DIV/0!</v>
      </c>
      <c r="AC333" s="272" t="e">
        <f t="shared" si="32"/>
        <v>#DIV/0!</v>
      </c>
    </row>
    <row r="334" spans="1:29" x14ac:dyDescent="0.2">
      <c r="A334" s="106">
        <f>Cadastro!A338</f>
        <v>0</v>
      </c>
      <c r="B334" s="27">
        <f>Cadastro!E336</f>
        <v>0</v>
      </c>
      <c r="C334">
        <f>pH_água!C334</f>
        <v>0</v>
      </c>
      <c r="D334">
        <f>pH_KCl!B335</f>
        <v>0</v>
      </c>
      <c r="E334">
        <f>'pH CaCl2'!C334</f>
        <v>0</v>
      </c>
      <c r="F334" s="104">
        <f>P_Mehlich1!H319</f>
        <v>0</v>
      </c>
      <c r="G334" s="123">
        <f>P_resina!H339</f>
        <v>0</v>
      </c>
      <c r="H334" s="272">
        <f>K!G304</f>
        <v>0</v>
      </c>
      <c r="I334" s="125">
        <v>0</v>
      </c>
      <c r="J334" s="272">
        <f>'Ca2+'!G335</f>
        <v>0</v>
      </c>
      <c r="K334" s="272">
        <f>Mg²!G337</f>
        <v>0</v>
      </c>
      <c r="L334" s="279">
        <f>Al³!C336</f>
        <v>0</v>
      </c>
      <c r="M334" s="279">
        <f>'H + Al'!D336</f>
        <v>0</v>
      </c>
      <c r="N334" s="272">
        <f t="shared" si="25"/>
        <v>0</v>
      </c>
      <c r="O334" s="272">
        <f t="shared" si="26"/>
        <v>0</v>
      </c>
      <c r="P334" s="272">
        <f t="shared" si="27"/>
        <v>0</v>
      </c>
      <c r="Q334" s="293" t="e">
        <f t="shared" si="28"/>
        <v>#DIV/0!</v>
      </c>
      <c r="R334" s="293" t="e">
        <f t="shared" si="29"/>
        <v>#DIV/0!</v>
      </c>
      <c r="S334">
        <f>Prem!H336</f>
        <v>0</v>
      </c>
      <c r="T334" s="281">
        <f>S!H340</f>
        <v>0</v>
      </c>
      <c r="U334" s="274">
        <f>B!H335</f>
        <v>0</v>
      </c>
      <c r="V334" s="272">
        <f>Zn!G336</f>
        <v>0</v>
      </c>
      <c r="W334" s="272">
        <f>Cu!G336</f>
        <v>0</v>
      </c>
      <c r="X334" s="272">
        <f>Mn!G336</f>
        <v>0</v>
      </c>
      <c r="Y334" s="272">
        <f>Fe!G336</f>
        <v>0</v>
      </c>
      <c r="Z334" s="274">
        <f>M.O!H336</f>
        <v>0</v>
      </c>
      <c r="AA334" s="272" t="e">
        <f t="shared" si="30"/>
        <v>#DIV/0!</v>
      </c>
      <c r="AB334" s="272" t="e">
        <f t="shared" si="31"/>
        <v>#DIV/0!</v>
      </c>
      <c r="AC334" s="272" t="e">
        <f t="shared" si="32"/>
        <v>#DIV/0!</v>
      </c>
    </row>
    <row r="335" spans="1:29" x14ac:dyDescent="0.2">
      <c r="A335" s="106">
        <f>Cadastro!A339</f>
        <v>0</v>
      </c>
      <c r="B335" s="27">
        <f>Cadastro!E337</f>
        <v>0</v>
      </c>
      <c r="C335">
        <f>pH_água!C335</f>
        <v>0</v>
      </c>
      <c r="D335">
        <f>pH_KCl!B336</f>
        <v>0</v>
      </c>
      <c r="E335">
        <f>'pH CaCl2'!C335</f>
        <v>0</v>
      </c>
      <c r="F335" s="104">
        <f>P_Mehlich1!H320</f>
        <v>0</v>
      </c>
      <c r="G335" s="123">
        <f>P_resina!H340</f>
        <v>0</v>
      </c>
      <c r="H335" s="272">
        <f>K!G305</f>
        <v>0</v>
      </c>
      <c r="I335" s="125">
        <v>0</v>
      </c>
      <c r="J335" s="272">
        <f>'Ca2+'!G336</f>
        <v>0</v>
      </c>
      <c r="K335" s="272">
        <f>Mg²!G338</f>
        <v>0</v>
      </c>
      <c r="L335" s="279">
        <f>Al³!C337</f>
        <v>0</v>
      </c>
      <c r="M335" s="279">
        <f>'H + Al'!D337</f>
        <v>0</v>
      </c>
      <c r="N335" s="272">
        <f t="shared" si="25"/>
        <v>0</v>
      </c>
      <c r="O335" s="272">
        <f t="shared" si="26"/>
        <v>0</v>
      </c>
      <c r="P335" s="272">
        <f t="shared" si="27"/>
        <v>0</v>
      </c>
      <c r="Q335" s="293" t="e">
        <f t="shared" si="28"/>
        <v>#DIV/0!</v>
      </c>
      <c r="R335" s="293" t="e">
        <f t="shared" si="29"/>
        <v>#DIV/0!</v>
      </c>
      <c r="S335">
        <f>Prem!H337</f>
        <v>0</v>
      </c>
      <c r="T335" s="281">
        <f>S!H341</f>
        <v>0</v>
      </c>
      <c r="U335" s="274">
        <f>B!H336</f>
        <v>0</v>
      </c>
      <c r="V335" s="272">
        <f>Zn!G337</f>
        <v>0</v>
      </c>
      <c r="W335" s="272">
        <f>Cu!G337</f>
        <v>0</v>
      </c>
      <c r="X335" s="272">
        <f>Mn!G337</f>
        <v>0</v>
      </c>
      <c r="Y335" s="272">
        <f>Fe!G337</f>
        <v>0</v>
      </c>
      <c r="Z335" s="274">
        <f>M.O!H337</f>
        <v>0</v>
      </c>
      <c r="AA335" s="272" t="e">
        <f t="shared" si="30"/>
        <v>#DIV/0!</v>
      </c>
      <c r="AB335" s="272" t="e">
        <f t="shared" si="31"/>
        <v>#DIV/0!</v>
      </c>
      <c r="AC335" s="272" t="e">
        <f t="shared" si="32"/>
        <v>#DIV/0!</v>
      </c>
    </row>
    <row r="336" spans="1:29" x14ac:dyDescent="0.2">
      <c r="A336" s="106">
        <f>Cadastro!A340</f>
        <v>0</v>
      </c>
      <c r="B336" s="27">
        <f>Cadastro!E338</f>
        <v>0</v>
      </c>
      <c r="C336">
        <f>pH_água!C336</f>
        <v>0</v>
      </c>
      <c r="D336">
        <f>pH_KCl!B337</f>
        <v>0</v>
      </c>
      <c r="E336">
        <f>'pH CaCl2'!C336</f>
        <v>0</v>
      </c>
      <c r="F336" s="104">
        <f>P_Mehlich1!H321</f>
        <v>0</v>
      </c>
      <c r="G336" s="123">
        <f>P_resina!H341</f>
        <v>0</v>
      </c>
      <c r="H336" s="272">
        <f>K!G306</f>
        <v>0</v>
      </c>
      <c r="I336" s="125">
        <v>0</v>
      </c>
      <c r="J336" s="272">
        <f>'Ca2+'!G337</f>
        <v>0</v>
      </c>
      <c r="K336" s="272">
        <f>Mg²!G339</f>
        <v>0</v>
      </c>
      <c r="L336" s="279">
        <f>Al³!C338</f>
        <v>0</v>
      </c>
      <c r="M336" s="279">
        <f>'H + Al'!D338</f>
        <v>0</v>
      </c>
      <c r="N336" s="272">
        <f t="shared" si="25"/>
        <v>0</v>
      </c>
      <c r="O336" s="272">
        <f t="shared" si="26"/>
        <v>0</v>
      </c>
      <c r="P336" s="272">
        <f t="shared" si="27"/>
        <v>0</v>
      </c>
      <c r="Q336" s="293" t="e">
        <f t="shared" si="28"/>
        <v>#DIV/0!</v>
      </c>
      <c r="R336" s="293" t="e">
        <f t="shared" si="29"/>
        <v>#DIV/0!</v>
      </c>
      <c r="S336">
        <f>Prem!H338</f>
        <v>0</v>
      </c>
      <c r="T336" s="281">
        <f>S!H342</f>
        <v>0</v>
      </c>
      <c r="U336" s="274">
        <f>B!H337</f>
        <v>0</v>
      </c>
      <c r="V336" s="272">
        <f>Zn!G338</f>
        <v>0</v>
      </c>
      <c r="W336" s="272">
        <f>Cu!G338</f>
        <v>0</v>
      </c>
      <c r="X336" s="272">
        <f>Mn!G338</f>
        <v>0</v>
      </c>
      <c r="Y336" s="272">
        <f>Fe!G338</f>
        <v>0</v>
      </c>
      <c r="Z336" s="274">
        <f>M.O!H338</f>
        <v>0</v>
      </c>
      <c r="AA336" s="272" t="e">
        <f t="shared" si="30"/>
        <v>#DIV/0!</v>
      </c>
      <c r="AB336" s="272" t="e">
        <f t="shared" si="31"/>
        <v>#DIV/0!</v>
      </c>
      <c r="AC336" s="272" t="e">
        <f t="shared" si="32"/>
        <v>#DIV/0!</v>
      </c>
    </row>
    <row r="337" spans="1:29" x14ac:dyDescent="0.2">
      <c r="A337" s="106">
        <f>Cadastro!A341</f>
        <v>0</v>
      </c>
      <c r="B337" s="27">
        <f>Cadastro!E339</f>
        <v>0</v>
      </c>
      <c r="C337">
        <f>pH_água!C337</f>
        <v>0</v>
      </c>
      <c r="D337">
        <f>pH_KCl!B338</f>
        <v>0</v>
      </c>
      <c r="E337">
        <f>'pH CaCl2'!C337</f>
        <v>0</v>
      </c>
      <c r="F337" s="104">
        <f>P_Mehlich1!H322</f>
        <v>0</v>
      </c>
      <c r="G337" s="123">
        <f>P_resina!H342</f>
        <v>0</v>
      </c>
      <c r="H337" s="272">
        <f>K!G307</f>
        <v>0</v>
      </c>
      <c r="I337" s="125">
        <v>0</v>
      </c>
      <c r="J337" s="272">
        <f>'Ca2+'!G338</f>
        <v>0</v>
      </c>
      <c r="K337" s="272">
        <f>Mg²!G340</f>
        <v>0</v>
      </c>
      <c r="L337" s="279">
        <f>Al³!C339</f>
        <v>0</v>
      </c>
      <c r="M337" s="279">
        <f>'H + Al'!D339</f>
        <v>0</v>
      </c>
      <c r="N337" s="272">
        <f t="shared" si="25"/>
        <v>0</v>
      </c>
      <c r="O337" s="272">
        <f t="shared" si="26"/>
        <v>0</v>
      </c>
      <c r="P337" s="272">
        <f t="shared" si="27"/>
        <v>0</v>
      </c>
      <c r="Q337" s="293" t="e">
        <f t="shared" si="28"/>
        <v>#DIV/0!</v>
      </c>
      <c r="R337" s="293" t="e">
        <f t="shared" si="29"/>
        <v>#DIV/0!</v>
      </c>
      <c r="S337">
        <f>Prem!H339</f>
        <v>0</v>
      </c>
      <c r="T337" s="281">
        <f>S!H343</f>
        <v>0</v>
      </c>
      <c r="U337" s="274">
        <f>B!H338</f>
        <v>0</v>
      </c>
      <c r="V337" s="272">
        <f>Zn!G339</f>
        <v>0</v>
      </c>
      <c r="W337" s="272">
        <f>Cu!G339</f>
        <v>0</v>
      </c>
      <c r="X337" s="272">
        <f>Mn!G339</f>
        <v>0</v>
      </c>
      <c r="Y337" s="272">
        <f>Fe!G339</f>
        <v>0</v>
      </c>
      <c r="Z337" s="274">
        <f>M.O!H339</f>
        <v>0</v>
      </c>
      <c r="AA337" s="272" t="e">
        <f t="shared" si="30"/>
        <v>#DIV/0!</v>
      </c>
      <c r="AB337" s="272" t="e">
        <f t="shared" si="31"/>
        <v>#DIV/0!</v>
      </c>
      <c r="AC337" s="272" t="e">
        <f t="shared" si="32"/>
        <v>#DIV/0!</v>
      </c>
    </row>
    <row r="338" spans="1:29" x14ac:dyDescent="0.2">
      <c r="A338" s="106">
        <f>Cadastro!A342</f>
        <v>0</v>
      </c>
      <c r="B338" s="27">
        <f>Cadastro!E340</f>
        <v>0</v>
      </c>
      <c r="C338">
        <f>pH_água!C338</f>
        <v>0</v>
      </c>
      <c r="D338">
        <f>pH_KCl!B339</f>
        <v>0</v>
      </c>
      <c r="E338">
        <f>'pH CaCl2'!C338</f>
        <v>0</v>
      </c>
      <c r="F338" s="104">
        <f>P_Mehlich1!H323</f>
        <v>0</v>
      </c>
      <c r="G338" s="123">
        <f>P_resina!H343</f>
        <v>0</v>
      </c>
      <c r="H338" s="272">
        <f>K!G308</f>
        <v>0</v>
      </c>
      <c r="I338" s="125">
        <v>0</v>
      </c>
      <c r="J338" s="272">
        <f>'Ca2+'!G339</f>
        <v>0</v>
      </c>
      <c r="K338" s="272">
        <f>Mg²!G341</f>
        <v>0</v>
      </c>
      <c r="L338" s="279">
        <f>Al³!C340</f>
        <v>0</v>
      </c>
      <c r="M338" s="279">
        <f>'H + Al'!D340</f>
        <v>0</v>
      </c>
      <c r="N338" s="272">
        <f t="shared" si="25"/>
        <v>0</v>
      </c>
      <c r="O338" s="272">
        <f t="shared" si="26"/>
        <v>0</v>
      </c>
      <c r="P338" s="272">
        <f t="shared" si="27"/>
        <v>0</v>
      </c>
      <c r="Q338" s="293" t="e">
        <f t="shared" si="28"/>
        <v>#DIV/0!</v>
      </c>
      <c r="R338" s="293" t="e">
        <f t="shared" si="29"/>
        <v>#DIV/0!</v>
      </c>
      <c r="S338">
        <f>Prem!H340</f>
        <v>0</v>
      </c>
      <c r="T338" s="281">
        <f>S!H344</f>
        <v>0</v>
      </c>
      <c r="U338" s="274">
        <f>B!H339</f>
        <v>0</v>
      </c>
      <c r="V338" s="272">
        <f>Zn!G340</f>
        <v>0</v>
      </c>
      <c r="W338" s="272">
        <f>Cu!G340</f>
        <v>0</v>
      </c>
      <c r="X338" s="272">
        <f>Mn!G340</f>
        <v>0</v>
      </c>
      <c r="Y338" s="272">
        <f>Fe!G340</f>
        <v>0</v>
      </c>
      <c r="Z338" s="274">
        <f>M.O!H340</f>
        <v>0</v>
      </c>
      <c r="AA338" s="272" t="e">
        <f t="shared" si="30"/>
        <v>#DIV/0!</v>
      </c>
      <c r="AB338" s="272" t="e">
        <f t="shared" si="31"/>
        <v>#DIV/0!</v>
      </c>
      <c r="AC338" s="272" t="e">
        <f t="shared" si="32"/>
        <v>#DIV/0!</v>
      </c>
    </row>
    <row r="339" spans="1:29" x14ac:dyDescent="0.2">
      <c r="A339" s="106">
        <f>Cadastro!A343</f>
        <v>0</v>
      </c>
      <c r="B339" s="27">
        <f>Cadastro!E341</f>
        <v>0</v>
      </c>
      <c r="C339">
        <f>pH_água!C339</f>
        <v>0</v>
      </c>
      <c r="D339">
        <f>pH_KCl!B340</f>
        <v>0</v>
      </c>
      <c r="E339">
        <f>'pH CaCl2'!C339</f>
        <v>0</v>
      </c>
      <c r="F339" s="104">
        <f>P_Mehlich1!H324</f>
        <v>0</v>
      </c>
      <c r="G339" s="123">
        <f>P_resina!H344</f>
        <v>0</v>
      </c>
      <c r="H339" s="272">
        <f>K!G309</f>
        <v>0</v>
      </c>
      <c r="I339" s="125">
        <v>0</v>
      </c>
      <c r="J339" s="272">
        <f>'Ca2+'!G340</f>
        <v>0</v>
      </c>
      <c r="K339" s="272">
        <f>Mg²!G342</f>
        <v>0</v>
      </c>
      <c r="L339" s="279">
        <f>Al³!C341</f>
        <v>0</v>
      </c>
      <c r="M339" s="279">
        <f>'H + Al'!D341</f>
        <v>0</v>
      </c>
      <c r="N339" s="272">
        <f t="shared" si="25"/>
        <v>0</v>
      </c>
      <c r="O339" s="272">
        <f t="shared" si="26"/>
        <v>0</v>
      </c>
      <c r="P339" s="272">
        <f t="shared" si="27"/>
        <v>0</v>
      </c>
      <c r="Q339" s="293" t="e">
        <f t="shared" si="28"/>
        <v>#DIV/0!</v>
      </c>
      <c r="R339" s="293" t="e">
        <f t="shared" si="29"/>
        <v>#DIV/0!</v>
      </c>
      <c r="S339">
        <f>Prem!H341</f>
        <v>0</v>
      </c>
      <c r="T339" s="281">
        <f>S!H345</f>
        <v>0</v>
      </c>
      <c r="U339" s="274">
        <f>B!H340</f>
        <v>0</v>
      </c>
      <c r="V339" s="272">
        <f>Zn!G341</f>
        <v>0</v>
      </c>
      <c r="W339" s="272">
        <f>Cu!G341</f>
        <v>0</v>
      </c>
      <c r="X339" s="272">
        <f>Mn!G341</f>
        <v>0</v>
      </c>
      <c r="Y339" s="272">
        <f>Fe!G341</f>
        <v>0</v>
      </c>
      <c r="Z339" s="274">
        <f>M.O!H341</f>
        <v>0</v>
      </c>
      <c r="AA339" s="272" t="e">
        <f t="shared" si="30"/>
        <v>#DIV/0!</v>
      </c>
      <c r="AB339" s="272" t="e">
        <f t="shared" si="31"/>
        <v>#DIV/0!</v>
      </c>
      <c r="AC339" s="272" t="e">
        <f t="shared" si="32"/>
        <v>#DIV/0!</v>
      </c>
    </row>
    <row r="340" spans="1:29" x14ac:dyDescent="0.2">
      <c r="A340" s="106">
        <f>Cadastro!A344</f>
        <v>0</v>
      </c>
      <c r="B340" s="27">
        <f>Cadastro!E342</f>
        <v>0</v>
      </c>
      <c r="C340">
        <f>pH_água!C340</f>
        <v>0</v>
      </c>
      <c r="D340">
        <f>pH_KCl!B341</f>
        <v>0</v>
      </c>
      <c r="E340">
        <f>'pH CaCl2'!C340</f>
        <v>0</v>
      </c>
      <c r="F340" s="104">
        <f>P_Mehlich1!H325</f>
        <v>0</v>
      </c>
      <c r="G340" s="123">
        <f>P_resina!H345</f>
        <v>0</v>
      </c>
      <c r="H340" s="272">
        <f>K!G310</f>
        <v>0</v>
      </c>
      <c r="I340" s="125">
        <v>0</v>
      </c>
      <c r="J340" s="272">
        <f>'Ca2+'!G341</f>
        <v>0</v>
      </c>
      <c r="K340" s="272">
        <f>Mg²!G343</f>
        <v>0</v>
      </c>
      <c r="L340" s="279">
        <f>Al³!C342</f>
        <v>0</v>
      </c>
      <c r="M340" s="279">
        <f>'H + Al'!D342</f>
        <v>0</v>
      </c>
      <c r="N340" s="272">
        <f t="shared" si="25"/>
        <v>0</v>
      </c>
      <c r="O340" s="272">
        <f t="shared" si="26"/>
        <v>0</v>
      </c>
      <c r="P340" s="272">
        <f t="shared" si="27"/>
        <v>0</v>
      </c>
      <c r="Q340" s="293" t="e">
        <f t="shared" si="28"/>
        <v>#DIV/0!</v>
      </c>
      <c r="R340" s="293" t="e">
        <f t="shared" si="29"/>
        <v>#DIV/0!</v>
      </c>
      <c r="S340">
        <f>Prem!H342</f>
        <v>0</v>
      </c>
      <c r="T340" s="281">
        <f>S!H346</f>
        <v>0</v>
      </c>
      <c r="U340" s="274">
        <f>B!H341</f>
        <v>0</v>
      </c>
      <c r="V340" s="272">
        <f>Zn!G342</f>
        <v>0</v>
      </c>
      <c r="W340" s="272">
        <f>Cu!G342</f>
        <v>0</v>
      </c>
      <c r="X340" s="272">
        <f>Mn!G342</f>
        <v>0</v>
      </c>
      <c r="Y340" s="272">
        <f>Fe!G342</f>
        <v>0</v>
      </c>
      <c r="Z340" s="274">
        <f>M.O!H342</f>
        <v>0</v>
      </c>
      <c r="AA340" s="272" t="e">
        <f t="shared" si="30"/>
        <v>#DIV/0!</v>
      </c>
      <c r="AB340" s="272" t="e">
        <f t="shared" si="31"/>
        <v>#DIV/0!</v>
      </c>
      <c r="AC340" s="272" t="e">
        <f t="shared" si="32"/>
        <v>#DIV/0!</v>
      </c>
    </row>
    <row r="341" spans="1:29" x14ac:dyDescent="0.2">
      <c r="A341" s="106">
        <f>Cadastro!A345</f>
        <v>0</v>
      </c>
      <c r="B341" s="27">
        <f>Cadastro!E343</f>
        <v>0</v>
      </c>
      <c r="C341">
        <f>pH_água!C341</f>
        <v>0</v>
      </c>
      <c r="D341">
        <f>pH_KCl!B342</f>
        <v>0</v>
      </c>
      <c r="E341">
        <f>'pH CaCl2'!C341</f>
        <v>0</v>
      </c>
      <c r="F341" s="104">
        <f>P_Mehlich1!H326</f>
        <v>0</v>
      </c>
      <c r="G341" s="123">
        <f>P_resina!H346</f>
        <v>0</v>
      </c>
      <c r="H341" s="272">
        <f>K!G311</f>
        <v>0</v>
      </c>
      <c r="I341" s="125">
        <v>0</v>
      </c>
      <c r="J341" s="272">
        <f>'Ca2+'!G342</f>
        <v>0</v>
      </c>
      <c r="K341" s="272">
        <f>Mg²!G344</f>
        <v>0</v>
      </c>
      <c r="L341" s="279">
        <f>Al³!C343</f>
        <v>0</v>
      </c>
      <c r="M341" s="279">
        <f>'H + Al'!D343</f>
        <v>0</v>
      </c>
      <c r="N341" s="272">
        <f t="shared" si="25"/>
        <v>0</v>
      </c>
      <c r="O341" s="272">
        <f t="shared" si="26"/>
        <v>0</v>
      </c>
      <c r="P341" s="272">
        <f t="shared" si="27"/>
        <v>0</v>
      </c>
      <c r="Q341" s="293" t="e">
        <f t="shared" si="28"/>
        <v>#DIV/0!</v>
      </c>
      <c r="R341" s="293" t="e">
        <f t="shared" si="29"/>
        <v>#DIV/0!</v>
      </c>
      <c r="S341">
        <f>Prem!H343</f>
        <v>0</v>
      </c>
      <c r="T341" s="281">
        <f>S!H347</f>
        <v>0</v>
      </c>
      <c r="U341" s="274">
        <f>B!H342</f>
        <v>0</v>
      </c>
      <c r="V341" s="272">
        <f>Zn!G343</f>
        <v>0</v>
      </c>
      <c r="W341" s="272">
        <f>Cu!G343</f>
        <v>0</v>
      </c>
      <c r="X341" s="272">
        <f>Mn!G343</f>
        <v>0</v>
      </c>
      <c r="Y341" s="272">
        <f>Fe!G343</f>
        <v>0</v>
      </c>
      <c r="Z341" s="274">
        <f>M.O!H343</f>
        <v>0</v>
      </c>
      <c r="AA341" s="272" t="e">
        <f t="shared" si="30"/>
        <v>#DIV/0!</v>
      </c>
      <c r="AB341" s="272" t="e">
        <f t="shared" si="31"/>
        <v>#DIV/0!</v>
      </c>
      <c r="AC341" s="272" t="e">
        <f t="shared" si="32"/>
        <v>#DIV/0!</v>
      </c>
    </row>
    <row r="342" spans="1:29" x14ac:dyDescent="0.2">
      <c r="A342" s="106">
        <f>Cadastro!A346</f>
        <v>0</v>
      </c>
      <c r="B342" s="27">
        <f>Cadastro!E344</f>
        <v>0</v>
      </c>
      <c r="C342">
        <f>pH_água!C342</f>
        <v>0</v>
      </c>
      <c r="D342">
        <f>pH_KCl!B343</f>
        <v>0</v>
      </c>
      <c r="E342">
        <f>'pH CaCl2'!C342</f>
        <v>0</v>
      </c>
      <c r="F342" s="104">
        <f>P_Mehlich1!H327</f>
        <v>0</v>
      </c>
      <c r="G342" s="123">
        <f>P_resina!H347</f>
        <v>0</v>
      </c>
      <c r="H342" s="272">
        <f>K!G312</f>
        <v>0</v>
      </c>
      <c r="I342" s="125">
        <v>0</v>
      </c>
      <c r="J342" s="272">
        <f>'Ca2+'!G343</f>
        <v>0</v>
      </c>
      <c r="K342" s="272">
        <f>Mg²!G345</f>
        <v>0</v>
      </c>
      <c r="L342" s="279">
        <f>Al³!C344</f>
        <v>0</v>
      </c>
      <c r="M342" s="279">
        <f>'H + Al'!D344</f>
        <v>0</v>
      </c>
      <c r="N342" s="272">
        <f t="shared" si="25"/>
        <v>0</v>
      </c>
      <c r="O342" s="272">
        <f t="shared" si="26"/>
        <v>0</v>
      </c>
      <c r="P342" s="272">
        <f t="shared" si="27"/>
        <v>0</v>
      </c>
      <c r="Q342" s="293" t="e">
        <f t="shared" si="28"/>
        <v>#DIV/0!</v>
      </c>
      <c r="R342" s="293" t="e">
        <f t="shared" si="29"/>
        <v>#DIV/0!</v>
      </c>
      <c r="S342">
        <f>Prem!H344</f>
        <v>0</v>
      </c>
      <c r="T342" s="281">
        <f>S!H348</f>
        <v>0</v>
      </c>
      <c r="U342" s="274">
        <f>B!H343</f>
        <v>0</v>
      </c>
      <c r="V342" s="272">
        <f>Zn!G344</f>
        <v>0</v>
      </c>
      <c r="W342" s="272">
        <f>Cu!G344</f>
        <v>0</v>
      </c>
      <c r="X342" s="272">
        <f>Mn!G344</f>
        <v>0</v>
      </c>
      <c r="Y342" s="272">
        <f>Fe!G344</f>
        <v>0</v>
      </c>
      <c r="Z342" s="274">
        <f>M.O!H344</f>
        <v>0</v>
      </c>
      <c r="AA342" s="272" t="e">
        <f t="shared" si="30"/>
        <v>#DIV/0!</v>
      </c>
      <c r="AB342" s="272" t="e">
        <f t="shared" si="31"/>
        <v>#DIV/0!</v>
      </c>
      <c r="AC342" s="272" t="e">
        <f t="shared" si="32"/>
        <v>#DIV/0!</v>
      </c>
    </row>
    <row r="343" spans="1:29" x14ac:dyDescent="0.2">
      <c r="A343" s="106">
        <f>Cadastro!A347</f>
        <v>0</v>
      </c>
      <c r="B343" s="27">
        <f>Cadastro!E345</f>
        <v>0</v>
      </c>
      <c r="C343">
        <f>pH_água!C343</f>
        <v>0</v>
      </c>
      <c r="D343">
        <f>pH_KCl!B344</f>
        <v>0</v>
      </c>
      <c r="E343">
        <f>'pH CaCl2'!C343</f>
        <v>0</v>
      </c>
      <c r="F343" s="104">
        <f>P_Mehlich1!H328</f>
        <v>0</v>
      </c>
      <c r="G343" s="123">
        <f>P_resina!H348</f>
        <v>0</v>
      </c>
      <c r="H343" s="272">
        <f>K!G313</f>
        <v>0</v>
      </c>
      <c r="I343" s="125">
        <v>0</v>
      </c>
      <c r="J343" s="272">
        <f>'Ca2+'!G344</f>
        <v>0</v>
      </c>
      <c r="K343" s="272">
        <f>Mg²!G346</f>
        <v>0</v>
      </c>
      <c r="L343" s="279">
        <f>Al³!C345</f>
        <v>0</v>
      </c>
      <c r="M343" s="279">
        <f>'H + Al'!D345</f>
        <v>0</v>
      </c>
      <c r="N343" s="272">
        <f t="shared" si="25"/>
        <v>0</v>
      </c>
      <c r="O343" s="272">
        <f t="shared" si="26"/>
        <v>0</v>
      </c>
      <c r="P343" s="272">
        <f t="shared" si="27"/>
        <v>0</v>
      </c>
      <c r="Q343" s="293" t="e">
        <f t="shared" si="28"/>
        <v>#DIV/0!</v>
      </c>
      <c r="R343" s="293" t="e">
        <f t="shared" si="29"/>
        <v>#DIV/0!</v>
      </c>
      <c r="S343">
        <f>Prem!H345</f>
        <v>0</v>
      </c>
      <c r="T343" s="281">
        <f>S!H349</f>
        <v>0</v>
      </c>
      <c r="U343" s="274">
        <f>B!H344</f>
        <v>0</v>
      </c>
      <c r="V343" s="272">
        <f>Zn!G345</f>
        <v>0</v>
      </c>
      <c r="W343" s="272">
        <f>Cu!G345</f>
        <v>0</v>
      </c>
      <c r="X343" s="272">
        <f>Mn!G345</f>
        <v>0</v>
      </c>
      <c r="Y343" s="272">
        <f>Fe!G345</f>
        <v>0</v>
      </c>
      <c r="Z343" s="274">
        <f>M.O!H345</f>
        <v>0</v>
      </c>
      <c r="AA343" s="272" t="e">
        <f t="shared" si="30"/>
        <v>#DIV/0!</v>
      </c>
      <c r="AB343" s="272" t="e">
        <f t="shared" si="31"/>
        <v>#DIV/0!</v>
      </c>
      <c r="AC343" s="272" t="e">
        <f t="shared" si="32"/>
        <v>#DIV/0!</v>
      </c>
    </row>
    <row r="344" spans="1:29" x14ac:dyDescent="0.2">
      <c r="A344" s="106">
        <f>Cadastro!A348</f>
        <v>0</v>
      </c>
      <c r="B344" s="27">
        <f>Cadastro!E346</f>
        <v>0</v>
      </c>
      <c r="C344">
        <f>pH_água!C344</f>
        <v>0</v>
      </c>
      <c r="D344">
        <f>pH_KCl!B345</f>
        <v>0</v>
      </c>
      <c r="E344">
        <f>'pH CaCl2'!C344</f>
        <v>0</v>
      </c>
      <c r="F344" s="104">
        <f>P_Mehlich1!H329</f>
        <v>0</v>
      </c>
      <c r="G344" s="123">
        <f>P_resina!H349</f>
        <v>0</v>
      </c>
      <c r="H344" s="272">
        <f>K!G314</f>
        <v>0</v>
      </c>
      <c r="I344" s="125">
        <v>0</v>
      </c>
      <c r="J344" s="272">
        <f>'Ca2+'!G345</f>
        <v>0</v>
      </c>
      <c r="K344" s="272">
        <f>Mg²!G347</f>
        <v>0</v>
      </c>
      <c r="L344" s="279">
        <f>Al³!C346</f>
        <v>0</v>
      </c>
      <c r="M344" s="279">
        <f>'H + Al'!D346</f>
        <v>0</v>
      </c>
      <c r="N344" s="272">
        <f t="shared" si="25"/>
        <v>0</v>
      </c>
      <c r="O344" s="272">
        <f t="shared" si="26"/>
        <v>0</v>
      </c>
      <c r="P344" s="272">
        <f t="shared" si="27"/>
        <v>0</v>
      </c>
      <c r="Q344" s="293" t="e">
        <f t="shared" si="28"/>
        <v>#DIV/0!</v>
      </c>
      <c r="R344" s="293" t="e">
        <f t="shared" si="29"/>
        <v>#DIV/0!</v>
      </c>
      <c r="S344">
        <f>Prem!H346</f>
        <v>0</v>
      </c>
      <c r="T344" s="281">
        <f>S!H350</f>
        <v>0</v>
      </c>
      <c r="U344" s="274">
        <f>B!H345</f>
        <v>0</v>
      </c>
      <c r="V344" s="272">
        <f>Zn!G346</f>
        <v>0</v>
      </c>
      <c r="W344" s="272">
        <f>Cu!G346</f>
        <v>0</v>
      </c>
      <c r="X344" s="272">
        <f>Mn!G346</f>
        <v>0</v>
      </c>
      <c r="Y344" s="272">
        <f>Fe!G346</f>
        <v>0</v>
      </c>
      <c r="Z344" s="274">
        <f>M.O!H346</f>
        <v>0</v>
      </c>
      <c r="AA344" s="272" t="e">
        <f t="shared" si="30"/>
        <v>#DIV/0!</v>
      </c>
      <c r="AB344" s="272" t="e">
        <f t="shared" si="31"/>
        <v>#DIV/0!</v>
      </c>
      <c r="AC344" s="272" t="e">
        <f t="shared" si="32"/>
        <v>#DIV/0!</v>
      </c>
    </row>
    <row r="345" spans="1:29" x14ac:dyDescent="0.2">
      <c r="A345" s="106">
        <f>Cadastro!A349</f>
        <v>0</v>
      </c>
      <c r="B345" s="27">
        <f>Cadastro!E347</f>
        <v>0</v>
      </c>
      <c r="C345">
        <f>pH_água!C345</f>
        <v>0</v>
      </c>
      <c r="D345">
        <f>pH_KCl!B346</f>
        <v>0</v>
      </c>
      <c r="E345">
        <f>'pH CaCl2'!C345</f>
        <v>0</v>
      </c>
      <c r="F345" s="104">
        <f>P_Mehlich1!H330</f>
        <v>0</v>
      </c>
      <c r="G345" s="123">
        <f>P_resina!H350</f>
        <v>0</v>
      </c>
      <c r="H345" s="272">
        <f>K!G315</f>
        <v>0</v>
      </c>
      <c r="I345" s="125">
        <v>0</v>
      </c>
      <c r="J345" s="272">
        <f>'Ca2+'!G346</f>
        <v>0</v>
      </c>
      <c r="K345" s="272">
        <f>Mg²!G348</f>
        <v>0</v>
      </c>
      <c r="L345" s="279">
        <f>Al³!C347</f>
        <v>0</v>
      </c>
      <c r="M345" s="279">
        <f>'H + Al'!D347</f>
        <v>0</v>
      </c>
      <c r="N345" s="272">
        <f t="shared" si="25"/>
        <v>0</v>
      </c>
      <c r="O345" s="272">
        <f t="shared" si="26"/>
        <v>0</v>
      </c>
      <c r="P345" s="272">
        <f t="shared" si="27"/>
        <v>0</v>
      </c>
      <c r="Q345" s="293" t="e">
        <f t="shared" si="28"/>
        <v>#DIV/0!</v>
      </c>
      <c r="R345" s="293" t="e">
        <f t="shared" si="29"/>
        <v>#DIV/0!</v>
      </c>
      <c r="S345">
        <f>Prem!H347</f>
        <v>0</v>
      </c>
      <c r="T345" s="281">
        <f>S!H351</f>
        <v>0</v>
      </c>
      <c r="U345" s="274">
        <f>B!H346</f>
        <v>0</v>
      </c>
      <c r="V345" s="272">
        <f>Zn!G347</f>
        <v>0</v>
      </c>
      <c r="W345" s="272">
        <f>Cu!G347</f>
        <v>0</v>
      </c>
      <c r="X345" s="272">
        <f>Mn!G347</f>
        <v>0</v>
      </c>
      <c r="Y345" s="272">
        <f>Fe!G347</f>
        <v>0</v>
      </c>
      <c r="Z345" s="274">
        <f>M.O!H347</f>
        <v>0</v>
      </c>
      <c r="AA345" s="272" t="e">
        <f t="shared" si="30"/>
        <v>#DIV/0!</v>
      </c>
      <c r="AB345" s="272" t="e">
        <f t="shared" si="31"/>
        <v>#DIV/0!</v>
      </c>
      <c r="AC345" s="272" t="e">
        <f t="shared" si="32"/>
        <v>#DIV/0!</v>
      </c>
    </row>
    <row r="346" spans="1:29" x14ac:dyDescent="0.2">
      <c r="A346" s="106">
        <f>Cadastro!A350</f>
        <v>0</v>
      </c>
      <c r="B346" s="27">
        <f>Cadastro!E348</f>
        <v>0</v>
      </c>
      <c r="C346">
        <f>pH_água!C346</f>
        <v>0</v>
      </c>
      <c r="D346">
        <f>pH_KCl!B347</f>
        <v>0</v>
      </c>
      <c r="E346">
        <f>'pH CaCl2'!C346</f>
        <v>0</v>
      </c>
      <c r="F346" s="104">
        <f>P_Mehlich1!H331</f>
        <v>0</v>
      </c>
      <c r="G346" s="123">
        <f>P_resina!H351</f>
        <v>0</v>
      </c>
      <c r="H346" s="272">
        <f>K!G316</f>
        <v>0</v>
      </c>
      <c r="I346" s="125">
        <v>0</v>
      </c>
      <c r="J346" s="272">
        <f>'Ca2+'!G347</f>
        <v>0</v>
      </c>
      <c r="K346" s="272">
        <f>Mg²!G349</f>
        <v>0</v>
      </c>
      <c r="L346" s="279">
        <f>Al³!C348</f>
        <v>0</v>
      </c>
      <c r="M346" s="279">
        <f>'H + Al'!D348</f>
        <v>0</v>
      </c>
      <c r="N346" s="272">
        <f t="shared" si="25"/>
        <v>0</v>
      </c>
      <c r="O346" s="272">
        <f t="shared" si="26"/>
        <v>0</v>
      </c>
      <c r="P346" s="272">
        <f t="shared" si="27"/>
        <v>0</v>
      </c>
      <c r="Q346" s="293" t="e">
        <f t="shared" si="28"/>
        <v>#DIV/0!</v>
      </c>
      <c r="R346" s="293" t="e">
        <f t="shared" si="29"/>
        <v>#DIV/0!</v>
      </c>
      <c r="S346">
        <f>Prem!H348</f>
        <v>0</v>
      </c>
      <c r="T346" s="281">
        <f>S!H352</f>
        <v>0</v>
      </c>
      <c r="U346" s="274">
        <f>B!H347</f>
        <v>0</v>
      </c>
      <c r="V346" s="272">
        <f>Zn!G348</f>
        <v>0</v>
      </c>
      <c r="W346" s="272">
        <f>Cu!G348</f>
        <v>0</v>
      </c>
      <c r="X346" s="272">
        <f>Mn!G348</f>
        <v>0</v>
      </c>
      <c r="Y346" s="272">
        <f>Fe!G348</f>
        <v>0</v>
      </c>
      <c r="Z346" s="274">
        <f>M.O!H348</f>
        <v>0</v>
      </c>
      <c r="AA346" s="272" t="e">
        <f t="shared" si="30"/>
        <v>#DIV/0!</v>
      </c>
      <c r="AB346" s="272" t="e">
        <f t="shared" si="31"/>
        <v>#DIV/0!</v>
      </c>
      <c r="AC346" s="272" t="e">
        <f t="shared" si="32"/>
        <v>#DIV/0!</v>
      </c>
    </row>
    <row r="347" spans="1:29" x14ac:dyDescent="0.2">
      <c r="A347" s="106">
        <f>Cadastro!A351</f>
        <v>0</v>
      </c>
      <c r="B347" s="27">
        <f>Cadastro!E349</f>
        <v>0</v>
      </c>
      <c r="C347">
        <f>pH_água!C347</f>
        <v>0</v>
      </c>
      <c r="D347">
        <f>pH_KCl!B348</f>
        <v>0</v>
      </c>
      <c r="E347">
        <f>'pH CaCl2'!C347</f>
        <v>0</v>
      </c>
      <c r="F347" s="104">
        <f>P_Mehlich1!H332</f>
        <v>0</v>
      </c>
      <c r="G347" s="123">
        <f>P_resina!H352</f>
        <v>0</v>
      </c>
      <c r="H347" s="272">
        <f>K!G317</f>
        <v>0</v>
      </c>
      <c r="I347" s="125">
        <v>0</v>
      </c>
      <c r="J347" s="272">
        <f>'Ca2+'!G348</f>
        <v>0</v>
      </c>
      <c r="K347" s="272">
        <f>Mg²!G350</f>
        <v>0</v>
      </c>
      <c r="L347" s="279">
        <f>Al³!C349</f>
        <v>0</v>
      </c>
      <c r="M347" s="279">
        <f>'H + Al'!D349</f>
        <v>0</v>
      </c>
      <c r="N347" s="272">
        <f t="shared" si="25"/>
        <v>0</v>
      </c>
      <c r="O347" s="272">
        <f t="shared" si="26"/>
        <v>0</v>
      </c>
      <c r="P347" s="272">
        <f t="shared" si="27"/>
        <v>0</v>
      </c>
      <c r="Q347" s="293" t="e">
        <f t="shared" si="28"/>
        <v>#DIV/0!</v>
      </c>
      <c r="R347" s="293" t="e">
        <f t="shared" si="29"/>
        <v>#DIV/0!</v>
      </c>
      <c r="S347">
        <f>Prem!H349</f>
        <v>0</v>
      </c>
      <c r="T347" s="281">
        <f>S!H353</f>
        <v>0</v>
      </c>
      <c r="U347" s="274">
        <f>B!H348</f>
        <v>0</v>
      </c>
      <c r="V347" s="272">
        <f>Zn!G349</f>
        <v>0</v>
      </c>
      <c r="W347" s="272">
        <f>Cu!G349</f>
        <v>0</v>
      </c>
      <c r="X347" s="272">
        <f>Mn!G349</f>
        <v>0</v>
      </c>
      <c r="Y347" s="272">
        <f>Fe!G349</f>
        <v>0</v>
      </c>
      <c r="Z347" s="274">
        <f>M.O!H349</f>
        <v>0</v>
      </c>
      <c r="AA347" s="272" t="e">
        <f t="shared" si="30"/>
        <v>#DIV/0!</v>
      </c>
      <c r="AB347" s="272" t="e">
        <f t="shared" si="31"/>
        <v>#DIV/0!</v>
      </c>
      <c r="AC347" s="272" t="e">
        <f t="shared" si="32"/>
        <v>#DIV/0!</v>
      </c>
    </row>
    <row r="348" spans="1:29" x14ac:dyDescent="0.2">
      <c r="A348" s="106">
        <f>Cadastro!A352</f>
        <v>0</v>
      </c>
      <c r="B348" s="27">
        <f>Cadastro!E350</f>
        <v>0</v>
      </c>
      <c r="C348">
        <f>pH_água!C348</f>
        <v>0</v>
      </c>
      <c r="D348">
        <f>pH_KCl!B349</f>
        <v>0</v>
      </c>
      <c r="E348">
        <f>'pH CaCl2'!C348</f>
        <v>0</v>
      </c>
      <c r="F348" s="104">
        <f>P_Mehlich1!H333</f>
        <v>0</v>
      </c>
      <c r="G348" s="123">
        <f>P_resina!H353</f>
        <v>0</v>
      </c>
      <c r="H348" s="272">
        <f>K!G318</f>
        <v>0</v>
      </c>
      <c r="I348" s="125">
        <v>0</v>
      </c>
      <c r="J348" s="272">
        <f>'Ca2+'!G349</f>
        <v>0</v>
      </c>
      <c r="K348" s="272">
        <f>Mg²!G351</f>
        <v>0</v>
      </c>
      <c r="L348" s="279">
        <f>Al³!C350</f>
        <v>0</v>
      </c>
      <c r="M348" s="279">
        <f>'H + Al'!D350</f>
        <v>0</v>
      </c>
      <c r="N348" s="272">
        <f t="shared" si="25"/>
        <v>0</v>
      </c>
      <c r="O348" s="272">
        <f t="shared" si="26"/>
        <v>0</v>
      </c>
      <c r="P348" s="272">
        <f t="shared" si="27"/>
        <v>0</v>
      </c>
      <c r="Q348" s="293" t="e">
        <f t="shared" si="28"/>
        <v>#DIV/0!</v>
      </c>
      <c r="R348" s="293" t="e">
        <f t="shared" si="29"/>
        <v>#DIV/0!</v>
      </c>
      <c r="S348">
        <f>Prem!H350</f>
        <v>0</v>
      </c>
      <c r="T348" s="281">
        <f>S!H354</f>
        <v>0</v>
      </c>
      <c r="U348" s="274">
        <f>B!H349</f>
        <v>0</v>
      </c>
      <c r="V348" s="272">
        <f>Zn!G350</f>
        <v>0</v>
      </c>
      <c r="W348" s="272">
        <f>Cu!G350</f>
        <v>0</v>
      </c>
      <c r="X348" s="272">
        <f>Mn!G350</f>
        <v>0</v>
      </c>
      <c r="Y348" s="272">
        <f>Fe!G350</f>
        <v>0</v>
      </c>
      <c r="Z348" s="274">
        <f>M.O!H350</f>
        <v>0</v>
      </c>
      <c r="AA348" s="272" t="e">
        <f t="shared" si="30"/>
        <v>#DIV/0!</v>
      </c>
      <c r="AB348" s="272" t="e">
        <f t="shared" si="31"/>
        <v>#DIV/0!</v>
      </c>
      <c r="AC348" s="272" t="e">
        <f t="shared" si="32"/>
        <v>#DIV/0!</v>
      </c>
    </row>
    <row r="349" spans="1:29" x14ac:dyDescent="0.2">
      <c r="A349" s="106">
        <f>Cadastro!A353</f>
        <v>0</v>
      </c>
      <c r="B349" s="27">
        <f>Cadastro!E351</f>
        <v>0</v>
      </c>
      <c r="C349">
        <f>pH_água!C349</f>
        <v>0</v>
      </c>
      <c r="D349">
        <f>pH_KCl!B350</f>
        <v>0</v>
      </c>
      <c r="E349">
        <f>'pH CaCl2'!C349</f>
        <v>0</v>
      </c>
      <c r="F349" s="104">
        <f>P_Mehlich1!H334</f>
        <v>0</v>
      </c>
      <c r="G349" s="123">
        <f>P_resina!H354</f>
        <v>0</v>
      </c>
      <c r="H349" s="272">
        <f>K!G319</f>
        <v>0</v>
      </c>
      <c r="I349" s="125">
        <v>0</v>
      </c>
      <c r="J349" s="272">
        <f>'Ca2+'!G350</f>
        <v>0</v>
      </c>
      <c r="K349" s="272">
        <f>Mg²!G352</f>
        <v>0</v>
      </c>
      <c r="L349" s="279">
        <f>Al³!C351</f>
        <v>0</v>
      </c>
      <c r="M349" s="279">
        <f>'H + Al'!D351</f>
        <v>0</v>
      </c>
      <c r="N349" s="272">
        <f t="shared" si="25"/>
        <v>0</v>
      </c>
      <c r="O349" s="272">
        <f t="shared" si="26"/>
        <v>0</v>
      </c>
      <c r="P349" s="272">
        <f t="shared" si="27"/>
        <v>0</v>
      </c>
      <c r="Q349" s="293" t="e">
        <f t="shared" si="28"/>
        <v>#DIV/0!</v>
      </c>
      <c r="R349" s="293" t="e">
        <f t="shared" si="29"/>
        <v>#DIV/0!</v>
      </c>
      <c r="S349">
        <f>Prem!H351</f>
        <v>0</v>
      </c>
      <c r="T349" s="281">
        <f>S!H355</f>
        <v>0</v>
      </c>
      <c r="U349" s="274">
        <f>B!H350</f>
        <v>0</v>
      </c>
      <c r="V349" s="272">
        <f>Zn!G351</f>
        <v>0</v>
      </c>
      <c r="W349" s="272">
        <f>Cu!G351</f>
        <v>0</v>
      </c>
      <c r="X349" s="272">
        <f>Mn!G351</f>
        <v>0</v>
      </c>
      <c r="Y349" s="272">
        <f>Fe!G351</f>
        <v>0</v>
      </c>
      <c r="Z349" s="274">
        <f>M.O!H351</f>
        <v>0</v>
      </c>
      <c r="AA349" s="272" t="e">
        <f t="shared" si="30"/>
        <v>#DIV/0!</v>
      </c>
      <c r="AB349" s="272" t="e">
        <f t="shared" si="31"/>
        <v>#DIV/0!</v>
      </c>
      <c r="AC349" s="272" t="e">
        <f t="shared" si="32"/>
        <v>#DIV/0!</v>
      </c>
    </row>
    <row r="350" spans="1:29" x14ac:dyDescent="0.2">
      <c r="A350" s="106">
        <f>Cadastro!A354</f>
        <v>0</v>
      </c>
      <c r="B350" s="27">
        <f>Cadastro!E352</f>
        <v>0</v>
      </c>
      <c r="C350">
        <f>pH_água!C350</f>
        <v>0</v>
      </c>
      <c r="D350">
        <f>pH_KCl!B351</f>
        <v>0</v>
      </c>
      <c r="E350">
        <f>'pH CaCl2'!C350</f>
        <v>0</v>
      </c>
      <c r="F350" s="104">
        <f>P_Mehlich1!H335</f>
        <v>0</v>
      </c>
      <c r="G350" s="123">
        <f>P_resina!H355</f>
        <v>0</v>
      </c>
      <c r="H350" s="272">
        <f>K!G320</f>
        <v>0</v>
      </c>
      <c r="I350" s="125">
        <v>0</v>
      </c>
      <c r="J350" s="272">
        <f>'Ca2+'!G351</f>
        <v>0</v>
      </c>
      <c r="K350" s="272">
        <f>Mg²!G353</f>
        <v>0</v>
      </c>
      <c r="L350" s="279">
        <f>Al³!C352</f>
        <v>0</v>
      </c>
      <c r="M350" s="279">
        <f>'H + Al'!D352</f>
        <v>0</v>
      </c>
      <c r="N350" s="272">
        <f t="shared" si="25"/>
        <v>0</v>
      </c>
      <c r="O350" s="272">
        <f t="shared" si="26"/>
        <v>0</v>
      </c>
      <c r="P350" s="272">
        <f t="shared" si="27"/>
        <v>0</v>
      </c>
      <c r="Q350" s="293" t="e">
        <f t="shared" si="28"/>
        <v>#DIV/0!</v>
      </c>
      <c r="R350" s="293" t="e">
        <f t="shared" si="29"/>
        <v>#DIV/0!</v>
      </c>
      <c r="S350">
        <f>Prem!H352</f>
        <v>0</v>
      </c>
      <c r="T350" s="281">
        <f>S!H356</f>
        <v>0</v>
      </c>
      <c r="U350" s="274">
        <f>B!H351</f>
        <v>0</v>
      </c>
      <c r="V350" s="272">
        <f>Zn!G352</f>
        <v>0</v>
      </c>
      <c r="W350" s="272">
        <f>Cu!G352</f>
        <v>0</v>
      </c>
      <c r="X350" s="272">
        <f>Mn!G352</f>
        <v>0</v>
      </c>
      <c r="Y350" s="272">
        <f>Fe!G352</f>
        <v>0</v>
      </c>
      <c r="Z350" s="274">
        <f>M.O!H352</f>
        <v>0</v>
      </c>
      <c r="AA350" s="272" t="e">
        <f t="shared" si="30"/>
        <v>#DIV/0!</v>
      </c>
      <c r="AB350" s="272" t="e">
        <f t="shared" si="31"/>
        <v>#DIV/0!</v>
      </c>
      <c r="AC350" s="272" t="e">
        <f t="shared" si="32"/>
        <v>#DIV/0!</v>
      </c>
    </row>
    <row r="351" spans="1:29" x14ac:dyDescent="0.2">
      <c r="A351" s="106">
        <f>Cadastro!A355</f>
        <v>0</v>
      </c>
      <c r="B351" s="27">
        <f>Cadastro!E353</f>
        <v>0</v>
      </c>
      <c r="C351">
        <f>pH_água!C351</f>
        <v>0</v>
      </c>
      <c r="D351">
        <f>pH_KCl!B352</f>
        <v>0</v>
      </c>
      <c r="E351">
        <f>'pH CaCl2'!C351</f>
        <v>0</v>
      </c>
      <c r="F351" s="104">
        <f>P_Mehlich1!H336</f>
        <v>0</v>
      </c>
      <c r="G351" s="123">
        <f>P_resina!H356</f>
        <v>0</v>
      </c>
      <c r="H351" s="272">
        <f>K!G321</f>
        <v>0</v>
      </c>
      <c r="I351" s="125">
        <v>0</v>
      </c>
      <c r="J351" s="272">
        <f>'Ca2+'!G352</f>
        <v>0</v>
      </c>
      <c r="K351" s="272">
        <f>Mg²!G354</f>
        <v>0</v>
      </c>
      <c r="L351" s="279">
        <f>Al³!C353</f>
        <v>0</v>
      </c>
      <c r="M351" s="279">
        <f>'H + Al'!D353</f>
        <v>0</v>
      </c>
      <c r="N351" s="272">
        <f t="shared" si="25"/>
        <v>0</v>
      </c>
      <c r="O351" s="272">
        <f t="shared" si="26"/>
        <v>0</v>
      </c>
      <c r="P351" s="272">
        <f t="shared" si="27"/>
        <v>0</v>
      </c>
      <c r="Q351" s="293" t="e">
        <f t="shared" si="28"/>
        <v>#DIV/0!</v>
      </c>
      <c r="R351" s="293" t="e">
        <f t="shared" si="29"/>
        <v>#DIV/0!</v>
      </c>
      <c r="S351">
        <f>Prem!H353</f>
        <v>0</v>
      </c>
      <c r="T351" s="281">
        <f>S!H357</f>
        <v>0</v>
      </c>
      <c r="U351" s="274">
        <f>B!H352</f>
        <v>0</v>
      </c>
      <c r="V351" s="272">
        <f>Zn!G353</f>
        <v>0</v>
      </c>
      <c r="W351" s="272">
        <f>Cu!G353</f>
        <v>0</v>
      </c>
      <c r="X351" s="272">
        <f>Mn!G353</f>
        <v>0</v>
      </c>
      <c r="Y351" s="272">
        <f>Fe!G353</f>
        <v>0</v>
      </c>
      <c r="Z351" s="274">
        <f>M.O!H353</f>
        <v>0</v>
      </c>
      <c r="AA351" s="272" t="e">
        <f t="shared" si="30"/>
        <v>#DIV/0!</v>
      </c>
      <c r="AB351" s="272" t="e">
        <f t="shared" si="31"/>
        <v>#DIV/0!</v>
      </c>
      <c r="AC351" s="272" t="e">
        <f t="shared" si="32"/>
        <v>#DIV/0!</v>
      </c>
    </row>
    <row r="352" spans="1:29" x14ac:dyDescent="0.2">
      <c r="A352" s="106">
        <f>Cadastro!A356</f>
        <v>0</v>
      </c>
      <c r="B352" s="27">
        <f>Cadastro!E354</f>
        <v>0</v>
      </c>
      <c r="C352">
        <f>pH_água!C352</f>
        <v>0</v>
      </c>
      <c r="D352">
        <f>pH_KCl!B353</f>
        <v>0</v>
      </c>
      <c r="E352">
        <f>'pH CaCl2'!C352</f>
        <v>0</v>
      </c>
      <c r="F352" s="104">
        <f>P_Mehlich1!H337</f>
        <v>0</v>
      </c>
      <c r="G352" s="123">
        <f>P_resina!H357</f>
        <v>0</v>
      </c>
      <c r="H352" s="272">
        <f>K!G322</f>
        <v>0</v>
      </c>
      <c r="I352" s="125">
        <v>0</v>
      </c>
      <c r="J352" s="272">
        <f>'Ca2+'!G353</f>
        <v>0</v>
      </c>
      <c r="K352" s="272">
        <f>Mg²!G355</f>
        <v>0</v>
      </c>
      <c r="L352" s="279">
        <f>Al³!C354</f>
        <v>0</v>
      </c>
      <c r="M352" s="279">
        <f>'H + Al'!D354</f>
        <v>0</v>
      </c>
      <c r="N352" s="272">
        <f t="shared" si="25"/>
        <v>0</v>
      </c>
      <c r="O352" s="272">
        <f t="shared" si="26"/>
        <v>0</v>
      </c>
      <c r="P352" s="272">
        <f t="shared" si="27"/>
        <v>0</v>
      </c>
      <c r="Q352" s="293" t="e">
        <f t="shared" si="28"/>
        <v>#DIV/0!</v>
      </c>
      <c r="R352" s="293" t="e">
        <f t="shared" si="29"/>
        <v>#DIV/0!</v>
      </c>
      <c r="S352">
        <f>Prem!H354</f>
        <v>0</v>
      </c>
      <c r="T352" s="281">
        <f>S!H358</f>
        <v>0</v>
      </c>
      <c r="U352" s="274">
        <f>B!H353</f>
        <v>0</v>
      </c>
      <c r="V352" s="272">
        <f>Zn!G354</f>
        <v>0</v>
      </c>
      <c r="W352" s="272">
        <f>Cu!G354</f>
        <v>0</v>
      </c>
      <c r="X352" s="272">
        <f>Mn!G354</f>
        <v>0</v>
      </c>
      <c r="Y352" s="272">
        <f>Fe!G354</f>
        <v>0</v>
      </c>
      <c r="Z352" s="274">
        <f>M.O!H354</f>
        <v>0</v>
      </c>
      <c r="AA352" s="272" t="e">
        <f t="shared" si="30"/>
        <v>#DIV/0!</v>
      </c>
      <c r="AB352" s="272" t="e">
        <f t="shared" si="31"/>
        <v>#DIV/0!</v>
      </c>
      <c r="AC352" s="272" t="e">
        <f t="shared" si="32"/>
        <v>#DIV/0!</v>
      </c>
    </row>
    <row r="353" spans="1:29" x14ac:dyDescent="0.2">
      <c r="A353" s="106">
        <f>Cadastro!A357</f>
        <v>0</v>
      </c>
      <c r="B353" s="27">
        <f>Cadastro!E355</f>
        <v>0</v>
      </c>
      <c r="C353">
        <f>pH_água!C353</f>
        <v>0</v>
      </c>
      <c r="D353">
        <f>pH_KCl!B354</f>
        <v>0</v>
      </c>
      <c r="E353">
        <f>'pH CaCl2'!C353</f>
        <v>0</v>
      </c>
      <c r="F353" s="104">
        <f>P_Mehlich1!H338</f>
        <v>0</v>
      </c>
      <c r="G353" s="123">
        <f>P_resina!H358</f>
        <v>0</v>
      </c>
      <c r="H353" s="272">
        <f>K!G323</f>
        <v>0</v>
      </c>
      <c r="I353" s="125">
        <v>0</v>
      </c>
      <c r="J353" s="272">
        <f>'Ca2+'!G354</f>
        <v>0</v>
      </c>
      <c r="K353" s="272">
        <f>Mg²!G356</f>
        <v>0</v>
      </c>
      <c r="L353" s="279">
        <f>Al³!C355</f>
        <v>0</v>
      </c>
      <c r="M353" s="279">
        <f>'H + Al'!D355</f>
        <v>0</v>
      </c>
      <c r="N353" s="272">
        <f t="shared" si="25"/>
        <v>0</v>
      </c>
      <c r="O353" s="272">
        <f t="shared" si="26"/>
        <v>0</v>
      </c>
      <c r="P353" s="272">
        <f t="shared" si="27"/>
        <v>0</v>
      </c>
      <c r="Q353" s="293" t="e">
        <f t="shared" si="28"/>
        <v>#DIV/0!</v>
      </c>
      <c r="R353" s="293" t="e">
        <f t="shared" si="29"/>
        <v>#DIV/0!</v>
      </c>
      <c r="S353">
        <f>Prem!H355</f>
        <v>0</v>
      </c>
      <c r="T353" s="281">
        <f>S!H359</f>
        <v>0</v>
      </c>
      <c r="U353" s="274">
        <f>B!H354</f>
        <v>0</v>
      </c>
      <c r="V353" s="272">
        <f>Zn!G355</f>
        <v>0</v>
      </c>
      <c r="W353" s="272">
        <f>Cu!G355</f>
        <v>0</v>
      </c>
      <c r="X353" s="272">
        <f>Mn!G355</f>
        <v>0</v>
      </c>
      <c r="Y353" s="272">
        <f>Fe!G355</f>
        <v>0</v>
      </c>
      <c r="Z353" s="274">
        <f>M.O!H355</f>
        <v>0</v>
      </c>
      <c r="AA353" s="272" t="e">
        <f t="shared" si="30"/>
        <v>#DIV/0!</v>
      </c>
      <c r="AB353" s="272" t="e">
        <f t="shared" si="31"/>
        <v>#DIV/0!</v>
      </c>
      <c r="AC353" s="272" t="e">
        <f t="shared" si="32"/>
        <v>#DIV/0!</v>
      </c>
    </row>
    <row r="354" spans="1:29" x14ac:dyDescent="0.2">
      <c r="A354" s="106">
        <f>Cadastro!A358</f>
        <v>0</v>
      </c>
      <c r="B354" s="27">
        <f>Cadastro!E356</f>
        <v>0</v>
      </c>
      <c r="C354">
        <f>pH_água!C354</f>
        <v>0</v>
      </c>
      <c r="D354">
        <f>pH_KCl!B355</f>
        <v>0</v>
      </c>
      <c r="E354">
        <f>'pH CaCl2'!C354</f>
        <v>0</v>
      </c>
      <c r="F354" s="104">
        <f>P_Mehlich1!H339</f>
        <v>0</v>
      </c>
      <c r="G354" s="123">
        <f>P_resina!H359</f>
        <v>0</v>
      </c>
      <c r="H354" s="272">
        <f>K!G324</f>
        <v>0</v>
      </c>
      <c r="I354" s="125">
        <v>0</v>
      </c>
      <c r="J354" s="272">
        <f>'Ca2+'!G355</f>
        <v>0</v>
      </c>
      <c r="K354" s="272">
        <f>Mg²!G357</f>
        <v>0</v>
      </c>
      <c r="L354" s="279">
        <f>Al³!C356</f>
        <v>0</v>
      </c>
      <c r="M354" s="279">
        <f>'H + Al'!D356</f>
        <v>0</v>
      </c>
      <c r="N354" s="272">
        <f t="shared" si="25"/>
        <v>0</v>
      </c>
      <c r="O354" s="272">
        <f t="shared" si="26"/>
        <v>0</v>
      </c>
      <c r="P354" s="272">
        <f t="shared" si="27"/>
        <v>0</v>
      </c>
      <c r="Q354" s="293" t="e">
        <f t="shared" si="28"/>
        <v>#DIV/0!</v>
      </c>
      <c r="R354" s="293" t="e">
        <f t="shared" si="29"/>
        <v>#DIV/0!</v>
      </c>
      <c r="S354">
        <f>Prem!H356</f>
        <v>0</v>
      </c>
      <c r="T354" s="281">
        <f>S!H360</f>
        <v>0</v>
      </c>
      <c r="U354" s="274">
        <f>B!H355</f>
        <v>0</v>
      </c>
      <c r="V354" s="272">
        <f>Zn!G356</f>
        <v>0</v>
      </c>
      <c r="W354" s="272">
        <f>Cu!G356</f>
        <v>0</v>
      </c>
      <c r="X354" s="272">
        <f>Mn!G356</f>
        <v>0</v>
      </c>
      <c r="Y354" s="272">
        <f>Fe!G356</f>
        <v>0</v>
      </c>
      <c r="Z354" s="274">
        <f>M.O!H356</f>
        <v>0</v>
      </c>
      <c r="AA354" s="272" t="e">
        <f t="shared" si="30"/>
        <v>#DIV/0!</v>
      </c>
      <c r="AB354" s="272" t="e">
        <f t="shared" si="31"/>
        <v>#DIV/0!</v>
      </c>
      <c r="AC354" s="272" t="e">
        <f t="shared" si="32"/>
        <v>#DIV/0!</v>
      </c>
    </row>
    <row r="355" spans="1:29" x14ac:dyDescent="0.2">
      <c r="A355" s="106">
        <f>Cadastro!A359</f>
        <v>0</v>
      </c>
      <c r="B355" s="27">
        <f>Cadastro!E357</f>
        <v>0</v>
      </c>
      <c r="C355">
        <f>pH_água!C355</f>
        <v>0</v>
      </c>
      <c r="D355">
        <f>pH_KCl!B356</f>
        <v>0</v>
      </c>
      <c r="E355">
        <f>'pH CaCl2'!C355</f>
        <v>0</v>
      </c>
      <c r="F355" s="104">
        <f>P_Mehlich1!H340</f>
        <v>0</v>
      </c>
      <c r="G355" s="123">
        <f>P_resina!H360</f>
        <v>0</v>
      </c>
      <c r="H355" s="272">
        <f>K!G325</f>
        <v>0</v>
      </c>
      <c r="I355" s="125">
        <v>0</v>
      </c>
      <c r="J355" s="272">
        <f>'Ca2+'!G356</f>
        <v>0</v>
      </c>
      <c r="K355" s="272">
        <f>Mg²!G358</f>
        <v>0</v>
      </c>
      <c r="L355" s="279">
        <f>Al³!C357</f>
        <v>0</v>
      </c>
      <c r="M355" s="279">
        <f>'H + Al'!D357</f>
        <v>0</v>
      </c>
      <c r="N355" s="272">
        <f t="shared" si="25"/>
        <v>0</v>
      </c>
      <c r="O355" s="272">
        <f t="shared" si="26"/>
        <v>0</v>
      </c>
      <c r="P355" s="272">
        <f t="shared" si="27"/>
        <v>0</v>
      </c>
      <c r="Q355" s="293" t="e">
        <f t="shared" si="28"/>
        <v>#DIV/0!</v>
      </c>
      <c r="R355" s="293" t="e">
        <f t="shared" si="29"/>
        <v>#DIV/0!</v>
      </c>
      <c r="S355">
        <f>Prem!H357</f>
        <v>0</v>
      </c>
      <c r="T355" s="281">
        <f>S!H361</f>
        <v>0</v>
      </c>
      <c r="U355" s="274">
        <f>B!H356</f>
        <v>0</v>
      </c>
      <c r="V355" s="272">
        <f>Zn!G357</f>
        <v>0</v>
      </c>
      <c r="W355" s="272">
        <f>Cu!G357</f>
        <v>0</v>
      </c>
      <c r="X355" s="272">
        <f>Mn!G357</f>
        <v>0</v>
      </c>
      <c r="Y355" s="272">
        <f>Fe!G357</f>
        <v>0</v>
      </c>
      <c r="Z355" s="274">
        <f>M.O!H357</f>
        <v>0</v>
      </c>
      <c r="AA355" s="272" t="e">
        <f t="shared" si="30"/>
        <v>#DIV/0!</v>
      </c>
      <c r="AB355" s="272" t="e">
        <f t="shared" si="31"/>
        <v>#DIV/0!</v>
      </c>
      <c r="AC355" s="272" t="e">
        <f t="shared" si="32"/>
        <v>#DIV/0!</v>
      </c>
    </row>
    <row r="356" spans="1:29" x14ac:dyDescent="0.2">
      <c r="A356" s="106">
        <f>Cadastro!A360</f>
        <v>0</v>
      </c>
      <c r="B356" s="27">
        <f>Cadastro!E358</f>
        <v>0</v>
      </c>
      <c r="C356">
        <f>pH_água!C356</f>
        <v>0</v>
      </c>
      <c r="D356">
        <f>pH_KCl!B357</f>
        <v>0</v>
      </c>
      <c r="E356">
        <f>'pH CaCl2'!C356</f>
        <v>0</v>
      </c>
      <c r="F356" s="104">
        <f>P_Mehlich1!H341</f>
        <v>0</v>
      </c>
      <c r="G356" s="123">
        <f>P_resina!H361</f>
        <v>0</v>
      </c>
      <c r="H356" s="272">
        <f>K!G326</f>
        <v>0</v>
      </c>
      <c r="I356" s="125">
        <v>0</v>
      </c>
      <c r="J356" s="272">
        <f>'Ca2+'!G357</f>
        <v>0</v>
      </c>
      <c r="K356" s="272">
        <f>Mg²!G359</f>
        <v>0</v>
      </c>
      <c r="L356" s="279">
        <f>Al³!C358</f>
        <v>0</v>
      </c>
      <c r="M356" s="279">
        <f>'H + Al'!D358</f>
        <v>0</v>
      </c>
      <c r="N356" s="272">
        <f t="shared" si="25"/>
        <v>0</v>
      </c>
      <c r="O356" s="272">
        <f t="shared" si="26"/>
        <v>0</v>
      </c>
      <c r="P356" s="272">
        <f t="shared" si="27"/>
        <v>0</v>
      </c>
      <c r="Q356" s="293" t="e">
        <f t="shared" si="28"/>
        <v>#DIV/0!</v>
      </c>
      <c r="R356" s="293" t="e">
        <f t="shared" si="29"/>
        <v>#DIV/0!</v>
      </c>
      <c r="S356">
        <f>Prem!H358</f>
        <v>0</v>
      </c>
      <c r="T356" s="281">
        <f>S!H362</f>
        <v>0</v>
      </c>
      <c r="U356" s="274">
        <f>B!H357</f>
        <v>0</v>
      </c>
      <c r="V356" s="272">
        <f>Zn!G358</f>
        <v>0</v>
      </c>
      <c r="W356" s="272">
        <f>Cu!G358</f>
        <v>0</v>
      </c>
      <c r="X356" s="272">
        <f>Mn!G358</f>
        <v>0</v>
      </c>
      <c r="Y356" s="272">
        <f>Fe!G358</f>
        <v>0</v>
      </c>
      <c r="Z356" s="274">
        <f>M.O!H358</f>
        <v>0</v>
      </c>
      <c r="AA356" s="272" t="e">
        <f t="shared" si="30"/>
        <v>#DIV/0!</v>
      </c>
      <c r="AB356" s="272" t="e">
        <f t="shared" si="31"/>
        <v>#DIV/0!</v>
      </c>
      <c r="AC356" s="272" t="e">
        <f t="shared" si="32"/>
        <v>#DIV/0!</v>
      </c>
    </row>
    <row r="357" spans="1:29" x14ac:dyDescent="0.2">
      <c r="A357" s="106">
        <f>Cadastro!A361</f>
        <v>0</v>
      </c>
      <c r="B357" s="27">
        <f>Cadastro!E359</f>
        <v>0</v>
      </c>
      <c r="C357">
        <f>pH_água!C357</f>
        <v>0</v>
      </c>
      <c r="D357">
        <f>pH_KCl!B358</f>
        <v>0</v>
      </c>
      <c r="E357">
        <f>'pH CaCl2'!C357</f>
        <v>0</v>
      </c>
      <c r="F357" s="104">
        <f>P_Mehlich1!H342</f>
        <v>0</v>
      </c>
      <c r="G357" s="123">
        <f>P_resina!H362</f>
        <v>0</v>
      </c>
      <c r="H357" s="272">
        <f>K!G327</f>
        <v>0</v>
      </c>
      <c r="I357" s="125">
        <v>0</v>
      </c>
      <c r="J357" s="272">
        <f>'Ca2+'!G358</f>
        <v>0</v>
      </c>
      <c r="K357" s="272">
        <f>Mg²!G360</f>
        <v>0</v>
      </c>
      <c r="L357" s="279">
        <f>Al³!C359</f>
        <v>0</v>
      </c>
      <c r="M357" s="279">
        <f>'H + Al'!D359</f>
        <v>0</v>
      </c>
      <c r="N357" s="272">
        <f t="shared" si="25"/>
        <v>0</v>
      </c>
      <c r="O357" s="272">
        <f t="shared" si="26"/>
        <v>0</v>
      </c>
      <c r="P357" s="272">
        <f t="shared" si="27"/>
        <v>0</v>
      </c>
      <c r="Q357" s="293" t="e">
        <f t="shared" si="28"/>
        <v>#DIV/0!</v>
      </c>
      <c r="R357" s="293" t="e">
        <f t="shared" si="29"/>
        <v>#DIV/0!</v>
      </c>
      <c r="S357">
        <f>Prem!H359</f>
        <v>0</v>
      </c>
      <c r="T357" s="281">
        <f>S!H363</f>
        <v>0</v>
      </c>
      <c r="U357" s="274">
        <f>B!H358</f>
        <v>0</v>
      </c>
      <c r="V357" s="272">
        <f>Zn!G359</f>
        <v>0</v>
      </c>
      <c r="W357" s="272">
        <f>Cu!G359</f>
        <v>0</v>
      </c>
      <c r="X357" s="272">
        <f>Mn!G359</f>
        <v>0</v>
      </c>
      <c r="Y357" s="272">
        <f>Fe!G359</f>
        <v>0</v>
      </c>
      <c r="Z357" s="274">
        <f>M.O!H359</f>
        <v>0</v>
      </c>
      <c r="AA357" s="272" t="e">
        <f t="shared" si="30"/>
        <v>#DIV/0!</v>
      </c>
      <c r="AB357" s="272" t="e">
        <f t="shared" si="31"/>
        <v>#DIV/0!</v>
      </c>
      <c r="AC357" s="272" t="e">
        <f t="shared" si="32"/>
        <v>#DIV/0!</v>
      </c>
    </row>
    <row r="358" spans="1:29" x14ac:dyDescent="0.2">
      <c r="A358" s="106">
        <f>Cadastro!A362</f>
        <v>0</v>
      </c>
      <c r="B358" s="27">
        <f>Cadastro!E360</f>
        <v>0</v>
      </c>
      <c r="C358">
        <f>pH_água!C358</f>
        <v>0</v>
      </c>
      <c r="D358">
        <f>pH_KCl!B359</f>
        <v>0</v>
      </c>
      <c r="E358">
        <f>'pH CaCl2'!C358</f>
        <v>0</v>
      </c>
      <c r="F358" s="104">
        <f>P_Mehlich1!H343</f>
        <v>0</v>
      </c>
      <c r="G358" s="123">
        <f>P_resina!H363</f>
        <v>0</v>
      </c>
      <c r="H358" s="272">
        <f>K!G328</f>
        <v>0</v>
      </c>
      <c r="I358" s="125">
        <v>0</v>
      </c>
      <c r="J358" s="272">
        <f>'Ca2+'!G359</f>
        <v>0</v>
      </c>
      <c r="K358" s="272">
        <f>Mg²!G361</f>
        <v>0</v>
      </c>
      <c r="L358" s="279">
        <f>Al³!C360</f>
        <v>0</v>
      </c>
      <c r="M358" s="279">
        <f>'H + Al'!D360</f>
        <v>0</v>
      </c>
      <c r="N358" s="272">
        <f t="shared" si="25"/>
        <v>0</v>
      </c>
      <c r="O358" s="272">
        <f t="shared" si="26"/>
        <v>0</v>
      </c>
      <c r="P358" s="272">
        <f t="shared" si="27"/>
        <v>0</v>
      </c>
      <c r="Q358" s="293" t="e">
        <f t="shared" si="28"/>
        <v>#DIV/0!</v>
      </c>
      <c r="R358" s="293" t="e">
        <f t="shared" si="29"/>
        <v>#DIV/0!</v>
      </c>
      <c r="S358">
        <f>Prem!H360</f>
        <v>0</v>
      </c>
      <c r="T358" s="281">
        <f>S!H364</f>
        <v>0</v>
      </c>
      <c r="U358" s="274">
        <f>B!H359</f>
        <v>0</v>
      </c>
      <c r="V358" s="272">
        <f>Zn!G360</f>
        <v>0</v>
      </c>
      <c r="W358" s="272">
        <f>Cu!G360</f>
        <v>0</v>
      </c>
      <c r="X358" s="272">
        <f>Mn!G360</f>
        <v>0</v>
      </c>
      <c r="Y358" s="272">
        <f>Fe!G360</f>
        <v>0</v>
      </c>
      <c r="Z358" s="274">
        <f>M.O!H360</f>
        <v>0</v>
      </c>
      <c r="AA358" s="272" t="e">
        <f t="shared" si="30"/>
        <v>#DIV/0!</v>
      </c>
      <c r="AB358" s="272" t="e">
        <f t="shared" si="31"/>
        <v>#DIV/0!</v>
      </c>
      <c r="AC358" s="272" t="e">
        <f t="shared" si="32"/>
        <v>#DIV/0!</v>
      </c>
    </row>
    <row r="359" spans="1:29" x14ac:dyDescent="0.2">
      <c r="A359" s="106">
        <f>Cadastro!A363</f>
        <v>0</v>
      </c>
      <c r="B359" s="27">
        <f>Cadastro!E361</f>
        <v>0</v>
      </c>
      <c r="C359">
        <f>pH_água!C359</f>
        <v>0</v>
      </c>
      <c r="D359">
        <f>pH_KCl!B360</f>
        <v>0</v>
      </c>
      <c r="E359">
        <f>'pH CaCl2'!C359</f>
        <v>0</v>
      </c>
      <c r="F359" s="104">
        <f>P_Mehlich1!H344</f>
        <v>0</v>
      </c>
      <c r="G359" s="123">
        <f>P_resina!H364</f>
        <v>0</v>
      </c>
      <c r="H359" s="272">
        <f>K!G329</f>
        <v>0</v>
      </c>
      <c r="I359" s="125">
        <v>0</v>
      </c>
      <c r="J359" s="272">
        <f>'Ca2+'!G360</f>
        <v>0</v>
      </c>
      <c r="K359" s="272">
        <f>Mg²!G362</f>
        <v>0</v>
      </c>
      <c r="L359" s="279">
        <f>Al³!C361</f>
        <v>0</v>
      </c>
      <c r="M359" s="279">
        <f>'H + Al'!D361</f>
        <v>0</v>
      </c>
      <c r="N359" s="272">
        <f t="shared" si="25"/>
        <v>0</v>
      </c>
      <c r="O359" s="272">
        <f t="shared" si="26"/>
        <v>0</v>
      </c>
      <c r="P359" s="272">
        <f t="shared" si="27"/>
        <v>0</v>
      </c>
      <c r="Q359" s="293" t="e">
        <f t="shared" si="28"/>
        <v>#DIV/0!</v>
      </c>
      <c r="R359" s="293" t="e">
        <f t="shared" si="29"/>
        <v>#DIV/0!</v>
      </c>
      <c r="S359">
        <f>Prem!H361</f>
        <v>0</v>
      </c>
      <c r="T359" s="281">
        <f>S!H365</f>
        <v>0</v>
      </c>
      <c r="U359" s="274">
        <f>B!H360</f>
        <v>0</v>
      </c>
      <c r="V359" s="272">
        <f>Zn!G361</f>
        <v>0</v>
      </c>
      <c r="W359" s="272">
        <f>Cu!G361</f>
        <v>0</v>
      </c>
      <c r="X359" s="272">
        <f>Mn!G361</f>
        <v>0</v>
      </c>
      <c r="Y359" s="272">
        <f>Fe!G361</f>
        <v>0</v>
      </c>
      <c r="Z359" s="274">
        <f>M.O!H361</f>
        <v>0</v>
      </c>
      <c r="AA359" s="272" t="e">
        <f t="shared" si="30"/>
        <v>#DIV/0!</v>
      </c>
      <c r="AB359" s="272" t="e">
        <f t="shared" si="31"/>
        <v>#DIV/0!</v>
      </c>
      <c r="AC359" s="272" t="e">
        <f t="shared" si="32"/>
        <v>#DIV/0!</v>
      </c>
    </row>
    <row r="360" spans="1:29" x14ac:dyDescent="0.2">
      <c r="A360" s="106">
        <f>Cadastro!A364</f>
        <v>0</v>
      </c>
      <c r="B360" s="27">
        <f>Cadastro!E362</f>
        <v>0</v>
      </c>
      <c r="C360">
        <f>pH_água!C360</f>
        <v>0</v>
      </c>
      <c r="D360">
        <f>pH_KCl!B361</f>
        <v>0</v>
      </c>
      <c r="E360">
        <f>'pH CaCl2'!C360</f>
        <v>0</v>
      </c>
      <c r="F360" s="104">
        <f>P_Mehlich1!H345</f>
        <v>0</v>
      </c>
      <c r="G360" s="123">
        <f>P_resina!H365</f>
        <v>0</v>
      </c>
      <c r="H360" s="272">
        <f>K!G330</f>
        <v>0</v>
      </c>
      <c r="I360" s="125">
        <v>0</v>
      </c>
      <c r="J360" s="272">
        <f>'Ca2+'!G361</f>
        <v>0</v>
      </c>
      <c r="K360" s="272">
        <f>Mg²!G363</f>
        <v>0</v>
      </c>
      <c r="L360" s="279">
        <f>Al³!C362</f>
        <v>0</v>
      </c>
      <c r="M360" s="279">
        <f>'H + Al'!D362</f>
        <v>0</v>
      </c>
      <c r="N360" s="272">
        <f t="shared" si="25"/>
        <v>0</v>
      </c>
      <c r="O360" s="272">
        <f t="shared" si="26"/>
        <v>0</v>
      </c>
      <c r="P360" s="272">
        <f t="shared" si="27"/>
        <v>0</v>
      </c>
      <c r="Q360" s="293" t="e">
        <f t="shared" si="28"/>
        <v>#DIV/0!</v>
      </c>
      <c r="R360" s="293" t="e">
        <f t="shared" si="29"/>
        <v>#DIV/0!</v>
      </c>
      <c r="S360">
        <f>Prem!H362</f>
        <v>0</v>
      </c>
      <c r="T360" s="281">
        <f>S!H366</f>
        <v>0</v>
      </c>
      <c r="U360" s="274">
        <f>B!H361</f>
        <v>0</v>
      </c>
      <c r="V360" s="272">
        <f>Zn!G362</f>
        <v>0</v>
      </c>
      <c r="W360" s="272">
        <f>Cu!G362</f>
        <v>0</v>
      </c>
      <c r="X360" s="272">
        <f>Mn!G362</f>
        <v>0</v>
      </c>
      <c r="Y360" s="272">
        <f>Fe!G362</f>
        <v>0</v>
      </c>
      <c r="Z360" s="274">
        <f>M.O!H362</f>
        <v>0</v>
      </c>
      <c r="AA360" s="272" t="e">
        <f t="shared" si="30"/>
        <v>#DIV/0!</v>
      </c>
      <c r="AB360" s="272" t="e">
        <f t="shared" si="31"/>
        <v>#DIV/0!</v>
      </c>
      <c r="AC360" s="272" t="e">
        <f t="shared" si="32"/>
        <v>#DIV/0!</v>
      </c>
    </row>
    <row r="361" spans="1:29" x14ac:dyDescent="0.2">
      <c r="A361" s="106">
        <f>Cadastro!A365</f>
        <v>0</v>
      </c>
      <c r="B361" s="27">
        <f>Cadastro!E363</f>
        <v>0</v>
      </c>
      <c r="C361">
        <f>pH_água!C361</f>
        <v>0</v>
      </c>
      <c r="D361">
        <f>pH_KCl!B362</f>
        <v>0</v>
      </c>
      <c r="E361">
        <f>'pH CaCl2'!C361</f>
        <v>0</v>
      </c>
      <c r="F361" s="104">
        <f>P_Mehlich1!H346</f>
        <v>0</v>
      </c>
      <c r="G361" s="123">
        <f>P_resina!H366</f>
        <v>0</v>
      </c>
      <c r="H361" s="272">
        <f>K!G331</f>
        <v>0</v>
      </c>
      <c r="I361" s="125">
        <v>0</v>
      </c>
      <c r="J361" s="272">
        <f>'Ca2+'!G362</f>
        <v>0</v>
      </c>
      <c r="K361" s="272">
        <f>Mg²!G364</f>
        <v>0</v>
      </c>
      <c r="L361" s="279">
        <f>Al³!C363</f>
        <v>0</v>
      </c>
      <c r="M361" s="279">
        <f>'H + Al'!D363</f>
        <v>0</v>
      </c>
      <c r="N361" s="272">
        <f t="shared" si="25"/>
        <v>0</v>
      </c>
      <c r="O361" s="272">
        <f t="shared" si="26"/>
        <v>0</v>
      </c>
      <c r="P361" s="272">
        <f t="shared" si="27"/>
        <v>0</v>
      </c>
      <c r="Q361" s="293" t="e">
        <f t="shared" si="28"/>
        <v>#DIV/0!</v>
      </c>
      <c r="R361" s="293" t="e">
        <f t="shared" si="29"/>
        <v>#DIV/0!</v>
      </c>
      <c r="S361">
        <f>Prem!H363</f>
        <v>0</v>
      </c>
      <c r="T361" s="281">
        <f>S!H367</f>
        <v>0</v>
      </c>
      <c r="U361" s="274">
        <f>B!H362</f>
        <v>0</v>
      </c>
      <c r="V361" s="272">
        <f>Zn!G363</f>
        <v>0</v>
      </c>
      <c r="W361" s="272">
        <f>Cu!G363</f>
        <v>0</v>
      </c>
      <c r="X361" s="272">
        <f>Mn!G363</f>
        <v>0</v>
      </c>
      <c r="Y361" s="272">
        <f>Fe!G363</f>
        <v>0</v>
      </c>
      <c r="Z361" s="274">
        <f>M.O!H363</f>
        <v>0</v>
      </c>
      <c r="AA361" s="272" t="e">
        <f t="shared" si="30"/>
        <v>#DIV/0!</v>
      </c>
      <c r="AB361" s="272" t="e">
        <f t="shared" si="31"/>
        <v>#DIV/0!</v>
      </c>
      <c r="AC361" s="272" t="e">
        <f t="shared" si="32"/>
        <v>#DIV/0!</v>
      </c>
    </row>
    <row r="362" spans="1:29" x14ac:dyDescent="0.2">
      <c r="A362" s="106">
        <f>Cadastro!A366</f>
        <v>0</v>
      </c>
      <c r="B362" s="27">
        <f>Cadastro!E364</f>
        <v>0</v>
      </c>
      <c r="C362">
        <f>pH_água!C362</f>
        <v>0</v>
      </c>
      <c r="D362">
        <f>pH_KCl!B363</f>
        <v>0</v>
      </c>
      <c r="E362">
        <f>'pH CaCl2'!C362</f>
        <v>0</v>
      </c>
      <c r="F362" s="104">
        <f>P_Mehlich1!H347</f>
        <v>0</v>
      </c>
      <c r="G362" s="123">
        <f>P_resina!H367</f>
        <v>0</v>
      </c>
      <c r="H362" s="272">
        <f>K!G332</f>
        <v>0</v>
      </c>
      <c r="I362" s="125">
        <v>0</v>
      </c>
      <c r="J362" s="272">
        <f>'Ca2+'!G363</f>
        <v>0</v>
      </c>
      <c r="K362" s="272">
        <f>Mg²!G365</f>
        <v>0</v>
      </c>
      <c r="L362" s="279">
        <f>Al³!C364</f>
        <v>0</v>
      </c>
      <c r="M362" s="279">
        <f>'H + Al'!D364</f>
        <v>0</v>
      </c>
      <c r="N362" s="272">
        <f t="shared" si="25"/>
        <v>0</v>
      </c>
      <c r="O362" s="272">
        <f t="shared" si="26"/>
        <v>0</v>
      </c>
      <c r="P362" s="272">
        <f t="shared" si="27"/>
        <v>0</v>
      </c>
      <c r="Q362" s="293" t="e">
        <f t="shared" si="28"/>
        <v>#DIV/0!</v>
      </c>
      <c r="R362" s="293" t="e">
        <f t="shared" si="29"/>
        <v>#DIV/0!</v>
      </c>
      <c r="S362">
        <f>Prem!H364</f>
        <v>0</v>
      </c>
      <c r="T362" s="281">
        <f>S!H368</f>
        <v>0</v>
      </c>
      <c r="U362" s="274">
        <f>B!H363</f>
        <v>0</v>
      </c>
      <c r="V362" s="272">
        <f>Zn!G364</f>
        <v>0</v>
      </c>
      <c r="W362" s="272">
        <f>Cu!G364</f>
        <v>0</v>
      </c>
      <c r="X362" s="272">
        <f>Mn!G364</f>
        <v>0</v>
      </c>
      <c r="Y362" s="272">
        <f>Fe!G364</f>
        <v>0</v>
      </c>
      <c r="Z362" s="274">
        <f>M.O!H364</f>
        <v>0</v>
      </c>
      <c r="AA362" s="272" t="e">
        <f t="shared" si="30"/>
        <v>#DIV/0!</v>
      </c>
      <c r="AB362" s="272" t="e">
        <f t="shared" si="31"/>
        <v>#DIV/0!</v>
      </c>
      <c r="AC362" s="272" t="e">
        <f t="shared" si="32"/>
        <v>#DIV/0!</v>
      </c>
    </row>
    <row r="363" spans="1:29" x14ac:dyDescent="0.2">
      <c r="A363" s="106">
        <f>Cadastro!A367</f>
        <v>0</v>
      </c>
      <c r="B363" s="27">
        <f>Cadastro!E365</f>
        <v>0</v>
      </c>
      <c r="C363">
        <f>pH_água!C363</f>
        <v>0</v>
      </c>
      <c r="D363">
        <f>pH_KCl!B364</f>
        <v>0</v>
      </c>
      <c r="E363">
        <f>'pH CaCl2'!C363</f>
        <v>0</v>
      </c>
      <c r="F363" s="104">
        <f>P_Mehlich1!H348</f>
        <v>0</v>
      </c>
      <c r="G363" s="123">
        <f>P_resina!H368</f>
        <v>0</v>
      </c>
      <c r="H363" s="272">
        <f>K!G333</f>
        <v>0</v>
      </c>
      <c r="I363" s="125">
        <v>0</v>
      </c>
      <c r="J363" s="272">
        <f>'Ca2+'!G364</f>
        <v>0</v>
      </c>
      <c r="K363" s="272">
        <f>Mg²!G366</f>
        <v>0</v>
      </c>
      <c r="L363" s="279">
        <f>Al³!C365</f>
        <v>0</v>
      </c>
      <c r="M363" s="279">
        <f>'H + Al'!D365</f>
        <v>0</v>
      </c>
      <c r="N363" s="272">
        <f t="shared" si="25"/>
        <v>0</v>
      </c>
      <c r="O363" s="272">
        <f t="shared" si="26"/>
        <v>0</v>
      </c>
      <c r="P363" s="272">
        <f t="shared" si="27"/>
        <v>0</v>
      </c>
      <c r="Q363" s="293" t="e">
        <f t="shared" si="28"/>
        <v>#DIV/0!</v>
      </c>
      <c r="R363" s="293" t="e">
        <f t="shared" si="29"/>
        <v>#DIV/0!</v>
      </c>
      <c r="S363">
        <f>Prem!H365</f>
        <v>0</v>
      </c>
      <c r="T363" s="281">
        <f>S!H369</f>
        <v>0</v>
      </c>
      <c r="U363" s="274">
        <f>B!H364</f>
        <v>0</v>
      </c>
      <c r="V363" s="272">
        <f>Zn!G365</f>
        <v>0</v>
      </c>
      <c r="W363" s="272">
        <f>Cu!G365</f>
        <v>0</v>
      </c>
      <c r="X363" s="272">
        <f>Mn!G365</f>
        <v>0</v>
      </c>
      <c r="Y363" s="272">
        <f>Fe!G365</f>
        <v>0</v>
      </c>
      <c r="Z363" s="274">
        <f>M.O!H365</f>
        <v>0</v>
      </c>
      <c r="AA363" s="272" t="e">
        <f t="shared" si="30"/>
        <v>#DIV/0!</v>
      </c>
      <c r="AB363" s="272" t="e">
        <f t="shared" si="31"/>
        <v>#DIV/0!</v>
      </c>
      <c r="AC363" s="272" t="e">
        <f t="shared" si="32"/>
        <v>#DIV/0!</v>
      </c>
    </row>
    <row r="364" spans="1:29" x14ac:dyDescent="0.2">
      <c r="A364" s="106">
        <f>Cadastro!A368</f>
        <v>0</v>
      </c>
      <c r="B364" s="27">
        <f>Cadastro!E366</f>
        <v>0</v>
      </c>
      <c r="C364">
        <f>pH_água!C364</f>
        <v>0</v>
      </c>
      <c r="D364">
        <f>pH_KCl!B365</f>
        <v>0</v>
      </c>
      <c r="E364">
        <f>'pH CaCl2'!C364</f>
        <v>0</v>
      </c>
      <c r="F364" s="104">
        <f>P_Mehlich1!H349</f>
        <v>0</v>
      </c>
      <c r="G364" s="123">
        <f>P_resina!H369</f>
        <v>0</v>
      </c>
      <c r="H364" s="272">
        <f>K!G334</f>
        <v>0</v>
      </c>
      <c r="I364" s="125">
        <v>0</v>
      </c>
      <c r="J364" s="272">
        <f>'Ca2+'!G365</f>
        <v>0</v>
      </c>
      <c r="K364" s="272">
        <f>Mg²!G367</f>
        <v>0</v>
      </c>
      <c r="L364" s="279">
        <f>Al³!C366</f>
        <v>0</v>
      </c>
      <c r="M364" s="279">
        <f>'H + Al'!D366</f>
        <v>0</v>
      </c>
      <c r="N364" s="272">
        <f t="shared" si="25"/>
        <v>0</v>
      </c>
      <c r="O364" s="272">
        <f t="shared" si="26"/>
        <v>0</v>
      </c>
      <c r="P364" s="272">
        <f t="shared" si="27"/>
        <v>0</v>
      </c>
      <c r="Q364" s="293" t="e">
        <f t="shared" si="28"/>
        <v>#DIV/0!</v>
      </c>
      <c r="R364" s="293" t="e">
        <f t="shared" si="29"/>
        <v>#DIV/0!</v>
      </c>
      <c r="S364">
        <f>Prem!H366</f>
        <v>0</v>
      </c>
      <c r="T364" s="281">
        <f>S!H370</f>
        <v>0</v>
      </c>
      <c r="U364" s="274">
        <f>B!H365</f>
        <v>0</v>
      </c>
      <c r="V364" s="272">
        <f>Zn!G366</f>
        <v>0</v>
      </c>
      <c r="W364" s="272">
        <f>Cu!G366</f>
        <v>0</v>
      </c>
      <c r="X364" s="272">
        <f>Mn!G366</f>
        <v>0</v>
      </c>
      <c r="Y364" s="272">
        <f>Fe!G366</f>
        <v>0</v>
      </c>
      <c r="Z364" s="274">
        <f>M.O!H366</f>
        <v>0</v>
      </c>
      <c r="AA364" s="272" t="e">
        <f t="shared" si="30"/>
        <v>#DIV/0!</v>
      </c>
      <c r="AB364" s="272" t="e">
        <f t="shared" si="31"/>
        <v>#DIV/0!</v>
      </c>
      <c r="AC364" s="272" t="e">
        <f t="shared" si="32"/>
        <v>#DIV/0!</v>
      </c>
    </row>
    <row r="365" spans="1:29" x14ac:dyDescent="0.2">
      <c r="A365" s="106">
        <f>Cadastro!A369</f>
        <v>0</v>
      </c>
      <c r="B365" s="27">
        <f>Cadastro!E367</f>
        <v>0</v>
      </c>
      <c r="C365">
        <f>pH_água!C365</f>
        <v>0</v>
      </c>
      <c r="D365">
        <f>pH_KCl!B366</f>
        <v>0</v>
      </c>
      <c r="E365">
        <f>'pH CaCl2'!C365</f>
        <v>0</v>
      </c>
      <c r="F365" s="104">
        <f>P_Mehlich1!H350</f>
        <v>0</v>
      </c>
      <c r="G365" s="123">
        <f>P_resina!H370</f>
        <v>0</v>
      </c>
      <c r="H365" s="272">
        <f>K!G335</f>
        <v>0</v>
      </c>
      <c r="I365" s="125">
        <v>0</v>
      </c>
      <c r="J365" s="272">
        <f>'Ca2+'!G366</f>
        <v>0</v>
      </c>
      <c r="K365" s="272">
        <f>Mg²!G368</f>
        <v>0</v>
      </c>
      <c r="L365" s="279">
        <f>Al³!C367</f>
        <v>0</v>
      </c>
      <c r="M365" s="279">
        <f>'H + Al'!D367</f>
        <v>0</v>
      </c>
      <c r="N365" s="272">
        <f t="shared" si="25"/>
        <v>0</v>
      </c>
      <c r="O365" s="272">
        <f t="shared" si="26"/>
        <v>0</v>
      </c>
      <c r="P365" s="272">
        <f t="shared" si="27"/>
        <v>0</v>
      </c>
      <c r="Q365" s="293" t="e">
        <f t="shared" si="28"/>
        <v>#DIV/0!</v>
      </c>
      <c r="R365" s="293" t="e">
        <f t="shared" si="29"/>
        <v>#DIV/0!</v>
      </c>
      <c r="S365">
        <f>Prem!H367</f>
        <v>0</v>
      </c>
      <c r="T365" s="281">
        <f>S!H371</f>
        <v>0</v>
      </c>
      <c r="U365" s="274">
        <f>B!H366</f>
        <v>0</v>
      </c>
      <c r="V365" s="272">
        <f>Zn!G367</f>
        <v>0</v>
      </c>
      <c r="W365" s="272">
        <f>Cu!G367</f>
        <v>0</v>
      </c>
      <c r="X365" s="272">
        <f>Mn!G367</f>
        <v>0</v>
      </c>
      <c r="Y365" s="272">
        <f>Fe!G367</f>
        <v>0</v>
      </c>
      <c r="Z365" s="274">
        <f>M.O!H367</f>
        <v>0</v>
      </c>
      <c r="AA365" s="272" t="e">
        <f t="shared" si="30"/>
        <v>#DIV/0!</v>
      </c>
      <c r="AB365" s="272" t="e">
        <f t="shared" si="31"/>
        <v>#DIV/0!</v>
      </c>
      <c r="AC365" s="272" t="e">
        <f t="shared" si="32"/>
        <v>#DIV/0!</v>
      </c>
    </row>
    <row r="366" spans="1:29" x14ac:dyDescent="0.2">
      <c r="A366" s="106">
        <f>Cadastro!A370</f>
        <v>0</v>
      </c>
      <c r="B366" s="27">
        <f>Cadastro!E368</f>
        <v>0</v>
      </c>
      <c r="C366">
        <f>pH_água!C366</f>
        <v>0</v>
      </c>
      <c r="D366">
        <f>pH_KCl!B367</f>
        <v>0</v>
      </c>
      <c r="E366">
        <f>'pH CaCl2'!C366</f>
        <v>0</v>
      </c>
      <c r="F366" s="104">
        <f>P_Mehlich1!H351</f>
        <v>0</v>
      </c>
      <c r="G366" s="123">
        <f>P_resina!H371</f>
        <v>0</v>
      </c>
      <c r="H366" s="272">
        <f>K!G336</f>
        <v>0</v>
      </c>
      <c r="I366" s="125">
        <v>0</v>
      </c>
      <c r="J366" s="272">
        <f>'Ca2+'!G367</f>
        <v>0</v>
      </c>
      <c r="K366" s="272">
        <f>Mg²!G369</f>
        <v>0</v>
      </c>
      <c r="L366" s="279">
        <f>Al³!C368</f>
        <v>0</v>
      </c>
      <c r="M366" s="279">
        <f>'H + Al'!D368</f>
        <v>0</v>
      </c>
      <c r="N366" s="272">
        <f t="shared" si="25"/>
        <v>0</v>
      </c>
      <c r="O366" s="272">
        <f t="shared" si="26"/>
        <v>0</v>
      </c>
      <c r="P366" s="272">
        <f t="shared" si="27"/>
        <v>0</v>
      </c>
      <c r="Q366" s="293" t="e">
        <f t="shared" si="28"/>
        <v>#DIV/0!</v>
      </c>
      <c r="R366" s="293" t="e">
        <f t="shared" si="29"/>
        <v>#DIV/0!</v>
      </c>
      <c r="S366">
        <f>Prem!H368</f>
        <v>0</v>
      </c>
      <c r="T366" s="281">
        <f>S!H372</f>
        <v>0</v>
      </c>
      <c r="U366" s="274">
        <f>B!H367</f>
        <v>0</v>
      </c>
      <c r="V366" s="272">
        <f>Zn!G368</f>
        <v>0</v>
      </c>
      <c r="W366" s="272">
        <f>Cu!G368</f>
        <v>0</v>
      </c>
      <c r="X366" s="272">
        <f>Mn!G368</f>
        <v>0</v>
      </c>
      <c r="Y366" s="272">
        <f>Fe!G368</f>
        <v>0</v>
      </c>
      <c r="Z366" s="274">
        <f>M.O!H368</f>
        <v>0</v>
      </c>
      <c r="AA366" s="272" t="e">
        <f t="shared" si="30"/>
        <v>#DIV/0!</v>
      </c>
      <c r="AB366" s="272" t="e">
        <f t="shared" si="31"/>
        <v>#DIV/0!</v>
      </c>
      <c r="AC366" s="272" t="e">
        <f t="shared" si="32"/>
        <v>#DIV/0!</v>
      </c>
    </row>
    <row r="367" spans="1:29" x14ac:dyDescent="0.2">
      <c r="A367" s="106">
        <f>Cadastro!A371</f>
        <v>0</v>
      </c>
      <c r="B367" s="27">
        <f>Cadastro!E369</f>
        <v>0</v>
      </c>
      <c r="C367">
        <f>pH_água!C367</f>
        <v>0</v>
      </c>
      <c r="D367">
        <f>pH_KCl!B368</f>
        <v>0</v>
      </c>
      <c r="E367">
        <f>'pH CaCl2'!C367</f>
        <v>0</v>
      </c>
      <c r="F367" s="104">
        <f>P_Mehlich1!H352</f>
        <v>0</v>
      </c>
      <c r="G367" s="123">
        <f>P_resina!H372</f>
        <v>0</v>
      </c>
      <c r="H367" s="272">
        <f>K!G337</f>
        <v>0</v>
      </c>
      <c r="I367" s="125">
        <v>0</v>
      </c>
      <c r="J367" s="272">
        <f>'Ca2+'!G368</f>
        <v>0</v>
      </c>
      <c r="K367" s="272">
        <f>Mg²!G370</f>
        <v>0</v>
      </c>
      <c r="L367" s="279">
        <f>Al³!C369</f>
        <v>0</v>
      </c>
      <c r="M367" s="279">
        <f>'H + Al'!D369</f>
        <v>0</v>
      </c>
      <c r="N367" s="272">
        <f t="shared" si="25"/>
        <v>0</v>
      </c>
      <c r="O367" s="272">
        <f t="shared" si="26"/>
        <v>0</v>
      </c>
      <c r="P367" s="272">
        <f t="shared" si="27"/>
        <v>0</v>
      </c>
      <c r="Q367" s="293" t="e">
        <f t="shared" si="28"/>
        <v>#DIV/0!</v>
      </c>
      <c r="R367" s="293" t="e">
        <f t="shared" si="29"/>
        <v>#DIV/0!</v>
      </c>
      <c r="S367">
        <f>Prem!H369</f>
        <v>0</v>
      </c>
      <c r="T367" s="281">
        <f>S!H373</f>
        <v>0</v>
      </c>
      <c r="U367" s="274">
        <f>B!H368</f>
        <v>0</v>
      </c>
      <c r="V367" s="272">
        <f>Zn!G369</f>
        <v>0</v>
      </c>
      <c r="W367" s="272">
        <f>Cu!G369</f>
        <v>0</v>
      </c>
      <c r="X367" s="272">
        <f>Mn!G369</f>
        <v>0</v>
      </c>
      <c r="Y367" s="272">
        <f>Fe!G369</f>
        <v>0</v>
      </c>
      <c r="Z367" s="274">
        <f>M.O!H369</f>
        <v>0</v>
      </c>
      <c r="AA367" s="272" t="e">
        <f t="shared" si="30"/>
        <v>#DIV/0!</v>
      </c>
      <c r="AB367" s="272" t="e">
        <f t="shared" si="31"/>
        <v>#DIV/0!</v>
      </c>
      <c r="AC367" s="272" t="e">
        <f t="shared" si="32"/>
        <v>#DIV/0!</v>
      </c>
    </row>
    <row r="368" spans="1:29" x14ac:dyDescent="0.2">
      <c r="A368" s="106">
        <f>Cadastro!A372</f>
        <v>0</v>
      </c>
      <c r="B368" s="27">
        <f>Cadastro!E370</f>
        <v>0</v>
      </c>
      <c r="C368">
        <f>pH_água!C368</f>
        <v>0</v>
      </c>
      <c r="D368">
        <f>pH_KCl!B369</f>
        <v>0</v>
      </c>
      <c r="E368">
        <f>'pH CaCl2'!C368</f>
        <v>0</v>
      </c>
      <c r="F368" s="104">
        <f>P_Mehlich1!H353</f>
        <v>0</v>
      </c>
      <c r="G368" s="123">
        <f>P_resina!H373</f>
        <v>0</v>
      </c>
      <c r="H368" s="272">
        <f>K!G338</f>
        <v>0</v>
      </c>
      <c r="I368" s="125">
        <v>0</v>
      </c>
      <c r="J368" s="272">
        <f>'Ca2+'!G369</f>
        <v>0</v>
      </c>
      <c r="K368" s="272">
        <f>Mg²!G371</f>
        <v>0</v>
      </c>
      <c r="L368" s="279">
        <f>Al³!C370</f>
        <v>0</v>
      </c>
      <c r="M368" s="279">
        <f>'H + Al'!D370</f>
        <v>0</v>
      </c>
      <c r="N368" s="272">
        <f t="shared" si="25"/>
        <v>0</v>
      </c>
      <c r="O368" s="272">
        <f t="shared" si="26"/>
        <v>0</v>
      </c>
      <c r="P368" s="272">
        <f t="shared" si="27"/>
        <v>0</v>
      </c>
      <c r="Q368" s="293" t="e">
        <f t="shared" si="28"/>
        <v>#DIV/0!</v>
      </c>
      <c r="R368" s="293" t="e">
        <f t="shared" si="29"/>
        <v>#DIV/0!</v>
      </c>
      <c r="S368">
        <f>Prem!H370</f>
        <v>0</v>
      </c>
      <c r="T368" s="281">
        <f>S!H374</f>
        <v>0</v>
      </c>
      <c r="U368" s="274">
        <f>B!H369</f>
        <v>0</v>
      </c>
      <c r="V368" s="272">
        <f>Zn!G370</f>
        <v>0</v>
      </c>
      <c r="W368" s="272">
        <f>Cu!G370</f>
        <v>0</v>
      </c>
      <c r="X368" s="272">
        <f>Mn!G370</f>
        <v>0</v>
      </c>
      <c r="Y368" s="272">
        <f>Fe!G370</f>
        <v>0</v>
      </c>
      <c r="Z368" s="274">
        <f>M.O!H370</f>
        <v>0</v>
      </c>
      <c r="AA368" s="272" t="e">
        <f t="shared" si="30"/>
        <v>#DIV/0!</v>
      </c>
      <c r="AB368" s="272" t="e">
        <f t="shared" si="31"/>
        <v>#DIV/0!</v>
      </c>
      <c r="AC368" s="272" t="e">
        <f t="shared" si="32"/>
        <v>#DIV/0!</v>
      </c>
    </row>
    <row r="369" spans="1:29" x14ac:dyDescent="0.2">
      <c r="A369" s="106">
        <f>Cadastro!A373</f>
        <v>0</v>
      </c>
      <c r="B369" s="27">
        <f>Cadastro!E371</f>
        <v>0</v>
      </c>
      <c r="C369">
        <f>pH_água!C369</f>
        <v>0</v>
      </c>
      <c r="D369">
        <f>pH_KCl!B370</f>
        <v>0</v>
      </c>
      <c r="E369">
        <f>'pH CaCl2'!C369</f>
        <v>0</v>
      </c>
      <c r="F369" s="104">
        <f>P_Mehlich1!H354</f>
        <v>0</v>
      </c>
      <c r="G369" s="123">
        <f>P_resina!H374</f>
        <v>0</v>
      </c>
      <c r="H369" s="272">
        <f>K!G339</f>
        <v>0</v>
      </c>
      <c r="I369" s="125">
        <v>0</v>
      </c>
      <c r="J369" s="272">
        <f>'Ca2+'!G370</f>
        <v>0</v>
      </c>
      <c r="K369" s="272">
        <f>Mg²!G372</f>
        <v>0</v>
      </c>
      <c r="L369" s="279">
        <f>Al³!C371</f>
        <v>0</v>
      </c>
      <c r="M369" s="279">
        <f>'H + Al'!D371</f>
        <v>0</v>
      </c>
      <c r="N369" s="272">
        <f t="shared" si="25"/>
        <v>0</v>
      </c>
      <c r="O369" s="272">
        <f t="shared" si="26"/>
        <v>0</v>
      </c>
      <c r="P369" s="272">
        <f t="shared" si="27"/>
        <v>0</v>
      </c>
      <c r="Q369" s="293" t="e">
        <f t="shared" si="28"/>
        <v>#DIV/0!</v>
      </c>
      <c r="R369" s="293" t="e">
        <f t="shared" si="29"/>
        <v>#DIV/0!</v>
      </c>
      <c r="S369">
        <f>Prem!H371</f>
        <v>0</v>
      </c>
      <c r="T369" s="281">
        <f>S!H375</f>
        <v>0</v>
      </c>
      <c r="U369" s="274">
        <f>B!H370</f>
        <v>0</v>
      </c>
      <c r="V369" s="272">
        <f>Zn!G371</f>
        <v>0</v>
      </c>
      <c r="W369" s="272">
        <f>Cu!G371</f>
        <v>0</v>
      </c>
      <c r="X369" s="272">
        <f>Mn!G371</f>
        <v>0</v>
      </c>
      <c r="Y369" s="272">
        <f>Fe!G371</f>
        <v>0</v>
      </c>
      <c r="Z369" s="274">
        <f>M.O!H371</f>
        <v>0</v>
      </c>
      <c r="AA369" s="272" t="e">
        <f t="shared" si="30"/>
        <v>#DIV/0!</v>
      </c>
      <c r="AB369" s="272" t="e">
        <f t="shared" si="31"/>
        <v>#DIV/0!</v>
      </c>
      <c r="AC369" s="272" t="e">
        <f t="shared" si="32"/>
        <v>#DIV/0!</v>
      </c>
    </row>
    <row r="370" spans="1:29" x14ac:dyDescent="0.2">
      <c r="A370" s="106">
        <f>Cadastro!A374</f>
        <v>0</v>
      </c>
      <c r="B370" s="27">
        <f>Cadastro!E372</f>
        <v>0</v>
      </c>
      <c r="C370">
        <f>pH_água!C370</f>
        <v>0</v>
      </c>
      <c r="D370">
        <f>pH_KCl!B371</f>
        <v>0</v>
      </c>
      <c r="E370">
        <f>'pH CaCl2'!C370</f>
        <v>0</v>
      </c>
      <c r="F370" s="104">
        <f>P_Mehlich1!H355</f>
        <v>0</v>
      </c>
      <c r="G370" s="123">
        <f>P_resina!H375</f>
        <v>0</v>
      </c>
      <c r="H370" s="272">
        <f>K!G340</f>
        <v>0</v>
      </c>
      <c r="I370" s="125">
        <v>0</v>
      </c>
      <c r="J370" s="272">
        <f>'Ca2+'!G371</f>
        <v>0</v>
      </c>
      <c r="K370" s="272">
        <f>Mg²!G373</f>
        <v>0</v>
      </c>
      <c r="L370" s="279">
        <f>Al³!C372</f>
        <v>0</v>
      </c>
      <c r="M370" s="279">
        <f>'H + Al'!D372</f>
        <v>0</v>
      </c>
      <c r="N370" s="272">
        <f t="shared" si="25"/>
        <v>0</v>
      </c>
      <c r="O370" s="272">
        <f t="shared" si="26"/>
        <v>0</v>
      </c>
      <c r="P370" s="272">
        <f t="shared" si="27"/>
        <v>0</v>
      </c>
      <c r="Q370" s="293" t="e">
        <f t="shared" si="28"/>
        <v>#DIV/0!</v>
      </c>
      <c r="R370" s="293" t="e">
        <f t="shared" si="29"/>
        <v>#DIV/0!</v>
      </c>
      <c r="S370">
        <f>Prem!H372</f>
        <v>0</v>
      </c>
      <c r="T370" s="281">
        <f>S!H376</f>
        <v>0</v>
      </c>
      <c r="U370" s="274">
        <f>B!H371</f>
        <v>0</v>
      </c>
      <c r="V370" s="272">
        <f>Zn!G372</f>
        <v>0</v>
      </c>
      <c r="W370" s="272">
        <f>Cu!G372</f>
        <v>0</v>
      </c>
      <c r="X370" s="272">
        <f>Mn!G372</f>
        <v>0</v>
      </c>
      <c r="Y370" s="272">
        <f>Fe!G372</f>
        <v>0</v>
      </c>
      <c r="Z370" s="274">
        <f>M.O!H372</f>
        <v>0</v>
      </c>
      <c r="AA370" s="272" t="e">
        <f t="shared" si="30"/>
        <v>#DIV/0!</v>
      </c>
      <c r="AB370" s="272" t="e">
        <f t="shared" si="31"/>
        <v>#DIV/0!</v>
      </c>
      <c r="AC370" s="272" t="e">
        <f t="shared" si="32"/>
        <v>#DIV/0!</v>
      </c>
    </row>
    <row r="371" spans="1:29" x14ac:dyDescent="0.2">
      <c r="A371" s="106">
        <f>Cadastro!A375</f>
        <v>0</v>
      </c>
      <c r="B371" s="27">
        <f>Cadastro!E373</f>
        <v>0</v>
      </c>
      <c r="C371">
        <f>pH_água!C371</f>
        <v>0</v>
      </c>
      <c r="D371">
        <f>pH_KCl!B372</f>
        <v>0</v>
      </c>
      <c r="E371">
        <f>'pH CaCl2'!C371</f>
        <v>0</v>
      </c>
      <c r="F371" s="104">
        <f>P_Mehlich1!H356</f>
        <v>0</v>
      </c>
      <c r="G371" s="123">
        <f>P_resina!H376</f>
        <v>0</v>
      </c>
      <c r="H371" s="272">
        <f>K!G341</f>
        <v>0</v>
      </c>
      <c r="I371" s="125">
        <v>0</v>
      </c>
      <c r="J371" s="272">
        <f>'Ca2+'!G372</f>
        <v>0</v>
      </c>
      <c r="K371" s="272">
        <f>Mg²!G374</f>
        <v>0</v>
      </c>
      <c r="L371" s="279">
        <f>Al³!C373</f>
        <v>0</v>
      </c>
      <c r="M371" s="279">
        <f>'H + Al'!D373</f>
        <v>0</v>
      </c>
      <c r="N371" s="272">
        <f t="shared" si="25"/>
        <v>0</v>
      </c>
      <c r="O371" s="272">
        <f t="shared" si="26"/>
        <v>0</v>
      </c>
      <c r="P371" s="272">
        <f t="shared" si="27"/>
        <v>0</v>
      </c>
      <c r="Q371" s="293" t="e">
        <f t="shared" si="28"/>
        <v>#DIV/0!</v>
      </c>
      <c r="R371" s="293" t="e">
        <f t="shared" si="29"/>
        <v>#DIV/0!</v>
      </c>
      <c r="S371">
        <f>Prem!H373</f>
        <v>0</v>
      </c>
      <c r="T371" s="281">
        <f>S!H377</f>
        <v>0</v>
      </c>
      <c r="U371" s="274">
        <f>B!H372</f>
        <v>0</v>
      </c>
      <c r="V371" s="272">
        <f>Zn!G373</f>
        <v>0</v>
      </c>
      <c r="W371" s="272">
        <f>Cu!G373</f>
        <v>0</v>
      </c>
      <c r="X371" s="272">
        <f>Mn!G373</f>
        <v>0</v>
      </c>
      <c r="Y371" s="272">
        <f>Fe!G373</f>
        <v>0</v>
      </c>
      <c r="Z371" s="274">
        <f>M.O!H373</f>
        <v>0</v>
      </c>
      <c r="AA371" s="272" t="e">
        <f t="shared" si="30"/>
        <v>#DIV/0!</v>
      </c>
      <c r="AB371" s="272" t="e">
        <f t="shared" si="31"/>
        <v>#DIV/0!</v>
      </c>
      <c r="AC371" s="272" t="e">
        <f t="shared" si="32"/>
        <v>#DIV/0!</v>
      </c>
    </row>
    <row r="372" spans="1:29" x14ac:dyDescent="0.2">
      <c r="A372" s="106">
        <f>Cadastro!A376</f>
        <v>0</v>
      </c>
      <c r="B372" s="27">
        <f>Cadastro!E374</f>
        <v>0</v>
      </c>
      <c r="C372">
        <f>pH_água!C372</f>
        <v>0</v>
      </c>
      <c r="D372">
        <f>pH_KCl!B373</f>
        <v>0</v>
      </c>
      <c r="E372">
        <f>'pH CaCl2'!C372</f>
        <v>0</v>
      </c>
      <c r="F372" s="104">
        <f>P_Mehlich1!H357</f>
        <v>0</v>
      </c>
      <c r="G372" s="123">
        <f>P_resina!H377</f>
        <v>0</v>
      </c>
      <c r="H372" s="272">
        <f>K!G342</f>
        <v>0</v>
      </c>
      <c r="I372" s="125">
        <v>0</v>
      </c>
      <c r="J372" s="272">
        <f>'Ca2+'!G373</f>
        <v>0</v>
      </c>
      <c r="K372" s="272">
        <f>Mg²!G375</f>
        <v>0</v>
      </c>
      <c r="L372" s="279">
        <f>Al³!C374</f>
        <v>0</v>
      </c>
      <c r="M372" s="279">
        <f>'H + Al'!D374</f>
        <v>0</v>
      </c>
      <c r="N372" s="272">
        <f t="shared" ref="N372:N435" si="33">(H372/390)+(I372/230)+J372+K372</f>
        <v>0</v>
      </c>
      <c r="O372" s="272">
        <f t="shared" ref="O372:O435" si="34">N372+L372</f>
        <v>0</v>
      </c>
      <c r="P372" s="272">
        <f t="shared" ref="P372:P435" si="35">N372+M372</f>
        <v>0</v>
      </c>
      <c r="Q372" s="293" t="e">
        <f t="shared" ref="Q372:Q435" si="36">(N372/P372)*100</f>
        <v>#DIV/0!</v>
      </c>
      <c r="R372" s="293" t="e">
        <f t="shared" ref="R372:R435" si="37">(L372/O372)*100</f>
        <v>#DIV/0!</v>
      </c>
      <c r="S372">
        <f>Prem!H374</f>
        <v>0</v>
      </c>
      <c r="T372" s="281">
        <f>S!H378</f>
        <v>0</v>
      </c>
      <c r="U372" s="274">
        <f>B!H373</f>
        <v>0</v>
      </c>
      <c r="V372" s="272">
        <f>Zn!G374</f>
        <v>0</v>
      </c>
      <c r="W372" s="272">
        <f>Cu!G374</f>
        <v>0</v>
      </c>
      <c r="X372" s="272">
        <f>Mn!G374</f>
        <v>0</v>
      </c>
      <c r="Y372" s="272">
        <f>Fe!G374</f>
        <v>0</v>
      </c>
      <c r="Z372" s="274">
        <f>M.O!H374</f>
        <v>0</v>
      </c>
      <c r="AA372" s="272" t="e">
        <f t="shared" ref="AA372:AA435" si="38">J372/K372</f>
        <v>#DIV/0!</v>
      </c>
      <c r="AB372" s="272" t="e">
        <f t="shared" ref="AB372:AB435" si="39">J372/(H372/390)</f>
        <v>#DIV/0!</v>
      </c>
      <c r="AC372" s="272" t="e">
        <f t="shared" ref="AC372:AC435" si="40">K372/(H372/390)</f>
        <v>#DIV/0!</v>
      </c>
    </row>
    <row r="373" spans="1:29" x14ac:dyDescent="0.2">
      <c r="A373" s="106">
        <f>Cadastro!A377</f>
        <v>0</v>
      </c>
      <c r="B373" s="27">
        <f>Cadastro!E375</f>
        <v>0</v>
      </c>
      <c r="C373">
        <f>pH_água!C373</f>
        <v>0</v>
      </c>
      <c r="D373">
        <f>pH_KCl!B374</f>
        <v>0</v>
      </c>
      <c r="E373">
        <f>'pH CaCl2'!C373</f>
        <v>0</v>
      </c>
      <c r="F373" s="104">
        <f>P_Mehlich1!H358</f>
        <v>0</v>
      </c>
      <c r="G373" s="123">
        <f>P_resina!H378</f>
        <v>0</v>
      </c>
      <c r="H373" s="272">
        <f>K!G343</f>
        <v>0</v>
      </c>
      <c r="I373" s="125">
        <v>0</v>
      </c>
      <c r="J373" s="272">
        <f>'Ca2+'!G374</f>
        <v>0</v>
      </c>
      <c r="K373" s="272">
        <f>Mg²!G376</f>
        <v>0</v>
      </c>
      <c r="L373" s="279">
        <f>Al³!C375</f>
        <v>0</v>
      </c>
      <c r="M373" s="279">
        <f>'H + Al'!D375</f>
        <v>0</v>
      </c>
      <c r="N373" s="272">
        <f t="shared" si="33"/>
        <v>0</v>
      </c>
      <c r="O373" s="272">
        <f t="shared" si="34"/>
        <v>0</v>
      </c>
      <c r="P373" s="272">
        <f t="shared" si="35"/>
        <v>0</v>
      </c>
      <c r="Q373" s="293" t="e">
        <f t="shared" si="36"/>
        <v>#DIV/0!</v>
      </c>
      <c r="R373" s="293" t="e">
        <f t="shared" si="37"/>
        <v>#DIV/0!</v>
      </c>
      <c r="S373">
        <f>Prem!H375</f>
        <v>0</v>
      </c>
      <c r="T373" s="281">
        <f>S!H379</f>
        <v>0</v>
      </c>
      <c r="U373" s="274">
        <f>B!H374</f>
        <v>0</v>
      </c>
      <c r="V373" s="272">
        <f>Zn!G375</f>
        <v>0</v>
      </c>
      <c r="W373" s="272">
        <f>Cu!G375</f>
        <v>0</v>
      </c>
      <c r="X373" s="272">
        <f>Mn!G375</f>
        <v>0</v>
      </c>
      <c r="Y373" s="272">
        <f>Fe!G375</f>
        <v>0</v>
      </c>
      <c r="Z373" s="274">
        <f>M.O!H375</f>
        <v>0</v>
      </c>
      <c r="AA373" s="272" t="e">
        <f t="shared" si="38"/>
        <v>#DIV/0!</v>
      </c>
      <c r="AB373" s="272" t="e">
        <f t="shared" si="39"/>
        <v>#DIV/0!</v>
      </c>
      <c r="AC373" s="272" t="e">
        <f t="shared" si="40"/>
        <v>#DIV/0!</v>
      </c>
    </row>
    <row r="374" spans="1:29" x14ac:dyDescent="0.2">
      <c r="A374" s="106">
        <f>Cadastro!A378</f>
        <v>0</v>
      </c>
      <c r="B374" s="27">
        <f>Cadastro!E376</f>
        <v>0</v>
      </c>
      <c r="C374">
        <f>pH_água!C374</f>
        <v>0</v>
      </c>
      <c r="D374">
        <f>pH_KCl!B375</f>
        <v>0</v>
      </c>
      <c r="E374">
        <f>'pH CaCl2'!C374</f>
        <v>0</v>
      </c>
      <c r="F374" s="104">
        <f>P_Mehlich1!H359</f>
        <v>0</v>
      </c>
      <c r="G374" s="123">
        <f>P_resina!H379</f>
        <v>0</v>
      </c>
      <c r="H374" s="272">
        <f>K!G344</f>
        <v>0</v>
      </c>
      <c r="I374" s="125">
        <v>0</v>
      </c>
      <c r="J374" s="272">
        <f>'Ca2+'!G375</f>
        <v>0</v>
      </c>
      <c r="K374" s="272">
        <f>Mg²!G377</f>
        <v>0</v>
      </c>
      <c r="L374" s="279">
        <f>Al³!C376</f>
        <v>0</v>
      </c>
      <c r="M374" s="279">
        <f>'H + Al'!D376</f>
        <v>0</v>
      </c>
      <c r="N374" s="272">
        <f t="shared" si="33"/>
        <v>0</v>
      </c>
      <c r="O374" s="272">
        <f t="shared" si="34"/>
        <v>0</v>
      </c>
      <c r="P374" s="272">
        <f t="shared" si="35"/>
        <v>0</v>
      </c>
      <c r="Q374" s="293" t="e">
        <f t="shared" si="36"/>
        <v>#DIV/0!</v>
      </c>
      <c r="R374" s="293" t="e">
        <f t="shared" si="37"/>
        <v>#DIV/0!</v>
      </c>
      <c r="S374">
        <f>Prem!H376</f>
        <v>0</v>
      </c>
      <c r="T374" s="281">
        <f>S!H380</f>
        <v>0</v>
      </c>
      <c r="U374" s="274">
        <f>B!H375</f>
        <v>0</v>
      </c>
      <c r="V374" s="272">
        <f>Zn!G376</f>
        <v>0</v>
      </c>
      <c r="W374" s="272">
        <f>Cu!G376</f>
        <v>0</v>
      </c>
      <c r="X374" s="272">
        <f>Mn!G376</f>
        <v>0</v>
      </c>
      <c r="Y374" s="272">
        <f>Fe!G376</f>
        <v>0</v>
      </c>
      <c r="Z374" s="274">
        <f>M.O!H376</f>
        <v>0</v>
      </c>
      <c r="AA374" s="272" t="e">
        <f t="shared" si="38"/>
        <v>#DIV/0!</v>
      </c>
      <c r="AB374" s="272" t="e">
        <f t="shared" si="39"/>
        <v>#DIV/0!</v>
      </c>
      <c r="AC374" s="272" t="e">
        <f t="shared" si="40"/>
        <v>#DIV/0!</v>
      </c>
    </row>
    <row r="375" spans="1:29" x14ac:dyDescent="0.2">
      <c r="A375" s="106">
        <f>Cadastro!A379</f>
        <v>0</v>
      </c>
      <c r="B375" s="27">
        <f>Cadastro!E377</f>
        <v>0</v>
      </c>
      <c r="C375">
        <f>pH_água!C375</f>
        <v>0</v>
      </c>
      <c r="D375">
        <f>pH_KCl!B376</f>
        <v>0</v>
      </c>
      <c r="E375">
        <f>'pH CaCl2'!C375</f>
        <v>0</v>
      </c>
      <c r="F375" s="104">
        <f>P_Mehlich1!H360</f>
        <v>0</v>
      </c>
      <c r="G375" s="123">
        <f>P_resina!H380</f>
        <v>0</v>
      </c>
      <c r="H375" s="272">
        <f>K!G345</f>
        <v>0</v>
      </c>
      <c r="I375" s="125">
        <v>0</v>
      </c>
      <c r="J375" s="272">
        <f>'Ca2+'!G376</f>
        <v>0</v>
      </c>
      <c r="K375" s="272">
        <f>Mg²!G378</f>
        <v>0</v>
      </c>
      <c r="L375" s="279">
        <f>Al³!C377</f>
        <v>0</v>
      </c>
      <c r="M375" s="279">
        <f>'H + Al'!D377</f>
        <v>0</v>
      </c>
      <c r="N375" s="272">
        <f t="shared" si="33"/>
        <v>0</v>
      </c>
      <c r="O375" s="272">
        <f t="shared" si="34"/>
        <v>0</v>
      </c>
      <c r="P375" s="272">
        <f t="shared" si="35"/>
        <v>0</v>
      </c>
      <c r="Q375" s="293" t="e">
        <f t="shared" si="36"/>
        <v>#DIV/0!</v>
      </c>
      <c r="R375" s="293" t="e">
        <f t="shared" si="37"/>
        <v>#DIV/0!</v>
      </c>
      <c r="S375">
        <f>Prem!H377</f>
        <v>0</v>
      </c>
      <c r="T375" s="281">
        <f>S!H381</f>
        <v>0</v>
      </c>
      <c r="U375" s="274">
        <f>B!H376</f>
        <v>0</v>
      </c>
      <c r="V375" s="272">
        <f>Zn!G377</f>
        <v>0</v>
      </c>
      <c r="W375" s="272">
        <f>Cu!G377</f>
        <v>0</v>
      </c>
      <c r="X375" s="272">
        <f>Mn!G377</f>
        <v>0</v>
      </c>
      <c r="Y375" s="272">
        <f>Fe!G377</f>
        <v>0</v>
      </c>
      <c r="Z375" s="274">
        <f>M.O!H377</f>
        <v>0</v>
      </c>
      <c r="AA375" s="272" t="e">
        <f t="shared" si="38"/>
        <v>#DIV/0!</v>
      </c>
      <c r="AB375" s="272" t="e">
        <f t="shared" si="39"/>
        <v>#DIV/0!</v>
      </c>
      <c r="AC375" s="272" t="e">
        <f t="shared" si="40"/>
        <v>#DIV/0!</v>
      </c>
    </row>
    <row r="376" spans="1:29" x14ac:dyDescent="0.2">
      <c r="A376" s="106">
        <f>Cadastro!A380</f>
        <v>0</v>
      </c>
      <c r="B376" s="27">
        <f>Cadastro!E378</f>
        <v>0</v>
      </c>
      <c r="C376">
        <f>pH_água!C376</f>
        <v>0</v>
      </c>
      <c r="D376">
        <f>pH_KCl!B377</f>
        <v>0</v>
      </c>
      <c r="E376">
        <f>'pH CaCl2'!C376</f>
        <v>0</v>
      </c>
      <c r="F376" s="104">
        <f>P_Mehlich1!H361</f>
        <v>0</v>
      </c>
      <c r="G376" s="123">
        <f>P_resina!H381</f>
        <v>0</v>
      </c>
      <c r="H376" s="272">
        <f>K!G346</f>
        <v>0</v>
      </c>
      <c r="I376" s="125">
        <v>0</v>
      </c>
      <c r="J376" s="272">
        <f>'Ca2+'!G377</f>
        <v>0</v>
      </c>
      <c r="K376" s="272">
        <f>Mg²!G379</f>
        <v>0</v>
      </c>
      <c r="L376" s="279">
        <f>Al³!C378</f>
        <v>0</v>
      </c>
      <c r="M376" s="279">
        <f>'H + Al'!D378</f>
        <v>0</v>
      </c>
      <c r="N376" s="272">
        <f t="shared" si="33"/>
        <v>0</v>
      </c>
      <c r="O376" s="272">
        <f t="shared" si="34"/>
        <v>0</v>
      </c>
      <c r="P376" s="272">
        <f t="shared" si="35"/>
        <v>0</v>
      </c>
      <c r="Q376" s="293" t="e">
        <f t="shared" si="36"/>
        <v>#DIV/0!</v>
      </c>
      <c r="R376" s="293" t="e">
        <f t="shared" si="37"/>
        <v>#DIV/0!</v>
      </c>
      <c r="S376">
        <f>Prem!H378</f>
        <v>0</v>
      </c>
      <c r="T376" s="281">
        <f>S!H382</f>
        <v>0</v>
      </c>
      <c r="U376" s="274">
        <f>B!H377</f>
        <v>0</v>
      </c>
      <c r="V376" s="272">
        <f>Zn!G378</f>
        <v>0</v>
      </c>
      <c r="W376" s="272">
        <f>Cu!G378</f>
        <v>0</v>
      </c>
      <c r="X376" s="272">
        <f>Mn!G378</f>
        <v>0</v>
      </c>
      <c r="Y376" s="272">
        <f>Fe!G378</f>
        <v>0</v>
      </c>
      <c r="Z376" s="274">
        <f>M.O!H378</f>
        <v>0</v>
      </c>
      <c r="AA376" s="272" t="e">
        <f t="shared" si="38"/>
        <v>#DIV/0!</v>
      </c>
      <c r="AB376" s="272" t="e">
        <f t="shared" si="39"/>
        <v>#DIV/0!</v>
      </c>
      <c r="AC376" s="272" t="e">
        <f t="shared" si="40"/>
        <v>#DIV/0!</v>
      </c>
    </row>
    <row r="377" spans="1:29" x14ac:dyDescent="0.2">
      <c r="A377" s="106">
        <f>Cadastro!A381</f>
        <v>0</v>
      </c>
      <c r="B377" s="27">
        <f>Cadastro!E379</f>
        <v>0</v>
      </c>
      <c r="C377">
        <f>pH_água!C377</f>
        <v>0</v>
      </c>
      <c r="D377">
        <f>pH_KCl!B378</f>
        <v>0</v>
      </c>
      <c r="E377">
        <f>'pH CaCl2'!C377</f>
        <v>0</v>
      </c>
      <c r="F377" s="104">
        <f>P_Mehlich1!H362</f>
        <v>0</v>
      </c>
      <c r="G377" s="123">
        <f>P_resina!H382</f>
        <v>0</v>
      </c>
      <c r="H377" s="272">
        <f>K!G347</f>
        <v>0</v>
      </c>
      <c r="I377" s="125">
        <v>0</v>
      </c>
      <c r="J377" s="272">
        <f>'Ca2+'!G378</f>
        <v>0</v>
      </c>
      <c r="K377" s="272">
        <f>Mg²!G380</f>
        <v>0</v>
      </c>
      <c r="L377" s="279">
        <f>Al³!C379</f>
        <v>0</v>
      </c>
      <c r="M377" s="279">
        <f>'H + Al'!D379</f>
        <v>0</v>
      </c>
      <c r="N377" s="272">
        <f t="shared" si="33"/>
        <v>0</v>
      </c>
      <c r="O377" s="272">
        <f t="shared" si="34"/>
        <v>0</v>
      </c>
      <c r="P377" s="272">
        <f t="shared" si="35"/>
        <v>0</v>
      </c>
      <c r="Q377" s="293" t="e">
        <f t="shared" si="36"/>
        <v>#DIV/0!</v>
      </c>
      <c r="R377" s="293" t="e">
        <f t="shared" si="37"/>
        <v>#DIV/0!</v>
      </c>
      <c r="S377">
        <f>Prem!H379</f>
        <v>0</v>
      </c>
      <c r="T377" s="281">
        <f>S!H383</f>
        <v>0</v>
      </c>
      <c r="U377" s="274">
        <f>B!H378</f>
        <v>0</v>
      </c>
      <c r="V377" s="272">
        <f>Zn!G379</f>
        <v>0</v>
      </c>
      <c r="W377" s="272">
        <f>Cu!G379</f>
        <v>0</v>
      </c>
      <c r="X377" s="272">
        <f>Mn!G379</f>
        <v>0</v>
      </c>
      <c r="Y377" s="272">
        <f>Fe!G379</f>
        <v>0</v>
      </c>
      <c r="Z377" s="274">
        <f>M.O!H379</f>
        <v>0</v>
      </c>
      <c r="AA377" s="272" t="e">
        <f t="shared" si="38"/>
        <v>#DIV/0!</v>
      </c>
      <c r="AB377" s="272" t="e">
        <f t="shared" si="39"/>
        <v>#DIV/0!</v>
      </c>
      <c r="AC377" s="272" t="e">
        <f t="shared" si="40"/>
        <v>#DIV/0!</v>
      </c>
    </row>
    <row r="378" spans="1:29" x14ac:dyDescent="0.2">
      <c r="A378" s="106">
        <f>Cadastro!A382</f>
        <v>0</v>
      </c>
      <c r="B378" s="27">
        <f>Cadastro!E380</f>
        <v>0</v>
      </c>
      <c r="C378">
        <f>pH_água!C378</f>
        <v>0</v>
      </c>
      <c r="D378">
        <f>pH_KCl!B379</f>
        <v>0</v>
      </c>
      <c r="E378">
        <f>'pH CaCl2'!C378</f>
        <v>0</v>
      </c>
      <c r="F378" s="104">
        <f>P_Mehlich1!H363</f>
        <v>0</v>
      </c>
      <c r="G378" s="123">
        <f>P_resina!H383</f>
        <v>0</v>
      </c>
      <c r="H378" s="272">
        <f>K!G348</f>
        <v>0</v>
      </c>
      <c r="I378" s="125">
        <v>0</v>
      </c>
      <c r="J378" s="272">
        <f>'Ca2+'!G379</f>
        <v>0</v>
      </c>
      <c r="K378" s="272">
        <f>Mg²!G381</f>
        <v>0</v>
      </c>
      <c r="L378" s="279">
        <f>Al³!C380</f>
        <v>0</v>
      </c>
      <c r="M378" s="279">
        <f>'H + Al'!D380</f>
        <v>0</v>
      </c>
      <c r="N378" s="272">
        <f t="shared" si="33"/>
        <v>0</v>
      </c>
      <c r="O378" s="272">
        <f t="shared" si="34"/>
        <v>0</v>
      </c>
      <c r="P378" s="272">
        <f t="shared" si="35"/>
        <v>0</v>
      </c>
      <c r="Q378" s="293" t="e">
        <f t="shared" si="36"/>
        <v>#DIV/0!</v>
      </c>
      <c r="R378" s="293" t="e">
        <f t="shared" si="37"/>
        <v>#DIV/0!</v>
      </c>
      <c r="S378">
        <f>Prem!H380</f>
        <v>0</v>
      </c>
      <c r="T378" s="281">
        <f>S!H384</f>
        <v>0</v>
      </c>
      <c r="U378" s="274">
        <f>B!H379</f>
        <v>0</v>
      </c>
      <c r="V378" s="272">
        <f>Zn!G380</f>
        <v>0</v>
      </c>
      <c r="W378" s="272">
        <f>Cu!G380</f>
        <v>0</v>
      </c>
      <c r="X378" s="272">
        <f>Mn!G380</f>
        <v>0</v>
      </c>
      <c r="Y378" s="272">
        <f>Fe!G380</f>
        <v>0</v>
      </c>
      <c r="Z378" s="274">
        <f>M.O!H380</f>
        <v>0</v>
      </c>
      <c r="AA378" s="272" t="e">
        <f t="shared" si="38"/>
        <v>#DIV/0!</v>
      </c>
      <c r="AB378" s="272" t="e">
        <f t="shared" si="39"/>
        <v>#DIV/0!</v>
      </c>
      <c r="AC378" s="272" t="e">
        <f t="shared" si="40"/>
        <v>#DIV/0!</v>
      </c>
    </row>
    <row r="379" spans="1:29" x14ac:dyDescent="0.2">
      <c r="A379" s="106">
        <f>Cadastro!A383</f>
        <v>0</v>
      </c>
      <c r="B379" s="27">
        <f>Cadastro!E381</f>
        <v>0</v>
      </c>
      <c r="C379">
        <f>pH_água!C379</f>
        <v>0</v>
      </c>
      <c r="D379">
        <f>pH_KCl!B380</f>
        <v>0</v>
      </c>
      <c r="E379">
        <f>'pH CaCl2'!C379</f>
        <v>0</v>
      </c>
      <c r="F379" s="104">
        <f>P_Mehlich1!H364</f>
        <v>0</v>
      </c>
      <c r="G379" s="123">
        <f>P_resina!H384</f>
        <v>0</v>
      </c>
      <c r="H379" s="272">
        <f>K!G349</f>
        <v>0</v>
      </c>
      <c r="I379" s="125">
        <v>0</v>
      </c>
      <c r="J379" s="272">
        <f>'Ca2+'!G380</f>
        <v>0</v>
      </c>
      <c r="K379" s="272">
        <f>Mg²!G382</f>
        <v>0</v>
      </c>
      <c r="L379" s="279">
        <f>Al³!C381</f>
        <v>0</v>
      </c>
      <c r="M379" s="279">
        <f>'H + Al'!D381</f>
        <v>0</v>
      </c>
      <c r="N379" s="272">
        <f t="shared" si="33"/>
        <v>0</v>
      </c>
      <c r="O379" s="272">
        <f t="shared" si="34"/>
        <v>0</v>
      </c>
      <c r="P379" s="272">
        <f t="shared" si="35"/>
        <v>0</v>
      </c>
      <c r="Q379" s="293" t="e">
        <f t="shared" si="36"/>
        <v>#DIV/0!</v>
      </c>
      <c r="R379" s="293" t="e">
        <f t="shared" si="37"/>
        <v>#DIV/0!</v>
      </c>
      <c r="S379">
        <f>Prem!H381</f>
        <v>0</v>
      </c>
      <c r="T379" s="281">
        <f>S!H385</f>
        <v>0</v>
      </c>
      <c r="U379" s="274">
        <f>B!H380</f>
        <v>0</v>
      </c>
      <c r="V379" s="272">
        <f>Zn!G381</f>
        <v>0</v>
      </c>
      <c r="W379" s="272">
        <f>Cu!G381</f>
        <v>0</v>
      </c>
      <c r="X379" s="272">
        <f>Mn!G381</f>
        <v>0</v>
      </c>
      <c r="Y379" s="272">
        <f>Fe!G381</f>
        <v>0</v>
      </c>
      <c r="Z379" s="274">
        <f>M.O!H381</f>
        <v>0</v>
      </c>
      <c r="AA379" s="272" t="e">
        <f t="shared" si="38"/>
        <v>#DIV/0!</v>
      </c>
      <c r="AB379" s="272" t="e">
        <f t="shared" si="39"/>
        <v>#DIV/0!</v>
      </c>
      <c r="AC379" s="272" t="e">
        <f t="shared" si="40"/>
        <v>#DIV/0!</v>
      </c>
    </row>
    <row r="380" spans="1:29" x14ac:dyDescent="0.2">
      <c r="A380" s="106">
        <f>Cadastro!A384</f>
        <v>0</v>
      </c>
      <c r="B380" s="27">
        <f>Cadastro!E382</f>
        <v>0</v>
      </c>
      <c r="C380">
        <f>pH_água!C380</f>
        <v>0</v>
      </c>
      <c r="D380">
        <f>pH_KCl!B381</f>
        <v>0</v>
      </c>
      <c r="E380">
        <f>'pH CaCl2'!C380</f>
        <v>0</v>
      </c>
      <c r="F380" s="104">
        <f>P_Mehlich1!H365</f>
        <v>0</v>
      </c>
      <c r="G380" s="123">
        <f>P_resina!H385</f>
        <v>0</v>
      </c>
      <c r="H380" s="272">
        <f>K!G350</f>
        <v>0</v>
      </c>
      <c r="I380" s="125">
        <v>0</v>
      </c>
      <c r="J380" s="272">
        <f>'Ca2+'!G381</f>
        <v>0</v>
      </c>
      <c r="K380" s="272">
        <f>Mg²!G383</f>
        <v>0</v>
      </c>
      <c r="L380" s="279">
        <f>Al³!C382</f>
        <v>0</v>
      </c>
      <c r="M380" s="279">
        <f>'H + Al'!D382</f>
        <v>0</v>
      </c>
      <c r="N380" s="272">
        <f t="shared" si="33"/>
        <v>0</v>
      </c>
      <c r="O380" s="272">
        <f t="shared" si="34"/>
        <v>0</v>
      </c>
      <c r="P380" s="272">
        <f t="shared" si="35"/>
        <v>0</v>
      </c>
      <c r="Q380" s="293" t="e">
        <f t="shared" si="36"/>
        <v>#DIV/0!</v>
      </c>
      <c r="R380" s="293" t="e">
        <f t="shared" si="37"/>
        <v>#DIV/0!</v>
      </c>
      <c r="S380">
        <f>Prem!H382</f>
        <v>0</v>
      </c>
      <c r="T380" s="281">
        <f>S!H386</f>
        <v>0</v>
      </c>
      <c r="U380" s="274">
        <f>B!H381</f>
        <v>0</v>
      </c>
      <c r="V380" s="272">
        <f>Zn!G382</f>
        <v>0</v>
      </c>
      <c r="W380" s="272">
        <f>Cu!G382</f>
        <v>0</v>
      </c>
      <c r="X380" s="272">
        <f>Mn!G382</f>
        <v>0</v>
      </c>
      <c r="Y380" s="272">
        <f>Fe!G382</f>
        <v>0</v>
      </c>
      <c r="Z380" s="274">
        <f>M.O!H382</f>
        <v>0</v>
      </c>
      <c r="AA380" s="272" t="e">
        <f t="shared" si="38"/>
        <v>#DIV/0!</v>
      </c>
      <c r="AB380" s="272" t="e">
        <f t="shared" si="39"/>
        <v>#DIV/0!</v>
      </c>
      <c r="AC380" s="272" t="e">
        <f t="shared" si="40"/>
        <v>#DIV/0!</v>
      </c>
    </row>
    <row r="381" spans="1:29" x14ac:dyDescent="0.2">
      <c r="A381" s="106">
        <f>Cadastro!A385</f>
        <v>0</v>
      </c>
      <c r="B381" s="27">
        <f>Cadastro!E383</f>
        <v>0</v>
      </c>
      <c r="C381">
        <f>pH_água!C381</f>
        <v>0</v>
      </c>
      <c r="D381">
        <f>pH_KCl!B382</f>
        <v>0</v>
      </c>
      <c r="E381">
        <f>'pH CaCl2'!C381</f>
        <v>0</v>
      </c>
      <c r="F381" s="104">
        <f>P_Mehlich1!H366</f>
        <v>0</v>
      </c>
      <c r="G381" s="123">
        <f>P_resina!H386</f>
        <v>0</v>
      </c>
      <c r="H381" s="272">
        <f>K!G351</f>
        <v>0</v>
      </c>
      <c r="I381" s="125">
        <v>0</v>
      </c>
      <c r="J381" s="272">
        <f>'Ca2+'!G382</f>
        <v>0</v>
      </c>
      <c r="K381" s="272">
        <f>Mg²!G384</f>
        <v>0</v>
      </c>
      <c r="L381" s="279">
        <f>Al³!C383</f>
        <v>0</v>
      </c>
      <c r="M381" s="279">
        <f>'H + Al'!D383</f>
        <v>0</v>
      </c>
      <c r="N381" s="272">
        <f t="shared" si="33"/>
        <v>0</v>
      </c>
      <c r="O381" s="272">
        <f t="shared" si="34"/>
        <v>0</v>
      </c>
      <c r="P381" s="272">
        <f t="shared" si="35"/>
        <v>0</v>
      </c>
      <c r="Q381" s="293" t="e">
        <f t="shared" si="36"/>
        <v>#DIV/0!</v>
      </c>
      <c r="R381" s="293" t="e">
        <f t="shared" si="37"/>
        <v>#DIV/0!</v>
      </c>
      <c r="S381">
        <f>Prem!H383</f>
        <v>0</v>
      </c>
      <c r="T381" s="281">
        <f>S!H387</f>
        <v>0</v>
      </c>
      <c r="U381" s="274">
        <f>B!H382</f>
        <v>0</v>
      </c>
      <c r="V381" s="272">
        <f>Zn!G383</f>
        <v>0</v>
      </c>
      <c r="W381" s="272">
        <f>Cu!G383</f>
        <v>0</v>
      </c>
      <c r="X381" s="272">
        <f>Mn!G383</f>
        <v>0</v>
      </c>
      <c r="Y381" s="272">
        <f>Fe!G383</f>
        <v>0</v>
      </c>
      <c r="Z381" s="274">
        <f>M.O!H383</f>
        <v>0</v>
      </c>
      <c r="AA381" s="272" t="e">
        <f t="shared" si="38"/>
        <v>#DIV/0!</v>
      </c>
      <c r="AB381" s="272" t="e">
        <f t="shared" si="39"/>
        <v>#DIV/0!</v>
      </c>
      <c r="AC381" s="272" t="e">
        <f t="shared" si="40"/>
        <v>#DIV/0!</v>
      </c>
    </row>
    <row r="382" spans="1:29" x14ac:dyDescent="0.2">
      <c r="A382" s="106">
        <f>Cadastro!A386</f>
        <v>0</v>
      </c>
      <c r="B382" s="27">
        <f>Cadastro!E384</f>
        <v>0</v>
      </c>
      <c r="C382">
        <f>pH_água!C382</f>
        <v>0</v>
      </c>
      <c r="D382">
        <f>pH_KCl!B383</f>
        <v>0</v>
      </c>
      <c r="E382">
        <f>'pH CaCl2'!C382</f>
        <v>0</v>
      </c>
      <c r="F382" s="104">
        <f>P_Mehlich1!H367</f>
        <v>0</v>
      </c>
      <c r="G382" s="123">
        <f>P_resina!H387</f>
        <v>0</v>
      </c>
      <c r="H382" s="272">
        <f>K!G352</f>
        <v>0</v>
      </c>
      <c r="I382" s="125">
        <v>0</v>
      </c>
      <c r="J382" s="272">
        <f>'Ca2+'!G383</f>
        <v>0</v>
      </c>
      <c r="K382" s="272">
        <f>Mg²!G385</f>
        <v>0</v>
      </c>
      <c r="L382" s="279">
        <f>Al³!C384</f>
        <v>0</v>
      </c>
      <c r="M382" s="279">
        <f>'H + Al'!D384</f>
        <v>0</v>
      </c>
      <c r="N382" s="272">
        <f t="shared" si="33"/>
        <v>0</v>
      </c>
      <c r="O382" s="272">
        <f t="shared" si="34"/>
        <v>0</v>
      </c>
      <c r="P382" s="272">
        <f t="shared" si="35"/>
        <v>0</v>
      </c>
      <c r="Q382" s="293" t="e">
        <f t="shared" si="36"/>
        <v>#DIV/0!</v>
      </c>
      <c r="R382" s="293" t="e">
        <f t="shared" si="37"/>
        <v>#DIV/0!</v>
      </c>
      <c r="S382">
        <f>Prem!H384</f>
        <v>0</v>
      </c>
      <c r="T382" s="281">
        <f>S!H388</f>
        <v>0</v>
      </c>
      <c r="U382" s="274">
        <f>B!H383</f>
        <v>0</v>
      </c>
      <c r="V382" s="272">
        <f>Zn!G384</f>
        <v>0</v>
      </c>
      <c r="W382" s="272">
        <f>Cu!G384</f>
        <v>0</v>
      </c>
      <c r="X382" s="272">
        <f>Mn!G384</f>
        <v>0</v>
      </c>
      <c r="Y382" s="272">
        <f>Fe!G384</f>
        <v>0</v>
      </c>
      <c r="Z382" s="274">
        <f>M.O!H384</f>
        <v>0</v>
      </c>
      <c r="AA382" s="272" t="e">
        <f t="shared" si="38"/>
        <v>#DIV/0!</v>
      </c>
      <c r="AB382" s="272" t="e">
        <f t="shared" si="39"/>
        <v>#DIV/0!</v>
      </c>
      <c r="AC382" s="272" t="e">
        <f t="shared" si="40"/>
        <v>#DIV/0!</v>
      </c>
    </row>
    <row r="383" spans="1:29" x14ac:dyDescent="0.2">
      <c r="A383" s="106">
        <f>Cadastro!A387</f>
        <v>0</v>
      </c>
      <c r="B383" s="27">
        <f>Cadastro!E385</f>
        <v>0</v>
      </c>
      <c r="C383">
        <f>pH_água!C383</f>
        <v>0</v>
      </c>
      <c r="D383">
        <f>pH_KCl!B384</f>
        <v>0</v>
      </c>
      <c r="E383">
        <f>'pH CaCl2'!C383</f>
        <v>0</v>
      </c>
      <c r="F383" s="104">
        <f>P_Mehlich1!H368</f>
        <v>0</v>
      </c>
      <c r="G383" s="123">
        <f>P_resina!H388</f>
        <v>0</v>
      </c>
      <c r="H383" s="272">
        <f>K!G353</f>
        <v>0</v>
      </c>
      <c r="I383" s="125">
        <v>0</v>
      </c>
      <c r="J383" s="272">
        <f>'Ca2+'!G384</f>
        <v>0</v>
      </c>
      <c r="K383" s="272">
        <f>Mg²!G386</f>
        <v>0</v>
      </c>
      <c r="L383" s="279">
        <f>Al³!C385</f>
        <v>0</v>
      </c>
      <c r="M383" s="279">
        <f>'H + Al'!D385</f>
        <v>0</v>
      </c>
      <c r="N383" s="272">
        <f t="shared" si="33"/>
        <v>0</v>
      </c>
      <c r="O383" s="272">
        <f t="shared" si="34"/>
        <v>0</v>
      </c>
      <c r="P383" s="272">
        <f t="shared" si="35"/>
        <v>0</v>
      </c>
      <c r="Q383" s="293" t="e">
        <f t="shared" si="36"/>
        <v>#DIV/0!</v>
      </c>
      <c r="R383" s="293" t="e">
        <f t="shared" si="37"/>
        <v>#DIV/0!</v>
      </c>
      <c r="S383">
        <f>Prem!H385</f>
        <v>0</v>
      </c>
      <c r="T383" s="281">
        <f>S!H389</f>
        <v>0</v>
      </c>
      <c r="U383" s="274">
        <f>B!H384</f>
        <v>0</v>
      </c>
      <c r="V383" s="272">
        <f>Zn!G385</f>
        <v>0</v>
      </c>
      <c r="W383" s="272">
        <f>Cu!G385</f>
        <v>0</v>
      </c>
      <c r="X383" s="272">
        <f>Mn!G385</f>
        <v>0</v>
      </c>
      <c r="Y383" s="272">
        <f>Fe!G385</f>
        <v>0</v>
      </c>
      <c r="Z383" s="274">
        <f>M.O!H385</f>
        <v>0</v>
      </c>
      <c r="AA383" s="272" t="e">
        <f t="shared" si="38"/>
        <v>#DIV/0!</v>
      </c>
      <c r="AB383" s="272" t="e">
        <f t="shared" si="39"/>
        <v>#DIV/0!</v>
      </c>
      <c r="AC383" s="272" t="e">
        <f t="shared" si="40"/>
        <v>#DIV/0!</v>
      </c>
    </row>
    <row r="384" spans="1:29" x14ac:dyDescent="0.2">
      <c r="A384" s="106">
        <f>Cadastro!A388</f>
        <v>0</v>
      </c>
      <c r="B384" s="27">
        <f>Cadastro!E386</f>
        <v>0</v>
      </c>
      <c r="C384">
        <f>pH_água!C384</f>
        <v>0</v>
      </c>
      <c r="D384">
        <f>pH_KCl!B385</f>
        <v>0</v>
      </c>
      <c r="E384">
        <f>'pH CaCl2'!C384</f>
        <v>0</v>
      </c>
      <c r="F384" s="104">
        <f>P_Mehlich1!H369</f>
        <v>0</v>
      </c>
      <c r="G384" s="123">
        <f>P_resina!H389</f>
        <v>0</v>
      </c>
      <c r="H384" s="272">
        <f>K!G354</f>
        <v>0</v>
      </c>
      <c r="I384" s="125">
        <v>0</v>
      </c>
      <c r="J384" s="272">
        <f>'Ca2+'!G385</f>
        <v>0</v>
      </c>
      <c r="K384" s="272">
        <f>Mg²!G387</f>
        <v>0</v>
      </c>
      <c r="L384" s="279">
        <f>Al³!C386</f>
        <v>0</v>
      </c>
      <c r="M384" s="279">
        <f>'H + Al'!D386</f>
        <v>0</v>
      </c>
      <c r="N384" s="272">
        <f t="shared" si="33"/>
        <v>0</v>
      </c>
      <c r="O384" s="272">
        <f t="shared" si="34"/>
        <v>0</v>
      </c>
      <c r="P384" s="272">
        <f t="shared" si="35"/>
        <v>0</v>
      </c>
      <c r="Q384" s="293" t="e">
        <f t="shared" si="36"/>
        <v>#DIV/0!</v>
      </c>
      <c r="R384" s="293" t="e">
        <f t="shared" si="37"/>
        <v>#DIV/0!</v>
      </c>
      <c r="S384">
        <f>Prem!H386</f>
        <v>0</v>
      </c>
      <c r="T384" s="281">
        <f>S!H390</f>
        <v>0</v>
      </c>
      <c r="U384" s="274">
        <f>B!H385</f>
        <v>0</v>
      </c>
      <c r="V384" s="272">
        <f>Zn!G386</f>
        <v>0</v>
      </c>
      <c r="W384" s="272">
        <f>Cu!G386</f>
        <v>0</v>
      </c>
      <c r="X384" s="272">
        <f>Mn!G386</f>
        <v>0</v>
      </c>
      <c r="Y384" s="272">
        <f>Fe!G386</f>
        <v>0</v>
      </c>
      <c r="Z384" s="274">
        <f>M.O!H386</f>
        <v>0</v>
      </c>
      <c r="AA384" s="272" t="e">
        <f t="shared" si="38"/>
        <v>#DIV/0!</v>
      </c>
      <c r="AB384" s="272" t="e">
        <f t="shared" si="39"/>
        <v>#DIV/0!</v>
      </c>
      <c r="AC384" s="272" t="e">
        <f t="shared" si="40"/>
        <v>#DIV/0!</v>
      </c>
    </row>
    <row r="385" spans="1:29" x14ac:dyDescent="0.2">
      <c r="A385" s="106">
        <f>Cadastro!A389</f>
        <v>0</v>
      </c>
      <c r="B385" s="27">
        <f>Cadastro!E387</f>
        <v>0</v>
      </c>
      <c r="C385">
        <f>pH_água!C385</f>
        <v>0</v>
      </c>
      <c r="D385">
        <f>pH_KCl!B386</f>
        <v>0</v>
      </c>
      <c r="E385">
        <f>'pH CaCl2'!C385</f>
        <v>0</v>
      </c>
      <c r="F385" s="104">
        <f>P_Mehlich1!H370</f>
        <v>0</v>
      </c>
      <c r="G385" s="123">
        <f>P_resina!H390</f>
        <v>0</v>
      </c>
      <c r="H385" s="272">
        <f>K!G355</f>
        <v>0</v>
      </c>
      <c r="I385" s="125">
        <v>0</v>
      </c>
      <c r="J385" s="272">
        <f>'Ca2+'!G386</f>
        <v>0</v>
      </c>
      <c r="K385" s="272">
        <f>Mg²!G388</f>
        <v>0</v>
      </c>
      <c r="L385" s="279">
        <f>Al³!C387</f>
        <v>0</v>
      </c>
      <c r="M385" s="279">
        <f>'H + Al'!D387</f>
        <v>0</v>
      </c>
      <c r="N385" s="272">
        <f t="shared" si="33"/>
        <v>0</v>
      </c>
      <c r="O385" s="272">
        <f t="shared" si="34"/>
        <v>0</v>
      </c>
      <c r="P385" s="272">
        <f t="shared" si="35"/>
        <v>0</v>
      </c>
      <c r="Q385" s="293" t="e">
        <f t="shared" si="36"/>
        <v>#DIV/0!</v>
      </c>
      <c r="R385" s="293" t="e">
        <f t="shared" si="37"/>
        <v>#DIV/0!</v>
      </c>
      <c r="S385">
        <f>Prem!H387</f>
        <v>0</v>
      </c>
      <c r="T385" s="281">
        <f>S!H391</f>
        <v>0</v>
      </c>
      <c r="U385" s="274">
        <f>B!H386</f>
        <v>0</v>
      </c>
      <c r="V385" s="272">
        <f>Zn!G387</f>
        <v>0</v>
      </c>
      <c r="W385" s="272">
        <f>Cu!G387</f>
        <v>0</v>
      </c>
      <c r="X385" s="272">
        <f>Mn!G387</f>
        <v>0</v>
      </c>
      <c r="Y385" s="272">
        <f>Fe!G387</f>
        <v>0</v>
      </c>
      <c r="Z385" s="274">
        <f>M.O!H387</f>
        <v>0</v>
      </c>
      <c r="AA385" s="272" t="e">
        <f t="shared" si="38"/>
        <v>#DIV/0!</v>
      </c>
      <c r="AB385" s="272" t="e">
        <f t="shared" si="39"/>
        <v>#DIV/0!</v>
      </c>
      <c r="AC385" s="272" t="e">
        <f t="shared" si="40"/>
        <v>#DIV/0!</v>
      </c>
    </row>
    <row r="386" spans="1:29" x14ac:dyDescent="0.2">
      <c r="A386" s="106">
        <f>Cadastro!A390</f>
        <v>0</v>
      </c>
      <c r="B386" s="27">
        <f>Cadastro!E388</f>
        <v>0</v>
      </c>
      <c r="C386">
        <f>pH_água!C386</f>
        <v>0</v>
      </c>
      <c r="D386">
        <f>pH_KCl!B387</f>
        <v>0</v>
      </c>
      <c r="E386">
        <f>'pH CaCl2'!C386</f>
        <v>0</v>
      </c>
      <c r="F386" s="104">
        <f>P_Mehlich1!H371</f>
        <v>0</v>
      </c>
      <c r="G386" s="123">
        <f>P_resina!H391</f>
        <v>0</v>
      </c>
      <c r="H386" s="272">
        <f>K!G356</f>
        <v>0</v>
      </c>
      <c r="I386" s="125">
        <v>0</v>
      </c>
      <c r="J386" s="272">
        <f>'Ca2+'!G387</f>
        <v>0</v>
      </c>
      <c r="K386" s="272">
        <f>Mg²!G389</f>
        <v>0</v>
      </c>
      <c r="L386" s="279">
        <f>Al³!C388</f>
        <v>0</v>
      </c>
      <c r="M386" s="279">
        <f>'H + Al'!D388</f>
        <v>0</v>
      </c>
      <c r="N386" s="272">
        <f t="shared" si="33"/>
        <v>0</v>
      </c>
      <c r="O386" s="272">
        <f t="shared" si="34"/>
        <v>0</v>
      </c>
      <c r="P386" s="272">
        <f t="shared" si="35"/>
        <v>0</v>
      </c>
      <c r="Q386" s="293" t="e">
        <f t="shared" si="36"/>
        <v>#DIV/0!</v>
      </c>
      <c r="R386" s="293" t="e">
        <f t="shared" si="37"/>
        <v>#DIV/0!</v>
      </c>
      <c r="S386">
        <f>Prem!H388</f>
        <v>0</v>
      </c>
      <c r="T386" s="281">
        <f>S!H392</f>
        <v>0</v>
      </c>
      <c r="U386" s="274">
        <f>B!H387</f>
        <v>0</v>
      </c>
      <c r="V386" s="272">
        <f>Zn!G388</f>
        <v>0</v>
      </c>
      <c r="W386" s="272">
        <f>Cu!G388</f>
        <v>0</v>
      </c>
      <c r="X386" s="272">
        <f>Mn!G388</f>
        <v>0</v>
      </c>
      <c r="Y386" s="272">
        <f>Fe!G388</f>
        <v>0</v>
      </c>
      <c r="Z386" s="274">
        <f>M.O!H388</f>
        <v>0</v>
      </c>
      <c r="AA386" s="272" t="e">
        <f t="shared" si="38"/>
        <v>#DIV/0!</v>
      </c>
      <c r="AB386" s="272" t="e">
        <f t="shared" si="39"/>
        <v>#DIV/0!</v>
      </c>
      <c r="AC386" s="272" t="e">
        <f t="shared" si="40"/>
        <v>#DIV/0!</v>
      </c>
    </row>
    <row r="387" spans="1:29" x14ac:dyDescent="0.2">
      <c r="A387" s="106">
        <f>Cadastro!A391</f>
        <v>0</v>
      </c>
      <c r="B387" s="27">
        <f>Cadastro!E389</f>
        <v>0</v>
      </c>
      <c r="C387">
        <f>pH_água!C387</f>
        <v>0</v>
      </c>
      <c r="D387">
        <f>pH_KCl!B388</f>
        <v>0</v>
      </c>
      <c r="E387">
        <f>'pH CaCl2'!C387</f>
        <v>0</v>
      </c>
      <c r="F387" s="104">
        <f>P_Mehlich1!H372</f>
        <v>0</v>
      </c>
      <c r="G387" s="123">
        <f>P_resina!H392</f>
        <v>0</v>
      </c>
      <c r="H387" s="272">
        <f>K!G357</f>
        <v>0</v>
      </c>
      <c r="I387" s="125">
        <v>0</v>
      </c>
      <c r="J387" s="272">
        <f>'Ca2+'!G388</f>
        <v>0</v>
      </c>
      <c r="K387" s="272">
        <f>Mg²!G390</f>
        <v>0</v>
      </c>
      <c r="L387" s="279">
        <f>Al³!C389</f>
        <v>0</v>
      </c>
      <c r="M387" s="279">
        <f>'H + Al'!D389</f>
        <v>0</v>
      </c>
      <c r="N387" s="272">
        <f t="shared" si="33"/>
        <v>0</v>
      </c>
      <c r="O387" s="272">
        <f t="shared" si="34"/>
        <v>0</v>
      </c>
      <c r="P387" s="272">
        <f t="shared" si="35"/>
        <v>0</v>
      </c>
      <c r="Q387" s="293" t="e">
        <f t="shared" si="36"/>
        <v>#DIV/0!</v>
      </c>
      <c r="R387" s="293" t="e">
        <f t="shared" si="37"/>
        <v>#DIV/0!</v>
      </c>
      <c r="S387">
        <f>Prem!H389</f>
        <v>0</v>
      </c>
      <c r="T387" s="281">
        <f>S!H393</f>
        <v>0</v>
      </c>
      <c r="U387" s="274">
        <f>B!H388</f>
        <v>0</v>
      </c>
      <c r="V387" s="272">
        <f>Zn!G389</f>
        <v>0</v>
      </c>
      <c r="W387" s="272">
        <f>Cu!G389</f>
        <v>0</v>
      </c>
      <c r="X387" s="272">
        <f>Mn!G389</f>
        <v>0</v>
      </c>
      <c r="Y387" s="272">
        <f>Fe!G389</f>
        <v>0</v>
      </c>
      <c r="Z387" s="274">
        <f>M.O!H389</f>
        <v>0</v>
      </c>
      <c r="AA387" s="272" t="e">
        <f t="shared" si="38"/>
        <v>#DIV/0!</v>
      </c>
      <c r="AB387" s="272" t="e">
        <f t="shared" si="39"/>
        <v>#DIV/0!</v>
      </c>
      <c r="AC387" s="272" t="e">
        <f t="shared" si="40"/>
        <v>#DIV/0!</v>
      </c>
    </row>
    <row r="388" spans="1:29" x14ac:dyDescent="0.2">
      <c r="A388" s="106">
        <f>Cadastro!A392</f>
        <v>0</v>
      </c>
      <c r="B388" s="27">
        <f>Cadastro!E390</f>
        <v>0</v>
      </c>
      <c r="C388">
        <f>pH_água!C388</f>
        <v>0</v>
      </c>
      <c r="D388">
        <f>pH_KCl!B389</f>
        <v>0</v>
      </c>
      <c r="E388">
        <f>'pH CaCl2'!C388</f>
        <v>0</v>
      </c>
      <c r="F388" s="104">
        <f>P_Mehlich1!H373</f>
        <v>0</v>
      </c>
      <c r="G388" s="123">
        <f>P_resina!H393</f>
        <v>0</v>
      </c>
      <c r="H388" s="272">
        <f>K!G358</f>
        <v>0</v>
      </c>
      <c r="I388" s="125">
        <v>0</v>
      </c>
      <c r="J388" s="272">
        <f>'Ca2+'!G389</f>
        <v>0</v>
      </c>
      <c r="K388" s="272">
        <f>Mg²!G391</f>
        <v>0</v>
      </c>
      <c r="L388" s="279">
        <f>Al³!C390</f>
        <v>0</v>
      </c>
      <c r="M388" s="279">
        <f>'H + Al'!D390</f>
        <v>0</v>
      </c>
      <c r="N388" s="272">
        <f t="shared" si="33"/>
        <v>0</v>
      </c>
      <c r="O388" s="272">
        <f t="shared" si="34"/>
        <v>0</v>
      </c>
      <c r="P388" s="272">
        <f t="shared" si="35"/>
        <v>0</v>
      </c>
      <c r="Q388" s="293" t="e">
        <f t="shared" si="36"/>
        <v>#DIV/0!</v>
      </c>
      <c r="R388" s="293" t="e">
        <f t="shared" si="37"/>
        <v>#DIV/0!</v>
      </c>
      <c r="S388">
        <f>Prem!H390</f>
        <v>0</v>
      </c>
      <c r="T388" s="281">
        <f>S!H394</f>
        <v>0</v>
      </c>
      <c r="U388" s="274">
        <f>B!H389</f>
        <v>0</v>
      </c>
      <c r="V388" s="272">
        <f>Zn!G390</f>
        <v>0</v>
      </c>
      <c r="W388" s="272">
        <f>Cu!G390</f>
        <v>0</v>
      </c>
      <c r="X388" s="272">
        <f>Mn!G390</f>
        <v>0</v>
      </c>
      <c r="Y388" s="272">
        <f>Fe!G390</f>
        <v>0</v>
      </c>
      <c r="Z388" s="274">
        <f>M.O!H390</f>
        <v>0</v>
      </c>
      <c r="AA388" s="272" t="e">
        <f t="shared" si="38"/>
        <v>#DIV/0!</v>
      </c>
      <c r="AB388" s="272" t="e">
        <f t="shared" si="39"/>
        <v>#DIV/0!</v>
      </c>
      <c r="AC388" s="272" t="e">
        <f t="shared" si="40"/>
        <v>#DIV/0!</v>
      </c>
    </row>
    <row r="389" spans="1:29" x14ac:dyDescent="0.2">
      <c r="A389" s="106">
        <f>Cadastro!A393</f>
        <v>0</v>
      </c>
      <c r="B389" s="27">
        <f>Cadastro!E391</f>
        <v>0</v>
      </c>
      <c r="C389">
        <f>pH_água!C389</f>
        <v>0</v>
      </c>
      <c r="D389">
        <f>pH_KCl!B390</f>
        <v>0</v>
      </c>
      <c r="E389">
        <f>'pH CaCl2'!C389</f>
        <v>0</v>
      </c>
      <c r="F389" s="104">
        <f>P_Mehlich1!H374</f>
        <v>0</v>
      </c>
      <c r="G389" s="123">
        <f>P_resina!H394</f>
        <v>0</v>
      </c>
      <c r="H389" s="272">
        <f>K!G359</f>
        <v>0</v>
      </c>
      <c r="I389" s="125">
        <v>0</v>
      </c>
      <c r="J389" s="272">
        <f>'Ca2+'!G390</f>
        <v>0</v>
      </c>
      <c r="K389" s="272">
        <f>Mg²!G392</f>
        <v>0</v>
      </c>
      <c r="L389" s="279">
        <f>Al³!C391</f>
        <v>0</v>
      </c>
      <c r="M389" s="279">
        <f>'H + Al'!D391</f>
        <v>0</v>
      </c>
      <c r="N389" s="272">
        <f t="shared" si="33"/>
        <v>0</v>
      </c>
      <c r="O389" s="272">
        <f t="shared" si="34"/>
        <v>0</v>
      </c>
      <c r="P389" s="272">
        <f t="shared" si="35"/>
        <v>0</v>
      </c>
      <c r="Q389" s="293" t="e">
        <f t="shared" si="36"/>
        <v>#DIV/0!</v>
      </c>
      <c r="R389" s="293" t="e">
        <f t="shared" si="37"/>
        <v>#DIV/0!</v>
      </c>
      <c r="S389">
        <f>Prem!H391</f>
        <v>0</v>
      </c>
      <c r="T389" s="281">
        <f>S!H395</f>
        <v>0</v>
      </c>
      <c r="U389" s="274">
        <f>B!H390</f>
        <v>0</v>
      </c>
      <c r="V389" s="272">
        <f>Zn!G391</f>
        <v>0</v>
      </c>
      <c r="W389" s="272">
        <f>Cu!G391</f>
        <v>0</v>
      </c>
      <c r="X389" s="272">
        <f>Mn!G391</f>
        <v>0</v>
      </c>
      <c r="Y389" s="272">
        <f>Fe!G391</f>
        <v>0</v>
      </c>
      <c r="Z389" s="274">
        <f>M.O!H391</f>
        <v>0</v>
      </c>
      <c r="AA389" s="272" t="e">
        <f t="shared" si="38"/>
        <v>#DIV/0!</v>
      </c>
      <c r="AB389" s="272" t="e">
        <f t="shared" si="39"/>
        <v>#DIV/0!</v>
      </c>
      <c r="AC389" s="272" t="e">
        <f t="shared" si="40"/>
        <v>#DIV/0!</v>
      </c>
    </row>
    <row r="390" spans="1:29" x14ac:dyDescent="0.2">
      <c r="A390" s="106">
        <f>Cadastro!A394</f>
        <v>0</v>
      </c>
      <c r="B390" s="27">
        <f>Cadastro!E392</f>
        <v>0</v>
      </c>
      <c r="C390">
        <f>pH_água!C390</f>
        <v>0</v>
      </c>
      <c r="D390">
        <f>pH_KCl!B391</f>
        <v>0</v>
      </c>
      <c r="E390">
        <f>'pH CaCl2'!C390</f>
        <v>0</v>
      </c>
      <c r="F390" s="104">
        <f>P_Mehlich1!H375</f>
        <v>0</v>
      </c>
      <c r="G390" s="123">
        <f>P_resina!H395</f>
        <v>0</v>
      </c>
      <c r="H390" s="272">
        <f>K!G360</f>
        <v>0</v>
      </c>
      <c r="I390" s="125">
        <v>0</v>
      </c>
      <c r="J390" s="272">
        <f>'Ca2+'!G391</f>
        <v>0</v>
      </c>
      <c r="K390" s="272">
        <f>Mg²!G393</f>
        <v>0</v>
      </c>
      <c r="L390" s="279">
        <f>Al³!C392</f>
        <v>0</v>
      </c>
      <c r="M390" s="279">
        <f>'H + Al'!D392</f>
        <v>0</v>
      </c>
      <c r="N390" s="272">
        <f t="shared" si="33"/>
        <v>0</v>
      </c>
      <c r="O390" s="272">
        <f t="shared" si="34"/>
        <v>0</v>
      </c>
      <c r="P390" s="272">
        <f t="shared" si="35"/>
        <v>0</v>
      </c>
      <c r="Q390" s="293" t="e">
        <f t="shared" si="36"/>
        <v>#DIV/0!</v>
      </c>
      <c r="R390" s="293" t="e">
        <f t="shared" si="37"/>
        <v>#DIV/0!</v>
      </c>
      <c r="S390">
        <f>Prem!H392</f>
        <v>0</v>
      </c>
      <c r="T390" s="281">
        <f>S!H396</f>
        <v>0</v>
      </c>
      <c r="U390" s="274">
        <f>B!H391</f>
        <v>0</v>
      </c>
      <c r="V390" s="272">
        <f>Zn!G392</f>
        <v>0</v>
      </c>
      <c r="W390" s="272">
        <f>Cu!G392</f>
        <v>0</v>
      </c>
      <c r="X390" s="272">
        <f>Mn!G392</f>
        <v>0</v>
      </c>
      <c r="Y390" s="272">
        <f>Fe!G392</f>
        <v>0</v>
      </c>
      <c r="Z390" s="274">
        <f>M.O!H392</f>
        <v>0</v>
      </c>
      <c r="AA390" s="272" t="e">
        <f t="shared" si="38"/>
        <v>#DIV/0!</v>
      </c>
      <c r="AB390" s="272" t="e">
        <f t="shared" si="39"/>
        <v>#DIV/0!</v>
      </c>
      <c r="AC390" s="272" t="e">
        <f t="shared" si="40"/>
        <v>#DIV/0!</v>
      </c>
    </row>
    <row r="391" spans="1:29" x14ac:dyDescent="0.2">
      <c r="A391" s="106">
        <f>Cadastro!A395</f>
        <v>0</v>
      </c>
      <c r="B391" s="27">
        <f>Cadastro!E393</f>
        <v>0</v>
      </c>
      <c r="C391">
        <f>pH_água!C391</f>
        <v>0</v>
      </c>
      <c r="D391">
        <f>pH_KCl!B392</f>
        <v>0</v>
      </c>
      <c r="E391">
        <f>'pH CaCl2'!C391</f>
        <v>0</v>
      </c>
      <c r="F391" s="104">
        <f>P_Mehlich1!H376</f>
        <v>0</v>
      </c>
      <c r="G391" s="123">
        <f>P_resina!H396</f>
        <v>0</v>
      </c>
      <c r="H391" s="272">
        <f>K!G361</f>
        <v>0</v>
      </c>
      <c r="I391" s="125">
        <v>0</v>
      </c>
      <c r="J391" s="272">
        <f>'Ca2+'!G392</f>
        <v>0</v>
      </c>
      <c r="K391" s="272">
        <f>Mg²!G394</f>
        <v>0</v>
      </c>
      <c r="L391" s="279">
        <f>Al³!C393</f>
        <v>0</v>
      </c>
      <c r="M391" s="279">
        <f>'H + Al'!D393</f>
        <v>0</v>
      </c>
      <c r="N391" s="272">
        <f t="shared" si="33"/>
        <v>0</v>
      </c>
      <c r="O391" s="272">
        <f t="shared" si="34"/>
        <v>0</v>
      </c>
      <c r="P391" s="272">
        <f t="shared" si="35"/>
        <v>0</v>
      </c>
      <c r="Q391" s="293" t="e">
        <f t="shared" si="36"/>
        <v>#DIV/0!</v>
      </c>
      <c r="R391" s="293" t="e">
        <f t="shared" si="37"/>
        <v>#DIV/0!</v>
      </c>
      <c r="S391">
        <f>Prem!H393</f>
        <v>0</v>
      </c>
      <c r="T391" s="281">
        <f>S!H397</f>
        <v>0</v>
      </c>
      <c r="U391" s="274">
        <f>B!H392</f>
        <v>0</v>
      </c>
      <c r="V391" s="272">
        <f>Zn!G393</f>
        <v>0</v>
      </c>
      <c r="W391" s="272">
        <f>Cu!G393</f>
        <v>0</v>
      </c>
      <c r="X391" s="272">
        <f>Mn!G393</f>
        <v>0</v>
      </c>
      <c r="Y391" s="272">
        <f>Fe!G393</f>
        <v>0</v>
      </c>
      <c r="Z391" s="274">
        <f>M.O!H393</f>
        <v>0</v>
      </c>
      <c r="AA391" s="272" t="e">
        <f t="shared" si="38"/>
        <v>#DIV/0!</v>
      </c>
      <c r="AB391" s="272" t="e">
        <f t="shared" si="39"/>
        <v>#DIV/0!</v>
      </c>
      <c r="AC391" s="272" t="e">
        <f t="shared" si="40"/>
        <v>#DIV/0!</v>
      </c>
    </row>
    <row r="392" spans="1:29" x14ac:dyDescent="0.2">
      <c r="A392" s="106">
        <f>Cadastro!A396</f>
        <v>0</v>
      </c>
      <c r="B392" s="27">
        <f>Cadastro!E394</f>
        <v>0</v>
      </c>
      <c r="C392">
        <f>pH_água!C392</f>
        <v>0</v>
      </c>
      <c r="D392">
        <f>pH_KCl!B393</f>
        <v>0</v>
      </c>
      <c r="E392">
        <f>'pH CaCl2'!C392</f>
        <v>0</v>
      </c>
      <c r="F392" s="104">
        <f>P_Mehlich1!H377</f>
        <v>0</v>
      </c>
      <c r="G392" s="123">
        <f>P_resina!H397</f>
        <v>0</v>
      </c>
      <c r="H392" s="272">
        <f>K!G362</f>
        <v>0</v>
      </c>
      <c r="I392" s="125">
        <v>0</v>
      </c>
      <c r="J392" s="272">
        <f>'Ca2+'!G393</f>
        <v>0</v>
      </c>
      <c r="K392" s="272">
        <f>Mg²!G395</f>
        <v>0</v>
      </c>
      <c r="L392" s="279">
        <f>Al³!C394</f>
        <v>0</v>
      </c>
      <c r="M392" s="279">
        <f>'H + Al'!D394</f>
        <v>0</v>
      </c>
      <c r="N392" s="272">
        <f t="shared" si="33"/>
        <v>0</v>
      </c>
      <c r="O392" s="272">
        <f t="shared" si="34"/>
        <v>0</v>
      </c>
      <c r="P392" s="272">
        <f t="shared" si="35"/>
        <v>0</v>
      </c>
      <c r="Q392" s="293" t="e">
        <f t="shared" si="36"/>
        <v>#DIV/0!</v>
      </c>
      <c r="R392" s="293" t="e">
        <f t="shared" si="37"/>
        <v>#DIV/0!</v>
      </c>
      <c r="S392">
        <f>Prem!H394</f>
        <v>0</v>
      </c>
      <c r="T392" s="281">
        <f>S!H398</f>
        <v>0</v>
      </c>
      <c r="U392" s="274">
        <f>B!H393</f>
        <v>0</v>
      </c>
      <c r="V392" s="272">
        <f>Zn!G394</f>
        <v>0</v>
      </c>
      <c r="W392" s="272">
        <f>Cu!G394</f>
        <v>0</v>
      </c>
      <c r="X392" s="272">
        <f>Mn!G394</f>
        <v>0</v>
      </c>
      <c r="Y392" s="272">
        <f>Fe!G394</f>
        <v>0</v>
      </c>
      <c r="Z392" s="274">
        <f>M.O!H394</f>
        <v>0</v>
      </c>
      <c r="AA392" s="272" t="e">
        <f t="shared" si="38"/>
        <v>#DIV/0!</v>
      </c>
      <c r="AB392" s="272" t="e">
        <f t="shared" si="39"/>
        <v>#DIV/0!</v>
      </c>
      <c r="AC392" s="272" t="e">
        <f t="shared" si="40"/>
        <v>#DIV/0!</v>
      </c>
    </row>
    <row r="393" spans="1:29" x14ac:dyDescent="0.2">
      <c r="A393" s="106">
        <f>Cadastro!A397</f>
        <v>0</v>
      </c>
      <c r="B393" s="27">
        <f>Cadastro!E395</f>
        <v>0</v>
      </c>
      <c r="C393">
        <f>pH_água!C393</f>
        <v>0</v>
      </c>
      <c r="D393">
        <f>pH_KCl!B394</f>
        <v>0</v>
      </c>
      <c r="E393">
        <f>'pH CaCl2'!C393</f>
        <v>0</v>
      </c>
      <c r="F393" s="104">
        <f>P_Mehlich1!H378</f>
        <v>0</v>
      </c>
      <c r="G393" s="123">
        <f>P_resina!H398</f>
        <v>0</v>
      </c>
      <c r="H393" s="272">
        <f>K!G363</f>
        <v>0</v>
      </c>
      <c r="I393" s="125">
        <v>0</v>
      </c>
      <c r="J393" s="272">
        <f>'Ca2+'!G394</f>
        <v>0</v>
      </c>
      <c r="K393" s="272">
        <f>Mg²!G396</f>
        <v>0</v>
      </c>
      <c r="L393" s="279">
        <f>Al³!C395</f>
        <v>0</v>
      </c>
      <c r="M393" s="279">
        <f>'H + Al'!D395</f>
        <v>0</v>
      </c>
      <c r="N393" s="272">
        <f t="shared" si="33"/>
        <v>0</v>
      </c>
      <c r="O393" s="272">
        <f t="shared" si="34"/>
        <v>0</v>
      </c>
      <c r="P393" s="272">
        <f t="shared" si="35"/>
        <v>0</v>
      </c>
      <c r="Q393" s="293" t="e">
        <f t="shared" si="36"/>
        <v>#DIV/0!</v>
      </c>
      <c r="R393" s="293" t="e">
        <f t="shared" si="37"/>
        <v>#DIV/0!</v>
      </c>
      <c r="S393">
        <f>Prem!H395</f>
        <v>0</v>
      </c>
      <c r="T393" s="281">
        <f>S!H399</f>
        <v>0</v>
      </c>
      <c r="U393" s="274">
        <f>B!H394</f>
        <v>0</v>
      </c>
      <c r="V393" s="272">
        <f>Zn!G395</f>
        <v>0</v>
      </c>
      <c r="W393" s="272">
        <f>Cu!G395</f>
        <v>0</v>
      </c>
      <c r="X393" s="272">
        <f>Mn!G395</f>
        <v>0</v>
      </c>
      <c r="Y393" s="272">
        <f>Fe!G395</f>
        <v>0</v>
      </c>
      <c r="Z393" s="274">
        <f>M.O!H395</f>
        <v>0</v>
      </c>
      <c r="AA393" s="272" t="e">
        <f t="shared" si="38"/>
        <v>#DIV/0!</v>
      </c>
      <c r="AB393" s="272" t="e">
        <f t="shared" si="39"/>
        <v>#DIV/0!</v>
      </c>
      <c r="AC393" s="272" t="e">
        <f t="shared" si="40"/>
        <v>#DIV/0!</v>
      </c>
    </row>
    <row r="394" spans="1:29" x14ac:dyDescent="0.2">
      <c r="A394" s="106">
        <f>Cadastro!A398</f>
        <v>0</v>
      </c>
      <c r="B394" s="27">
        <f>Cadastro!E396</f>
        <v>0</v>
      </c>
      <c r="C394">
        <f>pH_água!C394</f>
        <v>0</v>
      </c>
      <c r="D394">
        <f>pH_KCl!B395</f>
        <v>0</v>
      </c>
      <c r="E394">
        <f>'pH CaCl2'!C394</f>
        <v>0</v>
      </c>
      <c r="F394" s="104">
        <f>P_Mehlich1!H379</f>
        <v>0</v>
      </c>
      <c r="G394" s="123">
        <f>P_resina!H399</f>
        <v>0</v>
      </c>
      <c r="H394" s="272">
        <f>K!G364</f>
        <v>0</v>
      </c>
      <c r="I394" s="125">
        <v>0</v>
      </c>
      <c r="J394" s="272">
        <f>'Ca2+'!G395</f>
        <v>0</v>
      </c>
      <c r="K394" s="272">
        <f>Mg²!G397</f>
        <v>0</v>
      </c>
      <c r="L394" s="279">
        <f>Al³!C396</f>
        <v>0</v>
      </c>
      <c r="M394" s="279">
        <f>'H + Al'!D396</f>
        <v>0</v>
      </c>
      <c r="N394" s="272">
        <f t="shared" si="33"/>
        <v>0</v>
      </c>
      <c r="O394" s="272">
        <f t="shared" si="34"/>
        <v>0</v>
      </c>
      <c r="P394" s="272">
        <f t="shared" si="35"/>
        <v>0</v>
      </c>
      <c r="Q394" s="293" t="e">
        <f t="shared" si="36"/>
        <v>#DIV/0!</v>
      </c>
      <c r="R394" s="293" t="e">
        <f t="shared" si="37"/>
        <v>#DIV/0!</v>
      </c>
      <c r="S394">
        <f>Prem!H396</f>
        <v>0</v>
      </c>
      <c r="T394" s="281">
        <f>S!H400</f>
        <v>0</v>
      </c>
      <c r="U394" s="274">
        <f>B!H395</f>
        <v>0</v>
      </c>
      <c r="V394" s="272">
        <f>Zn!G396</f>
        <v>0</v>
      </c>
      <c r="W394" s="272">
        <f>Cu!G396</f>
        <v>0</v>
      </c>
      <c r="X394" s="272">
        <f>Mn!G396</f>
        <v>0</v>
      </c>
      <c r="Y394" s="272">
        <f>Fe!G396</f>
        <v>0</v>
      </c>
      <c r="Z394" s="274">
        <f>M.O!H396</f>
        <v>0</v>
      </c>
      <c r="AA394" s="272" t="e">
        <f t="shared" si="38"/>
        <v>#DIV/0!</v>
      </c>
      <c r="AB394" s="272" t="e">
        <f t="shared" si="39"/>
        <v>#DIV/0!</v>
      </c>
      <c r="AC394" s="272" t="e">
        <f t="shared" si="40"/>
        <v>#DIV/0!</v>
      </c>
    </row>
    <row r="395" spans="1:29" x14ac:dyDescent="0.2">
      <c r="A395" s="106">
        <f>Cadastro!A399</f>
        <v>0</v>
      </c>
      <c r="B395" s="27">
        <f>Cadastro!E397</f>
        <v>0</v>
      </c>
      <c r="C395">
        <f>pH_água!C395</f>
        <v>0</v>
      </c>
      <c r="D395">
        <f>pH_KCl!B396</f>
        <v>0</v>
      </c>
      <c r="E395">
        <f>'pH CaCl2'!C395</f>
        <v>0</v>
      </c>
      <c r="F395" s="104">
        <f>P_Mehlich1!H380</f>
        <v>0</v>
      </c>
      <c r="G395" s="123">
        <f>P_resina!H400</f>
        <v>0</v>
      </c>
      <c r="H395" s="272">
        <f>K!G365</f>
        <v>0</v>
      </c>
      <c r="I395" s="125">
        <v>0</v>
      </c>
      <c r="J395" s="272">
        <f>'Ca2+'!G396</f>
        <v>0</v>
      </c>
      <c r="K395" s="272">
        <f>Mg²!G398</f>
        <v>0</v>
      </c>
      <c r="L395" s="279">
        <f>Al³!C397</f>
        <v>0</v>
      </c>
      <c r="M395" s="279">
        <f>'H + Al'!D397</f>
        <v>0</v>
      </c>
      <c r="N395" s="272">
        <f t="shared" si="33"/>
        <v>0</v>
      </c>
      <c r="O395" s="272">
        <f t="shared" si="34"/>
        <v>0</v>
      </c>
      <c r="P395" s="272">
        <f t="shared" si="35"/>
        <v>0</v>
      </c>
      <c r="Q395" s="293" t="e">
        <f t="shared" si="36"/>
        <v>#DIV/0!</v>
      </c>
      <c r="R395" s="293" t="e">
        <f t="shared" si="37"/>
        <v>#DIV/0!</v>
      </c>
      <c r="S395">
        <f>Prem!H397</f>
        <v>0</v>
      </c>
      <c r="T395" s="281">
        <f>S!H401</f>
        <v>0</v>
      </c>
      <c r="U395" s="274">
        <f>B!H396</f>
        <v>0</v>
      </c>
      <c r="V395" s="272">
        <f>Zn!G397</f>
        <v>0</v>
      </c>
      <c r="W395" s="272">
        <f>Cu!G397</f>
        <v>0</v>
      </c>
      <c r="X395" s="272">
        <f>Mn!G397</f>
        <v>0</v>
      </c>
      <c r="Y395" s="272">
        <f>Fe!G397</f>
        <v>0</v>
      </c>
      <c r="Z395" s="274">
        <f>M.O!H397</f>
        <v>0</v>
      </c>
      <c r="AA395" s="272" t="e">
        <f t="shared" si="38"/>
        <v>#DIV/0!</v>
      </c>
      <c r="AB395" s="272" t="e">
        <f t="shared" si="39"/>
        <v>#DIV/0!</v>
      </c>
      <c r="AC395" s="272" t="e">
        <f t="shared" si="40"/>
        <v>#DIV/0!</v>
      </c>
    </row>
    <row r="396" spans="1:29" x14ac:dyDescent="0.2">
      <c r="A396" s="106">
        <f>Cadastro!A400</f>
        <v>0</v>
      </c>
      <c r="B396" s="27">
        <f>Cadastro!E398</f>
        <v>0</v>
      </c>
      <c r="C396">
        <f>pH_água!C396</f>
        <v>0</v>
      </c>
      <c r="D396">
        <f>pH_KCl!B397</f>
        <v>0</v>
      </c>
      <c r="E396">
        <f>'pH CaCl2'!C396</f>
        <v>0</v>
      </c>
      <c r="F396" s="104">
        <f>P_Mehlich1!H381</f>
        <v>0</v>
      </c>
      <c r="G396" s="123">
        <f>P_resina!H401</f>
        <v>0</v>
      </c>
      <c r="H396" s="272">
        <f>K!G366</f>
        <v>0</v>
      </c>
      <c r="I396" s="125">
        <v>0</v>
      </c>
      <c r="J396" s="272">
        <f>'Ca2+'!G397</f>
        <v>0</v>
      </c>
      <c r="K396" s="272">
        <f>Mg²!G399</f>
        <v>0</v>
      </c>
      <c r="L396" s="279">
        <f>Al³!C398</f>
        <v>0</v>
      </c>
      <c r="M396" s="279">
        <f>'H + Al'!D398</f>
        <v>0</v>
      </c>
      <c r="N396" s="272">
        <f t="shared" si="33"/>
        <v>0</v>
      </c>
      <c r="O396" s="272">
        <f t="shared" si="34"/>
        <v>0</v>
      </c>
      <c r="P396" s="272">
        <f t="shared" si="35"/>
        <v>0</v>
      </c>
      <c r="Q396" s="293" t="e">
        <f t="shared" si="36"/>
        <v>#DIV/0!</v>
      </c>
      <c r="R396" s="293" t="e">
        <f t="shared" si="37"/>
        <v>#DIV/0!</v>
      </c>
      <c r="S396">
        <f>Prem!H398</f>
        <v>0</v>
      </c>
      <c r="T396" s="281">
        <f>S!H402</f>
        <v>0</v>
      </c>
      <c r="U396" s="274">
        <f>B!H397</f>
        <v>0</v>
      </c>
      <c r="V396" s="272">
        <f>Zn!G398</f>
        <v>0</v>
      </c>
      <c r="W396" s="272">
        <f>Cu!G398</f>
        <v>0</v>
      </c>
      <c r="X396" s="272">
        <f>Mn!G398</f>
        <v>0</v>
      </c>
      <c r="Y396" s="272">
        <f>Fe!G398</f>
        <v>0</v>
      </c>
      <c r="Z396" s="274">
        <f>M.O!H398</f>
        <v>0</v>
      </c>
      <c r="AA396" s="272" t="e">
        <f t="shared" si="38"/>
        <v>#DIV/0!</v>
      </c>
      <c r="AB396" s="272" t="e">
        <f t="shared" si="39"/>
        <v>#DIV/0!</v>
      </c>
      <c r="AC396" s="272" t="e">
        <f t="shared" si="40"/>
        <v>#DIV/0!</v>
      </c>
    </row>
    <row r="397" spans="1:29" x14ac:dyDescent="0.2">
      <c r="A397" s="106">
        <f>Cadastro!A401</f>
        <v>0</v>
      </c>
      <c r="B397" s="27">
        <f>Cadastro!E399</f>
        <v>0</v>
      </c>
      <c r="C397">
        <f>pH_água!C397</f>
        <v>0</v>
      </c>
      <c r="D397">
        <f>pH_KCl!B398</f>
        <v>0</v>
      </c>
      <c r="E397">
        <f>'pH CaCl2'!C397</f>
        <v>0</v>
      </c>
      <c r="F397" s="104">
        <f>P_Mehlich1!H382</f>
        <v>0</v>
      </c>
      <c r="G397" s="123">
        <f>P_resina!H402</f>
        <v>0</v>
      </c>
      <c r="H397" s="272">
        <f>K!G367</f>
        <v>0</v>
      </c>
      <c r="I397" s="125">
        <v>0</v>
      </c>
      <c r="J397" s="272">
        <f>'Ca2+'!G398</f>
        <v>0</v>
      </c>
      <c r="K397" s="272">
        <f>Mg²!G400</f>
        <v>0</v>
      </c>
      <c r="L397" s="279">
        <f>Al³!C399</f>
        <v>0</v>
      </c>
      <c r="M397" s="279">
        <f>'H + Al'!D399</f>
        <v>0</v>
      </c>
      <c r="N397" s="272">
        <f t="shared" si="33"/>
        <v>0</v>
      </c>
      <c r="O397" s="272">
        <f t="shared" si="34"/>
        <v>0</v>
      </c>
      <c r="P397" s="272">
        <f t="shared" si="35"/>
        <v>0</v>
      </c>
      <c r="Q397" s="293" t="e">
        <f t="shared" si="36"/>
        <v>#DIV/0!</v>
      </c>
      <c r="R397" s="293" t="e">
        <f t="shared" si="37"/>
        <v>#DIV/0!</v>
      </c>
      <c r="S397">
        <f>Prem!H399</f>
        <v>0</v>
      </c>
      <c r="T397" s="281">
        <f>S!H403</f>
        <v>0</v>
      </c>
      <c r="U397" s="274">
        <f>B!H398</f>
        <v>0</v>
      </c>
      <c r="V397" s="272">
        <f>Zn!G399</f>
        <v>0</v>
      </c>
      <c r="W397" s="272">
        <f>Cu!G399</f>
        <v>0</v>
      </c>
      <c r="X397" s="272">
        <f>Mn!G399</f>
        <v>0</v>
      </c>
      <c r="Y397" s="272">
        <f>Fe!G399</f>
        <v>0</v>
      </c>
      <c r="Z397" s="274">
        <f>M.O!H399</f>
        <v>0</v>
      </c>
      <c r="AA397" s="272" t="e">
        <f t="shared" si="38"/>
        <v>#DIV/0!</v>
      </c>
      <c r="AB397" s="272" t="e">
        <f t="shared" si="39"/>
        <v>#DIV/0!</v>
      </c>
      <c r="AC397" s="272" t="e">
        <f t="shared" si="40"/>
        <v>#DIV/0!</v>
      </c>
    </row>
    <row r="398" spans="1:29" x14ac:dyDescent="0.2">
      <c r="A398" s="106">
        <f>Cadastro!A402</f>
        <v>0</v>
      </c>
      <c r="B398" s="27">
        <f>Cadastro!E400</f>
        <v>0</v>
      </c>
      <c r="C398">
        <f>pH_água!C398</f>
        <v>0</v>
      </c>
      <c r="D398">
        <f>pH_KCl!B399</f>
        <v>0</v>
      </c>
      <c r="E398">
        <f>'pH CaCl2'!C398</f>
        <v>0</v>
      </c>
      <c r="F398" s="104">
        <f>P_Mehlich1!H383</f>
        <v>0</v>
      </c>
      <c r="G398" s="123">
        <f>P_resina!H403</f>
        <v>0</v>
      </c>
      <c r="H398" s="272">
        <f>K!G368</f>
        <v>0</v>
      </c>
      <c r="I398" s="125">
        <v>0</v>
      </c>
      <c r="J398" s="272">
        <f>'Ca2+'!G399</f>
        <v>0</v>
      </c>
      <c r="K398" s="272">
        <f>Mg²!G401</f>
        <v>0</v>
      </c>
      <c r="L398" s="279">
        <f>Al³!C400</f>
        <v>0</v>
      </c>
      <c r="M398" s="279">
        <f>'H + Al'!D400</f>
        <v>0</v>
      </c>
      <c r="N398" s="272">
        <f t="shared" si="33"/>
        <v>0</v>
      </c>
      <c r="O398" s="272">
        <f t="shared" si="34"/>
        <v>0</v>
      </c>
      <c r="P398" s="272">
        <f t="shared" si="35"/>
        <v>0</v>
      </c>
      <c r="Q398" s="293" t="e">
        <f t="shared" si="36"/>
        <v>#DIV/0!</v>
      </c>
      <c r="R398" s="293" t="e">
        <f t="shared" si="37"/>
        <v>#DIV/0!</v>
      </c>
      <c r="S398">
        <f>Prem!H400</f>
        <v>0</v>
      </c>
      <c r="T398" s="281">
        <f>S!H404</f>
        <v>0</v>
      </c>
      <c r="U398" s="274">
        <f>B!H399</f>
        <v>0</v>
      </c>
      <c r="V398" s="272">
        <f>Zn!G400</f>
        <v>0</v>
      </c>
      <c r="W398" s="272">
        <f>Cu!G400</f>
        <v>0</v>
      </c>
      <c r="X398" s="272">
        <f>Mn!G400</f>
        <v>0</v>
      </c>
      <c r="Y398" s="272">
        <f>Fe!G400</f>
        <v>0</v>
      </c>
      <c r="Z398" s="274">
        <f>M.O!H400</f>
        <v>0</v>
      </c>
      <c r="AA398" s="272" t="e">
        <f t="shared" si="38"/>
        <v>#DIV/0!</v>
      </c>
      <c r="AB398" s="272" t="e">
        <f t="shared" si="39"/>
        <v>#DIV/0!</v>
      </c>
      <c r="AC398" s="272" t="e">
        <f t="shared" si="40"/>
        <v>#DIV/0!</v>
      </c>
    </row>
    <row r="399" spans="1:29" x14ac:dyDescent="0.2">
      <c r="A399" s="106">
        <f>Cadastro!A403</f>
        <v>0</v>
      </c>
      <c r="B399" s="27">
        <f>Cadastro!E401</f>
        <v>0</v>
      </c>
      <c r="C399">
        <f>pH_água!C399</f>
        <v>0</v>
      </c>
      <c r="D399">
        <f>pH_KCl!B400</f>
        <v>0</v>
      </c>
      <c r="E399">
        <f>'pH CaCl2'!C399</f>
        <v>0</v>
      </c>
      <c r="F399" s="104">
        <f>P_Mehlich1!H384</f>
        <v>0</v>
      </c>
      <c r="G399" s="123">
        <f>P_resina!H404</f>
        <v>0</v>
      </c>
      <c r="H399" s="272">
        <f>K!G369</f>
        <v>0</v>
      </c>
      <c r="I399" s="125">
        <v>0</v>
      </c>
      <c r="J399" s="272">
        <f>'Ca2+'!G400</f>
        <v>0</v>
      </c>
      <c r="K399" s="272">
        <f>Mg²!G402</f>
        <v>0</v>
      </c>
      <c r="L399" s="279">
        <f>Al³!C401</f>
        <v>0</v>
      </c>
      <c r="M399" s="279">
        <f>'H + Al'!D401</f>
        <v>0</v>
      </c>
      <c r="N399" s="272">
        <f t="shared" si="33"/>
        <v>0</v>
      </c>
      <c r="O399" s="272">
        <f t="shared" si="34"/>
        <v>0</v>
      </c>
      <c r="P399" s="272">
        <f t="shared" si="35"/>
        <v>0</v>
      </c>
      <c r="Q399" s="293" t="e">
        <f t="shared" si="36"/>
        <v>#DIV/0!</v>
      </c>
      <c r="R399" s="293" t="e">
        <f t="shared" si="37"/>
        <v>#DIV/0!</v>
      </c>
      <c r="S399">
        <f>Prem!H401</f>
        <v>0</v>
      </c>
      <c r="T399" s="281">
        <f>S!H405</f>
        <v>0</v>
      </c>
      <c r="U399" s="274">
        <f>B!H400</f>
        <v>0</v>
      </c>
      <c r="V399" s="272">
        <f>Zn!G401</f>
        <v>0</v>
      </c>
      <c r="W399" s="272">
        <f>Cu!G401</f>
        <v>0</v>
      </c>
      <c r="X399" s="272">
        <f>Mn!G401</f>
        <v>0</v>
      </c>
      <c r="Y399" s="272">
        <f>Fe!G401</f>
        <v>0</v>
      </c>
      <c r="Z399" s="274">
        <f>M.O!H401</f>
        <v>0</v>
      </c>
      <c r="AA399" s="272" t="e">
        <f t="shared" si="38"/>
        <v>#DIV/0!</v>
      </c>
      <c r="AB399" s="272" t="e">
        <f t="shared" si="39"/>
        <v>#DIV/0!</v>
      </c>
      <c r="AC399" s="272" t="e">
        <f t="shared" si="40"/>
        <v>#DIV/0!</v>
      </c>
    </row>
    <row r="400" spans="1:29" x14ac:dyDescent="0.2">
      <c r="A400" s="106">
        <f>Cadastro!A404</f>
        <v>0</v>
      </c>
      <c r="B400" s="27">
        <f>Cadastro!E402</f>
        <v>0</v>
      </c>
      <c r="C400">
        <f>pH_água!C400</f>
        <v>0</v>
      </c>
      <c r="D400">
        <f>pH_KCl!B401</f>
        <v>0</v>
      </c>
      <c r="E400">
        <f>'pH CaCl2'!C400</f>
        <v>0</v>
      </c>
      <c r="F400" s="104">
        <f>P_Mehlich1!H385</f>
        <v>0</v>
      </c>
      <c r="G400" s="123">
        <f>P_resina!H405</f>
        <v>0</v>
      </c>
      <c r="H400" s="272">
        <f>K!G370</f>
        <v>0</v>
      </c>
      <c r="I400" s="125">
        <v>0</v>
      </c>
      <c r="J400" s="272">
        <f>'Ca2+'!G401</f>
        <v>0</v>
      </c>
      <c r="K400" s="272">
        <f>Mg²!G403</f>
        <v>0</v>
      </c>
      <c r="L400" s="279">
        <f>Al³!C402</f>
        <v>0</v>
      </c>
      <c r="M400" s="279">
        <f>'H + Al'!D402</f>
        <v>0</v>
      </c>
      <c r="N400" s="272">
        <f t="shared" si="33"/>
        <v>0</v>
      </c>
      <c r="O400" s="272">
        <f t="shared" si="34"/>
        <v>0</v>
      </c>
      <c r="P400" s="272">
        <f t="shared" si="35"/>
        <v>0</v>
      </c>
      <c r="Q400" s="293" t="e">
        <f t="shared" si="36"/>
        <v>#DIV/0!</v>
      </c>
      <c r="R400" s="293" t="e">
        <f t="shared" si="37"/>
        <v>#DIV/0!</v>
      </c>
      <c r="S400">
        <f>Prem!H402</f>
        <v>0</v>
      </c>
      <c r="T400" s="281">
        <f>S!H406</f>
        <v>0</v>
      </c>
      <c r="U400" s="274">
        <f>B!H401</f>
        <v>0</v>
      </c>
      <c r="V400" s="272">
        <f>Zn!G402</f>
        <v>0</v>
      </c>
      <c r="W400" s="272">
        <f>Cu!G402</f>
        <v>0</v>
      </c>
      <c r="X400" s="272">
        <f>Mn!G402</f>
        <v>0</v>
      </c>
      <c r="Y400" s="272">
        <f>Fe!G402</f>
        <v>0</v>
      </c>
      <c r="Z400" s="274">
        <f>M.O!H402</f>
        <v>0</v>
      </c>
      <c r="AA400" s="272" t="e">
        <f t="shared" si="38"/>
        <v>#DIV/0!</v>
      </c>
      <c r="AB400" s="272" t="e">
        <f t="shared" si="39"/>
        <v>#DIV/0!</v>
      </c>
      <c r="AC400" s="272" t="e">
        <f t="shared" si="40"/>
        <v>#DIV/0!</v>
      </c>
    </row>
    <row r="401" spans="1:29" x14ac:dyDescent="0.2">
      <c r="A401" s="106">
        <f>Cadastro!A405</f>
        <v>0</v>
      </c>
      <c r="B401" s="27">
        <f>Cadastro!E403</f>
        <v>0</v>
      </c>
      <c r="C401">
        <f>pH_água!C401</f>
        <v>0</v>
      </c>
      <c r="D401">
        <f>pH_KCl!B402</f>
        <v>0</v>
      </c>
      <c r="E401">
        <f>'pH CaCl2'!C401</f>
        <v>0</v>
      </c>
      <c r="F401" s="104">
        <f>P_Mehlich1!H386</f>
        <v>0</v>
      </c>
      <c r="G401" s="123">
        <f>P_resina!H406</f>
        <v>0</v>
      </c>
      <c r="H401" s="272">
        <f>K!G371</f>
        <v>0</v>
      </c>
      <c r="I401" s="125">
        <v>0</v>
      </c>
      <c r="J401" s="272">
        <f>'Ca2+'!G402</f>
        <v>0</v>
      </c>
      <c r="K401" s="272">
        <f>Mg²!G404</f>
        <v>0</v>
      </c>
      <c r="L401" s="279">
        <f>Al³!C403</f>
        <v>0</v>
      </c>
      <c r="M401" s="279">
        <f>'H + Al'!D403</f>
        <v>0</v>
      </c>
      <c r="N401" s="272">
        <f t="shared" si="33"/>
        <v>0</v>
      </c>
      <c r="O401" s="272">
        <f t="shared" si="34"/>
        <v>0</v>
      </c>
      <c r="P401" s="272">
        <f t="shared" si="35"/>
        <v>0</v>
      </c>
      <c r="Q401" s="293" t="e">
        <f t="shared" si="36"/>
        <v>#DIV/0!</v>
      </c>
      <c r="R401" s="293" t="e">
        <f t="shared" si="37"/>
        <v>#DIV/0!</v>
      </c>
      <c r="S401">
        <f>Prem!H403</f>
        <v>0</v>
      </c>
      <c r="T401" s="281">
        <f>S!H407</f>
        <v>0</v>
      </c>
      <c r="U401" s="274">
        <f>B!H402</f>
        <v>0</v>
      </c>
      <c r="V401" s="272">
        <f>Zn!G403</f>
        <v>0</v>
      </c>
      <c r="W401" s="272">
        <f>Cu!G403</f>
        <v>0</v>
      </c>
      <c r="X401" s="272">
        <f>Mn!G403</f>
        <v>0</v>
      </c>
      <c r="Y401" s="272">
        <f>Fe!G403</f>
        <v>0</v>
      </c>
      <c r="Z401" s="274">
        <f>M.O!H403</f>
        <v>0</v>
      </c>
      <c r="AA401" s="272" t="e">
        <f t="shared" si="38"/>
        <v>#DIV/0!</v>
      </c>
      <c r="AB401" s="272" t="e">
        <f t="shared" si="39"/>
        <v>#DIV/0!</v>
      </c>
      <c r="AC401" s="272" t="e">
        <f t="shared" si="40"/>
        <v>#DIV/0!</v>
      </c>
    </row>
    <row r="402" spans="1:29" x14ac:dyDescent="0.2">
      <c r="A402" s="106">
        <f>Cadastro!A406</f>
        <v>0</v>
      </c>
      <c r="B402" s="27">
        <f>Cadastro!E404</f>
        <v>0</v>
      </c>
      <c r="C402">
        <f>pH_água!C402</f>
        <v>0</v>
      </c>
      <c r="D402">
        <f>pH_KCl!B403</f>
        <v>0</v>
      </c>
      <c r="E402">
        <f>'pH CaCl2'!C402</f>
        <v>0</v>
      </c>
      <c r="F402" s="104">
        <f>P_Mehlich1!H387</f>
        <v>0</v>
      </c>
      <c r="G402" s="123">
        <f>P_resina!H407</f>
        <v>0</v>
      </c>
      <c r="H402" s="272">
        <f>K!G372</f>
        <v>0</v>
      </c>
      <c r="I402" s="125">
        <v>0</v>
      </c>
      <c r="J402" s="272">
        <f>'Ca2+'!G403</f>
        <v>0</v>
      </c>
      <c r="K402" s="272">
        <f>Mg²!G405</f>
        <v>0</v>
      </c>
      <c r="L402" s="279">
        <f>Al³!C404</f>
        <v>0</v>
      </c>
      <c r="M402" s="279">
        <f>'H + Al'!D404</f>
        <v>0</v>
      </c>
      <c r="N402" s="272">
        <f t="shared" si="33"/>
        <v>0</v>
      </c>
      <c r="O402" s="272">
        <f t="shared" si="34"/>
        <v>0</v>
      </c>
      <c r="P402" s="272">
        <f t="shared" si="35"/>
        <v>0</v>
      </c>
      <c r="Q402" s="293" t="e">
        <f t="shared" si="36"/>
        <v>#DIV/0!</v>
      </c>
      <c r="R402" s="293" t="e">
        <f t="shared" si="37"/>
        <v>#DIV/0!</v>
      </c>
      <c r="S402">
        <f>Prem!H404</f>
        <v>0</v>
      </c>
      <c r="T402" s="281">
        <f>S!H408</f>
        <v>0</v>
      </c>
      <c r="U402" s="274">
        <f>B!H403</f>
        <v>0</v>
      </c>
      <c r="V402" s="272">
        <f>Zn!G404</f>
        <v>0</v>
      </c>
      <c r="W402" s="272">
        <f>Cu!G404</f>
        <v>0</v>
      </c>
      <c r="X402" s="272">
        <f>Mn!G404</f>
        <v>0</v>
      </c>
      <c r="Y402" s="272">
        <f>Fe!G404</f>
        <v>0</v>
      </c>
      <c r="Z402" s="274">
        <f>M.O!H404</f>
        <v>0</v>
      </c>
      <c r="AA402" s="272" t="e">
        <f t="shared" si="38"/>
        <v>#DIV/0!</v>
      </c>
      <c r="AB402" s="272" t="e">
        <f t="shared" si="39"/>
        <v>#DIV/0!</v>
      </c>
      <c r="AC402" s="272" t="e">
        <f t="shared" si="40"/>
        <v>#DIV/0!</v>
      </c>
    </row>
    <row r="403" spans="1:29" x14ac:dyDescent="0.2">
      <c r="A403" s="106">
        <f>Cadastro!A407</f>
        <v>0</v>
      </c>
      <c r="B403" s="27">
        <f>Cadastro!E405</f>
        <v>0</v>
      </c>
      <c r="C403">
        <f>pH_água!C403</f>
        <v>0</v>
      </c>
      <c r="D403">
        <f>pH_KCl!B404</f>
        <v>0</v>
      </c>
      <c r="E403">
        <f>'pH CaCl2'!C403</f>
        <v>0</v>
      </c>
      <c r="F403" s="104">
        <f>P_Mehlich1!H388</f>
        <v>0</v>
      </c>
      <c r="G403" s="123">
        <f>P_resina!H408</f>
        <v>0</v>
      </c>
      <c r="H403" s="272">
        <f>K!G373</f>
        <v>0</v>
      </c>
      <c r="I403" s="125">
        <v>0</v>
      </c>
      <c r="J403" s="272">
        <f>'Ca2+'!G404</f>
        <v>0</v>
      </c>
      <c r="K403" s="272">
        <f>Mg²!G406</f>
        <v>0</v>
      </c>
      <c r="L403" s="279">
        <f>Al³!C405</f>
        <v>0</v>
      </c>
      <c r="M403" s="279">
        <f>'H + Al'!D405</f>
        <v>0</v>
      </c>
      <c r="N403" s="272">
        <f t="shared" si="33"/>
        <v>0</v>
      </c>
      <c r="O403" s="272">
        <f t="shared" si="34"/>
        <v>0</v>
      </c>
      <c r="P403" s="272">
        <f t="shared" si="35"/>
        <v>0</v>
      </c>
      <c r="Q403" s="293" t="e">
        <f t="shared" si="36"/>
        <v>#DIV/0!</v>
      </c>
      <c r="R403" s="293" t="e">
        <f t="shared" si="37"/>
        <v>#DIV/0!</v>
      </c>
      <c r="S403">
        <f>Prem!H405</f>
        <v>0</v>
      </c>
      <c r="T403" s="281">
        <f>S!H409</f>
        <v>0</v>
      </c>
      <c r="U403" s="274">
        <f>B!H404</f>
        <v>0</v>
      </c>
      <c r="V403" s="272">
        <f>Zn!G405</f>
        <v>0</v>
      </c>
      <c r="W403" s="272">
        <f>Cu!G405</f>
        <v>0</v>
      </c>
      <c r="X403" s="272">
        <f>Mn!G405</f>
        <v>0</v>
      </c>
      <c r="Y403" s="272">
        <f>Fe!G405</f>
        <v>0</v>
      </c>
      <c r="Z403" s="274">
        <f>M.O!H405</f>
        <v>0</v>
      </c>
      <c r="AA403" s="272" t="e">
        <f t="shared" si="38"/>
        <v>#DIV/0!</v>
      </c>
      <c r="AB403" s="272" t="e">
        <f t="shared" si="39"/>
        <v>#DIV/0!</v>
      </c>
      <c r="AC403" s="272" t="e">
        <f t="shared" si="40"/>
        <v>#DIV/0!</v>
      </c>
    </row>
    <row r="404" spans="1:29" x14ac:dyDescent="0.2">
      <c r="A404" s="106">
        <f>Cadastro!A408</f>
        <v>0</v>
      </c>
      <c r="B404" s="27">
        <f>Cadastro!E406</f>
        <v>0</v>
      </c>
      <c r="C404">
        <f>pH_água!C404</f>
        <v>0</v>
      </c>
      <c r="D404">
        <f>pH_KCl!B405</f>
        <v>0</v>
      </c>
      <c r="E404">
        <f>'pH CaCl2'!C404</f>
        <v>0</v>
      </c>
      <c r="F404" s="104">
        <f>P_Mehlich1!H389</f>
        <v>0</v>
      </c>
      <c r="G404" s="123">
        <f>P_resina!H409</f>
        <v>0</v>
      </c>
      <c r="H404" s="272">
        <f>K!G374</f>
        <v>0</v>
      </c>
      <c r="I404" s="125">
        <v>0</v>
      </c>
      <c r="J404" s="272">
        <f>'Ca2+'!G405</f>
        <v>0</v>
      </c>
      <c r="K404" s="272">
        <f>Mg²!G407</f>
        <v>0</v>
      </c>
      <c r="L404" s="279">
        <f>Al³!C406</f>
        <v>0</v>
      </c>
      <c r="M404" s="279">
        <f>'H + Al'!D406</f>
        <v>0</v>
      </c>
      <c r="N404" s="272">
        <f t="shared" si="33"/>
        <v>0</v>
      </c>
      <c r="O404" s="272">
        <f t="shared" si="34"/>
        <v>0</v>
      </c>
      <c r="P404" s="272">
        <f t="shared" si="35"/>
        <v>0</v>
      </c>
      <c r="Q404" s="293" t="e">
        <f t="shared" si="36"/>
        <v>#DIV/0!</v>
      </c>
      <c r="R404" s="293" t="e">
        <f t="shared" si="37"/>
        <v>#DIV/0!</v>
      </c>
      <c r="S404">
        <f>Prem!H406</f>
        <v>0</v>
      </c>
      <c r="T404" s="281">
        <f>S!H410</f>
        <v>0</v>
      </c>
      <c r="U404" s="274">
        <f>B!H405</f>
        <v>0</v>
      </c>
      <c r="V404" s="272">
        <f>Zn!G406</f>
        <v>0</v>
      </c>
      <c r="W404" s="272">
        <f>Cu!G406</f>
        <v>0</v>
      </c>
      <c r="X404" s="272">
        <f>Mn!G406</f>
        <v>0</v>
      </c>
      <c r="Y404" s="272">
        <f>Fe!G406</f>
        <v>0</v>
      </c>
      <c r="Z404" s="274">
        <f>M.O!H406</f>
        <v>0</v>
      </c>
      <c r="AA404" s="272" t="e">
        <f t="shared" si="38"/>
        <v>#DIV/0!</v>
      </c>
      <c r="AB404" s="272" t="e">
        <f t="shared" si="39"/>
        <v>#DIV/0!</v>
      </c>
      <c r="AC404" s="272" t="e">
        <f t="shared" si="40"/>
        <v>#DIV/0!</v>
      </c>
    </row>
    <row r="405" spans="1:29" x14ac:dyDescent="0.2">
      <c r="A405" s="106">
        <f>Cadastro!A409</f>
        <v>0</v>
      </c>
      <c r="B405" s="27">
        <f>Cadastro!E407</f>
        <v>0</v>
      </c>
      <c r="C405">
        <f>pH_água!C405</f>
        <v>0</v>
      </c>
      <c r="D405">
        <f>pH_KCl!B406</f>
        <v>0</v>
      </c>
      <c r="E405">
        <f>'pH CaCl2'!C405</f>
        <v>0</v>
      </c>
      <c r="F405" s="104">
        <f>P_Mehlich1!H390</f>
        <v>0</v>
      </c>
      <c r="G405" s="123">
        <f>P_resina!H410</f>
        <v>0</v>
      </c>
      <c r="H405" s="272">
        <f>K!G375</f>
        <v>0</v>
      </c>
      <c r="I405" s="125">
        <v>0</v>
      </c>
      <c r="J405" s="272">
        <f>'Ca2+'!G406</f>
        <v>0</v>
      </c>
      <c r="K405" s="272">
        <f>Mg²!G408</f>
        <v>0</v>
      </c>
      <c r="L405" s="279">
        <f>Al³!C407</f>
        <v>0</v>
      </c>
      <c r="M405" s="279">
        <f>'H + Al'!D407</f>
        <v>0</v>
      </c>
      <c r="N405" s="272">
        <f t="shared" si="33"/>
        <v>0</v>
      </c>
      <c r="O405" s="272">
        <f t="shared" si="34"/>
        <v>0</v>
      </c>
      <c r="P405" s="272">
        <f t="shared" si="35"/>
        <v>0</v>
      </c>
      <c r="Q405" s="293" t="e">
        <f t="shared" si="36"/>
        <v>#DIV/0!</v>
      </c>
      <c r="R405" s="293" t="e">
        <f t="shared" si="37"/>
        <v>#DIV/0!</v>
      </c>
      <c r="S405">
        <f>Prem!H407</f>
        <v>0</v>
      </c>
      <c r="T405" s="281">
        <f>S!H411</f>
        <v>0</v>
      </c>
      <c r="U405" s="274">
        <f>B!H406</f>
        <v>0</v>
      </c>
      <c r="V405" s="272">
        <f>Zn!G407</f>
        <v>0</v>
      </c>
      <c r="W405" s="272">
        <f>Cu!G407</f>
        <v>0</v>
      </c>
      <c r="X405" s="272">
        <f>Mn!G407</f>
        <v>0</v>
      </c>
      <c r="Y405" s="272">
        <f>Fe!G407</f>
        <v>0</v>
      </c>
      <c r="Z405" s="274">
        <f>M.O!H407</f>
        <v>0</v>
      </c>
      <c r="AA405" s="272" t="e">
        <f t="shared" si="38"/>
        <v>#DIV/0!</v>
      </c>
      <c r="AB405" s="272" t="e">
        <f t="shared" si="39"/>
        <v>#DIV/0!</v>
      </c>
      <c r="AC405" s="272" t="e">
        <f t="shared" si="40"/>
        <v>#DIV/0!</v>
      </c>
    </row>
    <row r="406" spans="1:29" x14ac:dyDescent="0.2">
      <c r="A406" s="106">
        <f>Cadastro!A410</f>
        <v>0</v>
      </c>
      <c r="B406" s="27">
        <f>Cadastro!E408</f>
        <v>0</v>
      </c>
      <c r="C406">
        <f>pH_água!C406</f>
        <v>0</v>
      </c>
      <c r="D406">
        <f>pH_KCl!B407</f>
        <v>0</v>
      </c>
      <c r="E406">
        <f>'pH CaCl2'!C406</f>
        <v>0</v>
      </c>
      <c r="F406" s="104">
        <f>P_Mehlich1!H391</f>
        <v>0</v>
      </c>
      <c r="G406" s="123">
        <f>P_resina!H411</f>
        <v>0</v>
      </c>
      <c r="H406" s="272">
        <f>K!G376</f>
        <v>0</v>
      </c>
      <c r="I406" s="125">
        <v>0</v>
      </c>
      <c r="J406" s="272">
        <f>'Ca2+'!G407</f>
        <v>0</v>
      </c>
      <c r="K406" s="272">
        <f>Mg²!G409</f>
        <v>0</v>
      </c>
      <c r="L406" s="279">
        <f>Al³!C408</f>
        <v>0</v>
      </c>
      <c r="M406" s="279">
        <f>'H + Al'!D408</f>
        <v>0</v>
      </c>
      <c r="N406" s="272">
        <f t="shared" si="33"/>
        <v>0</v>
      </c>
      <c r="O406" s="272">
        <f t="shared" si="34"/>
        <v>0</v>
      </c>
      <c r="P406" s="272">
        <f t="shared" si="35"/>
        <v>0</v>
      </c>
      <c r="Q406" s="293" t="e">
        <f t="shared" si="36"/>
        <v>#DIV/0!</v>
      </c>
      <c r="R406" s="293" t="e">
        <f t="shared" si="37"/>
        <v>#DIV/0!</v>
      </c>
      <c r="S406">
        <f>Prem!H408</f>
        <v>0</v>
      </c>
      <c r="T406" s="281">
        <f>S!H412</f>
        <v>0</v>
      </c>
      <c r="U406" s="274">
        <f>B!H407</f>
        <v>0</v>
      </c>
      <c r="V406" s="272">
        <f>Zn!G408</f>
        <v>0</v>
      </c>
      <c r="W406" s="272">
        <f>Cu!G408</f>
        <v>0</v>
      </c>
      <c r="X406" s="272">
        <f>Mn!G408</f>
        <v>0</v>
      </c>
      <c r="Y406" s="272">
        <f>Fe!G408</f>
        <v>0</v>
      </c>
      <c r="Z406" s="274">
        <f>M.O!H408</f>
        <v>0</v>
      </c>
      <c r="AA406" s="272" t="e">
        <f t="shared" si="38"/>
        <v>#DIV/0!</v>
      </c>
      <c r="AB406" s="272" t="e">
        <f t="shared" si="39"/>
        <v>#DIV/0!</v>
      </c>
      <c r="AC406" s="272" t="e">
        <f t="shared" si="40"/>
        <v>#DIV/0!</v>
      </c>
    </row>
    <row r="407" spans="1:29" x14ac:dyDescent="0.2">
      <c r="A407" s="106">
        <f>Cadastro!A411</f>
        <v>0</v>
      </c>
      <c r="B407" s="27">
        <f>Cadastro!E409</f>
        <v>0</v>
      </c>
      <c r="C407">
        <f>pH_água!C407</f>
        <v>0</v>
      </c>
      <c r="D407">
        <f>pH_KCl!B408</f>
        <v>0</v>
      </c>
      <c r="E407">
        <f>'pH CaCl2'!C407</f>
        <v>0</v>
      </c>
      <c r="F407" s="104">
        <f>P_Mehlich1!H392</f>
        <v>0</v>
      </c>
      <c r="G407" s="123">
        <f>P_resina!H412</f>
        <v>0</v>
      </c>
      <c r="H407" s="272">
        <f>K!G377</f>
        <v>0</v>
      </c>
      <c r="I407" s="125">
        <v>0</v>
      </c>
      <c r="J407" s="272">
        <f>'Ca2+'!G408</f>
        <v>0</v>
      </c>
      <c r="K407" s="272">
        <f>Mg²!G410</f>
        <v>0</v>
      </c>
      <c r="L407" s="279">
        <f>Al³!C409</f>
        <v>0</v>
      </c>
      <c r="M407" s="279">
        <f>'H + Al'!D409</f>
        <v>0</v>
      </c>
      <c r="N407" s="272">
        <f t="shared" si="33"/>
        <v>0</v>
      </c>
      <c r="O407" s="272">
        <f t="shared" si="34"/>
        <v>0</v>
      </c>
      <c r="P407" s="272">
        <f t="shared" si="35"/>
        <v>0</v>
      </c>
      <c r="Q407" s="293" t="e">
        <f t="shared" si="36"/>
        <v>#DIV/0!</v>
      </c>
      <c r="R407" s="293" t="e">
        <f t="shared" si="37"/>
        <v>#DIV/0!</v>
      </c>
      <c r="S407">
        <f>Prem!H409</f>
        <v>0</v>
      </c>
      <c r="T407" s="281">
        <f>S!H413</f>
        <v>0</v>
      </c>
      <c r="U407" s="274">
        <f>B!H408</f>
        <v>0</v>
      </c>
      <c r="V407" s="272">
        <f>Zn!G409</f>
        <v>0</v>
      </c>
      <c r="W407" s="272">
        <f>Cu!G409</f>
        <v>0</v>
      </c>
      <c r="X407" s="272">
        <f>Mn!G409</f>
        <v>0</v>
      </c>
      <c r="Y407" s="272">
        <f>Fe!G409</f>
        <v>0</v>
      </c>
      <c r="Z407" s="274">
        <f>M.O!H409</f>
        <v>0</v>
      </c>
      <c r="AA407" s="272" t="e">
        <f t="shared" si="38"/>
        <v>#DIV/0!</v>
      </c>
      <c r="AB407" s="272" t="e">
        <f t="shared" si="39"/>
        <v>#DIV/0!</v>
      </c>
      <c r="AC407" s="272" t="e">
        <f t="shared" si="40"/>
        <v>#DIV/0!</v>
      </c>
    </row>
    <row r="408" spans="1:29" x14ac:dyDescent="0.2">
      <c r="A408" s="106">
        <f>Cadastro!A412</f>
        <v>0</v>
      </c>
      <c r="B408" s="27">
        <f>Cadastro!E410</f>
        <v>0</v>
      </c>
      <c r="C408">
        <f>pH_água!C408</f>
        <v>0</v>
      </c>
      <c r="D408">
        <f>pH_KCl!B409</f>
        <v>0</v>
      </c>
      <c r="E408">
        <f>'pH CaCl2'!C408</f>
        <v>0</v>
      </c>
      <c r="F408" s="104">
        <f>P_Mehlich1!H393</f>
        <v>0</v>
      </c>
      <c r="G408" s="123">
        <f>P_resina!H413</f>
        <v>0</v>
      </c>
      <c r="H408" s="272">
        <f>K!G378</f>
        <v>0</v>
      </c>
      <c r="I408" s="125">
        <v>0</v>
      </c>
      <c r="J408" s="272">
        <f>'Ca2+'!G409</f>
        <v>0</v>
      </c>
      <c r="K408" s="272">
        <f>Mg²!G411</f>
        <v>0</v>
      </c>
      <c r="L408" s="279">
        <f>Al³!C410</f>
        <v>0</v>
      </c>
      <c r="M408" s="279">
        <f>'H + Al'!D410</f>
        <v>0</v>
      </c>
      <c r="N408" s="272">
        <f t="shared" si="33"/>
        <v>0</v>
      </c>
      <c r="O408" s="272">
        <f t="shared" si="34"/>
        <v>0</v>
      </c>
      <c r="P408" s="272">
        <f t="shared" si="35"/>
        <v>0</v>
      </c>
      <c r="Q408" s="293" t="e">
        <f t="shared" si="36"/>
        <v>#DIV/0!</v>
      </c>
      <c r="R408" s="293" t="e">
        <f t="shared" si="37"/>
        <v>#DIV/0!</v>
      </c>
      <c r="S408">
        <f>Prem!H410</f>
        <v>0</v>
      </c>
      <c r="T408" s="281">
        <f>S!H414</f>
        <v>0</v>
      </c>
      <c r="U408" s="274">
        <f>B!H409</f>
        <v>0</v>
      </c>
      <c r="V408" s="272">
        <f>Zn!G410</f>
        <v>0</v>
      </c>
      <c r="W408" s="272">
        <f>Cu!G410</f>
        <v>0</v>
      </c>
      <c r="X408" s="272">
        <f>Mn!G410</f>
        <v>0</v>
      </c>
      <c r="Y408" s="272">
        <f>Fe!G410</f>
        <v>0</v>
      </c>
      <c r="Z408" s="274">
        <f>M.O!H410</f>
        <v>0</v>
      </c>
      <c r="AA408" s="272" t="e">
        <f t="shared" si="38"/>
        <v>#DIV/0!</v>
      </c>
      <c r="AB408" s="272" t="e">
        <f t="shared" si="39"/>
        <v>#DIV/0!</v>
      </c>
      <c r="AC408" s="272" t="e">
        <f t="shared" si="40"/>
        <v>#DIV/0!</v>
      </c>
    </row>
    <row r="409" spans="1:29" x14ac:dyDescent="0.2">
      <c r="A409" s="106">
        <f>Cadastro!A413</f>
        <v>0</v>
      </c>
      <c r="B409" s="27">
        <f>Cadastro!E411</f>
        <v>0</v>
      </c>
      <c r="C409">
        <f>pH_água!C409</f>
        <v>0</v>
      </c>
      <c r="D409">
        <f>pH_KCl!B410</f>
        <v>0</v>
      </c>
      <c r="E409">
        <f>'pH CaCl2'!C409</f>
        <v>0</v>
      </c>
      <c r="F409" s="104">
        <f>P_Mehlich1!H394</f>
        <v>0</v>
      </c>
      <c r="G409" s="123">
        <f>P_resina!H414</f>
        <v>0</v>
      </c>
      <c r="H409" s="272">
        <f>K!G379</f>
        <v>0</v>
      </c>
      <c r="I409" s="125">
        <v>0</v>
      </c>
      <c r="J409" s="272">
        <f>'Ca2+'!G410</f>
        <v>0</v>
      </c>
      <c r="K409" s="272">
        <f>Mg²!G412</f>
        <v>0</v>
      </c>
      <c r="L409" s="279">
        <f>Al³!C411</f>
        <v>0</v>
      </c>
      <c r="M409" s="279">
        <f>'H + Al'!D411</f>
        <v>0</v>
      </c>
      <c r="N409" s="272">
        <f t="shared" si="33"/>
        <v>0</v>
      </c>
      <c r="O409" s="272">
        <f t="shared" si="34"/>
        <v>0</v>
      </c>
      <c r="P409" s="272">
        <f t="shared" si="35"/>
        <v>0</v>
      </c>
      <c r="Q409" s="293" t="e">
        <f t="shared" si="36"/>
        <v>#DIV/0!</v>
      </c>
      <c r="R409" s="293" t="e">
        <f t="shared" si="37"/>
        <v>#DIV/0!</v>
      </c>
      <c r="S409">
        <f>Prem!H411</f>
        <v>0</v>
      </c>
      <c r="T409" s="281">
        <f>S!H415</f>
        <v>0</v>
      </c>
      <c r="U409" s="274">
        <f>B!H410</f>
        <v>0</v>
      </c>
      <c r="V409" s="272">
        <f>Zn!G411</f>
        <v>0</v>
      </c>
      <c r="W409" s="272">
        <f>Cu!G411</f>
        <v>0</v>
      </c>
      <c r="X409" s="272">
        <f>Mn!G411</f>
        <v>0</v>
      </c>
      <c r="Y409" s="272">
        <f>Fe!G411</f>
        <v>0</v>
      </c>
      <c r="Z409" s="274">
        <f>M.O!H411</f>
        <v>0</v>
      </c>
      <c r="AA409" s="272" t="e">
        <f t="shared" si="38"/>
        <v>#DIV/0!</v>
      </c>
      <c r="AB409" s="272" t="e">
        <f t="shared" si="39"/>
        <v>#DIV/0!</v>
      </c>
      <c r="AC409" s="272" t="e">
        <f t="shared" si="40"/>
        <v>#DIV/0!</v>
      </c>
    </row>
    <row r="410" spans="1:29" x14ac:dyDescent="0.2">
      <c r="A410" s="106">
        <f>Cadastro!A414</f>
        <v>0</v>
      </c>
      <c r="B410" s="27">
        <f>Cadastro!E412</f>
        <v>0</v>
      </c>
      <c r="C410">
        <f>pH_água!C410</f>
        <v>0</v>
      </c>
      <c r="D410">
        <f>pH_KCl!B411</f>
        <v>0</v>
      </c>
      <c r="E410">
        <f>'pH CaCl2'!C410</f>
        <v>0</v>
      </c>
      <c r="F410" s="104">
        <f>P_Mehlich1!H395</f>
        <v>0</v>
      </c>
      <c r="G410" s="123">
        <f>P_resina!H415</f>
        <v>0</v>
      </c>
      <c r="H410" s="272">
        <f>K!G380</f>
        <v>0</v>
      </c>
      <c r="I410" s="125">
        <v>0</v>
      </c>
      <c r="J410" s="272">
        <f>'Ca2+'!G411</f>
        <v>0</v>
      </c>
      <c r="K410" s="272">
        <f>Mg²!G413</f>
        <v>0</v>
      </c>
      <c r="L410" s="279">
        <f>Al³!C412</f>
        <v>0</v>
      </c>
      <c r="M410" s="279">
        <f>'H + Al'!D412</f>
        <v>0</v>
      </c>
      <c r="N410" s="272">
        <f t="shared" si="33"/>
        <v>0</v>
      </c>
      <c r="O410" s="272">
        <f t="shared" si="34"/>
        <v>0</v>
      </c>
      <c r="P410" s="272">
        <f t="shared" si="35"/>
        <v>0</v>
      </c>
      <c r="Q410" s="293" t="e">
        <f t="shared" si="36"/>
        <v>#DIV/0!</v>
      </c>
      <c r="R410" s="293" t="e">
        <f t="shared" si="37"/>
        <v>#DIV/0!</v>
      </c>
      <c r="S410">
        <f>Prem!H412</f>
        <v>0</v>
      </c>
      <c r="T410" s="281">
        <f>S!H416</f>
        <v>0</v>
      </c>
      <c r="U410" s="274">
        <f>B!H411</f>
        <v>0</v>
      </c>
      <c r="V410" s="272">
        <f>Zn!G412</f>
        <v>0</v>
      </c>
      <c r="W410" s="272">
        <f>Cu!G412</f>
        <v>0</v>
      </c>
      <c r="X410" s="272">
        <f>Mn!G412</f>
        <v>0</v>
      </c>
      <c r="Y410" s="272">
        <f>Fe!G412</f>
        <v>0</v>
      </c>
      <c r="Z410" s="274">
        <f>M.O!H412</f>
        <v>0</v>
      </c>
      <c r="AA410" s="272" t="e">
        <f t="shared" si="38"/>
        <v>#DIV/0!</v>
      </c>
      <c r="AB410" s="272" t="e">
        <f t="shared" si="39"/>
        <v>#DIV/0!</v>
      </c>
      <c r="AC410" s="272" t="e">
        <f t="shared" si="40"/>
        <v>#DIV/0!</v>
      </c>
    </row>
    <row r="411" spans="1:29" x14ac:dyDescent="0.2">
      <c r="A411" s="106">
        <f>Cadastro!A415</f>
        <v>0</v>
      </c>
      <c r="B411" s="27">
        <f>Cadastro!E413</f>
        <v>0</v>
      </c>
      <c r="C411">
        <f>pH_água!C411</f>
        <v>0</v>
      </c>
      <c r="D411">
        <f>pH_KCl!B412</f>
        <v>0</v>
      </c>
      <c r="E411">
        <f>'pH CaCl2'!C411</f>
        <v>0</v>
      </c>
      <c r="F411" s="104">
        <f>P_Mehlich1!H396</f>
        <v>0</v>
      </c>
      <c r="G411" s="123">
        <f>P_resina!H416</f>
        <v>0</v>
      </c>
      <c r="H411" s="272">
        <f>K!G381</f>
        <v>0</v>
      </c>
      <c r="I411" s="125">
        <v>0</v>
      </c>
      <c r="J411" s="272">
        <f>'Ca2+'!G412</f>
        <v>0</v>
      </c>
      <c r="K411" s="272">
        <f>Mg²!G414</f>
        <v>0</v>
      </c>
      <c r="L411" s="279">
        <f>Al³!C413</f>
        <v>0</v>
      </c>
      <c r="M411" s="279">
        <f>'H + Al'!D413</f>
        <v>0</v>
      </c>
      <c r="N411" s="272">
        <f t="shared" si="33"/>
        <v>0</v>
      </c>
      <c r="O411" s="272">
        <f t="shared" si="34"/>
        <v>0</v>
      </c>
      <c r="P411" s="272">
        <f t="shared" si="35"/>
        <v>0</v>
      </c>
      <c r="Q411" s="293" t="e">
        <f t="shared" si="36"/>
        <v>#DIV/0!</v>
      </c>
      <c r="R411" s="293" t="e">
        <f t="shared" si="37"/>
        <v>#DIV/0!</v>
      </c>
      <c r="S411">
        <f>Prem!H413</f>
        <v>0</v>
      </c>
      <c r="T411" s="281">
        <f>S!H417</f>
        <v>0</v>
      </c>
      <c r="U411" s="274">
        <f>B!H412</f>
        <v>0</v>
      </c>
      <c r="V411" s="272">
        <f>Zn!G413</f>
        <v>0</v>
      </c>
      <c r="W411" s="272">
        <f>Cu!G413</f>
        <v>0</v>
      </c>
      <c r="X411" s="272">
        <f>Mn!G413</f>
        <v>0</v>
      </c>
      <c r="Y411" s="272">
        <f>Fe!G413</f>
        <v>0</v>
      </c>
      <c r="Z411" s="274">
        <f>M.O!H413</f>
        <v>0</v>
      </c>
      <c r="AA411" s="272" t="e">
        <f t="shared" si="38"/>
        <v>#DIV/0!</v>
      </c>
      <c r="AB411" s="272" t="e">
        <f t="shared" si="39"/>
        <v>#DIV/0!</v>
      </c>
      <c r="AC411" s="272" t="e">
        <f t="shared" si="40"/>
        <v>#DIV/0!</v>
      </c>
    </row>
    <row r="412" spans="1:29" x14ac:dyDescent="0.2">
      <c r="A412" s="106">
        <f>Cadastro!A416</f>
        <v>0</v>
      </c>
      <c r="B412" s="27">
        <f>Cadastro!E414</f>
        <v>0</v>
      </c>
      <c r="C412">
        <f>pH_água!C412</f>
        <v>0</v>
      </c>
      <c r="D412">
        <f>pH_KCl!B413</f>
        <v>0</v>
      </c>
      <c r="E412">
        <f>'pH CaCl2'!C412</f>
        <v>0</v>
      </c>
      <c r="F412" s="104">
        <f>P_Mehlich1!H397</f>
        <v>0</v>
      </c>
      <c r="G412" s="123">
        <f>P_resina!H417</f>
        <v>0</v>
      </c>
      <c r="H412" s="272">
        <f>K!G382</f>
        <v>0</v>
      </c>
      <c r="I412" s="125">
        <v>0</v>
      </c>
      <c r="J412" s="272">
        <f>'Ca2+'!G413</f>
        <v>0</v>
      </c>
      <c r="K412" s="272">
        <f>Mg²!G415</f>
        <v>0</v>
      </c>
      <c r="L412" s="279">
        <f>Al³!C414</f>
        <v>0</v>
      </c>
      <c r="M412" s="279">
        <f>'H + Al'!D414</f>
        <v>0</v>
      </c>
      <c r="N412" s="272">
        <f t="shared" si="33"/>
        <v>0</v>
      </c>
      <c r="O412" s="272">
        <f t="shared" si="34"/>
        <v>0</v>
      </c>
      <c r="P412" s="272">
        <f t="shared" si="35"/>
        <v>0</v>
      </c>
      <c r="Q412" s="293" t="e">
        <f t="shared" si="36"/>
        <v>#DIV/0!</v>
      </c>
      <c r="R412" s="293" t="e">
        <f t="shared" si="37"/>
        <v>#DIV/0!</v>
      </c>
      <c r="S412">
        <f>Prem!H414</f>
        <v>0</v>
      </c>
      <c r="T412" s="281">
        <f>S!H418</f>
        <v>0</v>
      </c>
      <c r="U412" s="274">
        <f>B!H413</f>
        <v>0</v>
      </c>
      <c r="V412" s="272">
        <f>Zn!G414</f>
        <v>0</v>
      </c>
      <c r="W412" s="272">
        <f>Cu!G414</f>
        <v>0</v>
      </c>
      <c r="X412" s="272">
        <f>Mn!G414</f>
        <v>0</v>
      </c>
      <c r="Y412" s="272">
        <f>Fe!G414</f>
        <v>0</v>
      </c>
      <c r="Z412" s="274">
        <f>M.O!H414</f>
        <v>0</v>
      </c>
      <c r="AA412" s="272" t="e">
        <f t="shared" si="38"/>
        <v>#DIV/0!</v>
      </c>
      <c r="AB412" s="272" t="e">
        <f t="shared" si="39"/>
        <v>#DIV/0!</v>
      </c>
      <c r="AC412" s="272" t="e">
        <f t="shared" si="40"/>
        <v>#DIV/0!</v>
      </c>
    </row>
    <row r="413" spans="1:29" x14ac:dyDescent="0.2">
      <c r="A413" s="106">
        <f>Cadastro!A417</f>
        <v>0</v>
      </c>
      <c r="B413" s="27">
        <f>Cadastro!E415</f>
        <v>0</v>
      </c>
      <c r="C413">
        <f>pH_água!C413</f>
        <v>0</v>
      </c>
      <c r="D413">
        <f>pH_KCl!B414</f>
        <v>0</v>
      </c>
      <c r="E413">
        <f>'pH CaCl2'!C413</f>
        <v>0</v>
      </c>
      <c r="F413" s="104">
        <f>P_Mehlich1!H398</f>
        <v>0</v>
      </c>
      <c r="G413" s="123">
        <f>P_resina!H418</f>
        <v>0</v>
      </c>
      <c r="H413" s="272">
        <f>K!G383</f>
        <v>0</v>
      </c>
      <c r="I413" s="125">
        <v>0</v>
      </c>
      <c r="J413" s="272">
        <f>'Ca2+'!G414</f>
        <v>0</v>
      </c>
      <c r="K413" s="272">
        <f>Mg²!G416</f>
        <v>0</v>
      </c>
      <c r="L413" s="279">
        <f>Al³!C415</f>
        <v>0</v>
      </c>
      <c r="M413" s="279">
        <f>'H + Al'!D415</f>
        <v>0</v>
      </c>
      <c r="N413" s="272">
        <f t="shared" si="33"/>
        <v>0</v>
      </c>
      <c r="O413" s="272">
        <f t="shared" si="34"/>
        <v>0</v>
      </c>
      <c r="P413" s="272">
        <f t="shared" si="35"/>
        <v>0</v>
      </c>
      <c r="Q413" s="293" t="e">
        <f t="shared" si="36"/>
        <v>#DIV/0!</v>
      </c>
      <c r="R413" s="293" t="e">
        <f t="shared" si="37"/>
        <v>#DIV/0!</v>
      </c>
      <c r="S413">
        <f>Prem!H415</f>
        <v>0</v>
      </c>
      <c r="T413" s="281">
        <f>S!H419</f>
        <v>0</v>
      </c>
      <c r="U413" s="274">
        <f>B!H414</f>
        <v>0</v>
      </c>
      <c r="V413" s="272">
        <f>Zn!G415</f>
        <v>0</v>
      </c>
      <c r="W413" s="272">
        <f>Cu!G415</f>
        <v>0</v>
      </c>
      <c r="X413" s="272">
        <f>Mn!G415</f>
        <v>0</v>
      </c>
      <c r="Y413" s="272">
        <f>Fe!G415</f>
        <v>0</v>
      </c>
      <c r="Z413" s="274">
        <f>M.O!H415</f>
        <v>0</v>
      </c>
      <c r="AA413" s="272" t="e">
        <f t="shared" si="38"/>
        <v>#DIV/0!</v>
      </c>
      <c r="AB413" s="272" t="e">
        <f t="shared" si="39"/>
        <v>#DIV/0!</v>
      </c>
      <c r="AC413" s="272" t="e">
        <f t="shared" si="40"/>
        <v>#DIV/0!</v>
      </c>
    </row>
    <row r="414" spans="1:29" x14ac:dyDescent="0.2">
      <c r="A414" s="106">
        <f>Cadastro!A418</f>
        <v>0</v>
      </c>
      <c r="B414" s="27">
        <f>Cadastro!E416</f>
        <v>0</v>
      </c>
      <c r="C414">
        <f>pH_água!C414</f>
        <v>0</v>
      </c>
      <c r="D414">
        <f>pH_KCl!B415</f>
        <v>0</v>
      </c>
      <c r="E414">
        <f>'pH CaCl2'!C414</f>
        <v>0</v>
      </c>
      <c r="F414" s="104">
        <f>P_Mehlich1!H399</f>
        <v>0</v>
      </c>
      <c r="G414" s="123">
        <f>P_resina!H419</f>
        <v>0</v>
      </c>
      <c r="H414" s="272">
        <f>K!G384</f>
        <v>0</v>
      </c>
      <c r="I414" s="125">
        <v>0</v>
      </c>
      <c r="J414" s="272">
        <f>'Ca2+'!G415</f>
        <v>0</v>
      </c>
      <c r="K414" s="272">
        <f>Mg²!G417</f>
        <v>0</v>
      </c>
      <c r="L414" s="279">
        <f>Al³!C416</f>
        <v>0</v>
      </c>
      <c r="M414" s="279">
        <f>'H + Al'!D416</f>
        <v>0</v>
      </c>
      <c r="N414" s="272">
        <f t="shared" si="33"/>
        <v>0</v>
      </c>
      <c r="O414" s="272">
        <f t="shared" si="34"/>
        <v>0</v>
      </c>
      <c r="P414" s="272">
        <f t="shared" si="35"/>
        <v>0</v>
      </c>
      <c r="Q414" s="293" t="e">
        <f t="shared" si="36"/>
        <v>#DIV/0!</v>
      </c>
      <c r="R414" s="293" t="e">
        <f t="shared" si="37"/>
        <v>#DIV/0!</v>
      </c>
      <c r="S414">
        <f>Prem!H416</f>
        <v>0</v>
      </c>
      <c r="T414" s="281">
        <f>S!H420</f>
        <v>0</v>
      </c>
      <c r="U414" s="274">
        <f>B!H415</f>
        <v>0</v>
      </c>
      <c r="V414" s="272">
        <f>Zn!G416</f>
        <v>0</v>
      </c>
      <c r="W414" s="272">
        <f>Cu!G416</f>
        <v>0</v>
      </c>
      <c r="X414" s="272">
        <f>Mn!G416</f>
        <v>0</v>
      </c>
      <c r="Y414" s="272">
        <f>Fe!G416</f>
        <v>0</v>
      </c>
      <c r="Z414" s="274">
        <f>M.O!H416</f>
        <v>0</v>
      </c>
      <c r="AA414" s="272" t="e">
        <f t="shared" si="38"/>
        <v>#DIV/0!</v>
      </c>
      <c r="AB414" s="272" t="e">
        <f t="shared" si="39"/>
        <v>#DIV/0!</v>
      </c>
      <c r="AC414" s="272" t="e">
        <f t="shared" si="40"/>
        <v>#DIV/0!</v>
      </c>
    </row>
    <row r="415" spans="1:29" x14ac:dyDescent="0.2">
      <c r="A415" s="106">
        <f>Cadastro!A419</f>
        <v>0</v>
      </c>
      <c r="B415" s="27">
        <f>Cadastro!E417</f>
        <v>0</v>
      </c>
      <c r="C415">
        <f>pH_água!C415</f>
        <v>0</v>
      </c>
      <c r="D415">
        <f>pH_KCl!B416</f>
        <v>0</v>
      </c>
      <c r="E415">
        <f>'pH CaCl2'!C415</f>
        <v>0</v>
      </c>
      <c r="F415" s="104">
        <f>P_Mehlich1!H400</f>
        <v>0</v>
      </c>
      <c r="G415" s="123">
        <f>P_resina!H420</f>
        <v>0</v>
      </c>
      <c r="H415" s="272">
        <f>K!G385</f>
        <v>0</v>
      </c>
      <c r="I415" s="125">
        <v>0</v>
      </c>
      <c r="J415" s="272">
        <f>'Ca2+'!G416</f>
        <v>0</v>
      </c>
      <c r="K415" s="272">
        <f>Mg²!G418</f>
        <v>0</v>
      </c>
      <c r="L415" s="279">
        <f>Al³!C417</f>
        <v>0</v>
      </c>
      <c r="M415" s="279">
        <f>'H + Al'!D417</f>
        <v>0</v>
      </c>
      <c r="N415" s="272">
        <f t="shared" si="33"/>
        <v>0</v>
      </c>
      <c r="O415" s="272">
        <f t="shared" si="34"/>
        <v>0</v>
      </c>
      <c r="P415" s="272">
        <f t="shared" si="35"/>
        <v>0</v>
      </c>
      <c r="Q415" s="293" t="e">
        <f t="shared" si="36"/>
        <v>#DIV/0!</v>
      </c>
      <c r="R415" s="293" t="e">
        <f t="shared" si="37"/>
        <v>#DIV/0!</v>
      </c>
      <c r="S415">
        <f>Prem!H417</f>
        <v>0</v>
      </c>
      <c r="T415" s="281">
        <f>S!H421</f>
        <v>0</v>
      </c>
      <c r="U415" s="274">
        <f>B!H416</f>
        <v>0</v>
      </c>
      <c r="V415" s="272">
        <f>Zn!G417</f>
        <v>0</v>
      </c>
      <c r="W415" s="272">
        <f>Cu!G417</f>
        <v>0</v>
      </c>
      <c r="X415" s="272">
        <f>Mn!G417</f>
        <v>0</v>
      </c>
      <c r="Y415" s="272">
        <f>Fe!G417</f>
        <v>0</v>
      </c>
      <c r="Z415" s="274">
        <f>M.O!H417</f>
        <v>0</v>
      </c>
      <c r="AA415" s="272" t="e">
        <f t="shared" si="38"/>
        <v>#DIV/0!</v>
      </c>
      <c r="AB415" s="272" t="e">
        <f t="shared" si="39"/>
        <v>#DIV/0!</v>
      </c>
      <c r="AC415" s="272" t="e">
        <f t="shared" si="40"/>
        <v>#DIV/0!</v>
      </c>
    </row>
    <row r="416" spans="1:29" x14ac:dyDescent="0.2">
      <c r="A416" s="106">
        <f>Cadastro!A420</f>
        <v>0</v>
      </c>
      <c r="B416" s="27">
        <f>Cadastro!E418</f>
        <v>0</v>
      </c>
      <c r="C416">
        <f>pH_água!C416</f>
        <v>0</v>
      </c>
      <c r="D416">
        <f>pH_KCl!B417</f>
        <v>0</v>
      </c>
      <c r="E416">
        <f>'pH CaCl2'!C416</f>
        <v>0</v>
      </c>
      <c r="F416" s="104">
        <f>P_Mehlich1!H401</f>
        <v>0</v>
      </c>
      <c r="G416" s="123">
        <f>P_resina!H421</f>
        <v>0</v>
      </c>
      <c r="H416" s="272">
        <f>K!G386</f>
        <v>0</v>
      </c>
      <c r="I416" s="125">
        <v>0</v>
      </c>
      <c r="J416" s="272">
        <f>'Ca2+'!G417</f>
        <v>0</v>
      </c>
      <c r="K416" s="272">
        <f>Mg²!G419</f>
        <v>0</v>
      </c>
      <c r="L416" s="279">
        <f>Al³!C418</f>
        <v>0</v>
      </c>
      <c r="M416" s="279">
        <f>'H + Al'!D418</f>
        <v>0</v>
      </c>
      <c r="N416" s="272">
        <f t="shared" si="33"/>
        <v>0</v>
      </c>
      <c r="O416" s="272">
        <f t="shared" si="34"/>
        <v>0</v>
      </c>
      <c r="P416" s="272">
        <f t="shared" si="35"/>
        <v>0</v>
      </c>
      <c r="Q416" s="293" t="e">
        <f t="shared" si="36"/>
        <v>#DIV/0!</v>
      </c>
      <c r="R416" s="293" t="e">
        <f t="shared" si="37"/>
        <v>#DIV/0!</v>
      </c>
      <c r="S416">
        <f>Prem!H418</f>
        <v>0</v>
      </c>
      <c r="T416" s="281">
        <f>S!H422</f>
        <v>0</v>
      </c>
      <c r="U416" s="274">
        <f>B!H417</f>
        <v>0</v>
      </c>
      <c r="V416" s="272">
        <f>Zn!G418</f>
        <v>0</v>
      </c>
      <c r="W416" s="272">
        <f>Cu!G418</f>
        <v>0</v>
      </c>
      <c r="X416" s="272">
        <f>Mn!G418</f>
        <v>0</v>
      </c>
      <c r="Y416" s="272">
        <f>Fe!G418</f>
        <v>0</v>
      </c>
      <c r="Z416" s="274">
        <f>M.O!H418</f>
        <v>0</v>
      </c>
      <c r="AA416" s="272" t="e">
        <f t="shared" si="38"/>
        <v>#DIV/0!</v>
      </c>
      <c r="AB416" s="272" t="e">
        <f t="shared" si="39"/>
        <v>#DIV/0!</v>
      </c>
      <c r="AC416" s="272" t="e">
        <f t="shared" si="40"/>
        <v>#DIV/0!</v>
      </c>
    </row>
    <row r="417" spans="1:29" x14ac:dyDescent="0.2">
      <c r="A417" s="106">
        <f>Cadastro!A421</f>
        <v>0</v>
      </c>
      <c r="B417" s="27">
        <f>Cadastro!E419</f>
        <v>0</v>
      </c>
      <c r="C417">
        <f>pH_água!C417</f>
        <v>0</v>
      </c>
      <c r="D417">
        <f>pH_KCl!B418</f>
        <v>0</v>
      </c>
      <c r="E417">
        <f>'pH CaCl2'!C417</f>
        <v>0</v>
      </c>
      <c r="F417" s="104">
        <f>P_Mehlich1!H402</f>
        <v>0</v>
      </c>
      <c r="G417" s="123">
        <f>P_resina!H422</f>
        <v>0</v>
      </c>
      <c r="H417" s="272">
        <f>K!G387</f>
        <v>0</v>
      </c>
      <c r="I417" s="125">
        <v>0</v>
      </c>
      <c r="J417" s="272">
        <f>'Ca2+'!G418</f>
        <v>0</v>
      </c>
      <c r="K417" s="272">
        <f>Mg²!G420</f>
        <v>0</v>
      </c>
      <c r="L417" s="279">
        <f>Al³!C419</f>
        <v>0</v>
      </c>
      <c r="M417" s="279">
        <f>'H + Al'!D419</f>
        <v>0</v>
      </c>
      <c r="N417" s="272">
        <f t="shared" si="33"/>
        <v>0</v>
      </c>
      <c r="O417" s="272">
        <f t="shared" si="34"/>
        <v>0</v>
      </c>
      <c r="P417" s="272">
        <f t="shared" si="35"/>
        <v>0</v>
      </c>
      <c r="Q417" s="293" t="e">
        <f t="shared" si="36"/>
        <v>#DIV/0!</v>
      </c>
      <c r="R417" s="293" t="e">
        <f t="shared" si="37"/>
        <v>#DIV/0!</v>
      </c>
      <c r="S417">
        <f>Prem!H419</f>
        <v>0</v>
      </c>
      <c r="T417" s="281">
        <f>S!H423</f>
        <v>0</v>
      </c>
      <c r="U417" s="274">
        <f>B!H418</f>
        <v>0</v>
      </c>
      <c r="V417" s="272">
        <f>Zn!G419</f>
        <v>0</v>
      </c>
      <c r="W417" s="272">
        <f>Cu!G419</f>
        <v>0</v>
      </c>
      <c r="X417" s="272">
        <f>Mn!G419</f>
        <v>0</v>
      </c>
      <c r="Y417" s="272">
        <f>Fe!G419</f>
        <v>0</v>
      </c>
      <c r="Z417" s="274">
        <f>M.O!H419</f>
        <v>0</v>
      </c>
      <c r="AA417" s="272" t="e">
        <f t="shared" si="38"/>
        <v>#DIV/0!</v>
      </c>
      <c r="AB417" s="272" t="e">
        <f t="shared" si="39"/>
        <v>#DIV/0!</v>
      </c>
      <c r="AC417" s="272" t="e">
        <f t="shared" si="40"/>
        <v>#DIV/0!</v>
      </c>
    </row>
    <row r="418" spans="1:29" x14ac:dyDescent="0.2">
      <c r="A418" s="106">
        <f>Cadastro!A422</f>
        <v>0</v>
      </c>
      <c r="B418" s="27">
        <f>Cadastro!E420</f>
        <v>0</v>
      </c>
      <c r="C418">
        <f>pH_água!C418</f>
        <v>0</v>
      </c>
      <c r="D418">
        <f>pH_KCl!B419</f>
        <v>0</v>
      </c>
      <c r="E418">
        <f>'pH CaCl2'!C418</f>
        <v>0</v>
      </c>
      <c r="F418" s="104">
        <f>P_Mehlich1!H403</f>
        <v>0</v>
      </c>
      <c r="G418" s="123">
        <f>P_resina!H423</f>
        <v>0</v>
      </c>
      <c r="H418" s="272">
        <f>K!G388</f>
        <v>0</v>
      </c>
      <c r="I418" s="125">
        <v>0</v>
      </c>
      <c r="J418" s="272">
        <f>'Ca2+'!G419</f>
        <v>0</v>
      </c>
      <c r="K418" s="272">
        <f>Mg²!G421</f>
        <v>0</v>
      </c>
      <c r="L418" s="279">
        <f>Al³!C420</f>
        <v>0</v>
      </c>
      <c r="M418" s="279">
        <f>'H + Al'!D420</f>
        <v>0</v>
      </c>
      <c r="N418" s="272">
        <f t="shared" si="33"/>
        <v>0</v>
      </c>
      <c r="O418" s="272">
        <f t="shared" si="34"/>
        <v>0</v>
      </c>
      <c r="P418" s="272">
        <f t="shared" si="35"/>
        <v>0</v>
      </c>
      <c r="Q418" s="293" t="e">
        <f t="shared" si="36"/>
        <v>#DIV/0!</v>
      </c>
      <c r="R418" s="293" t="e">
        <f t="shared" si="37"/>
        <v>#DIV/0!</v>
      </c>
      <c r="S418">
        <f>Prem!H420</f>
        <v>0</v>
      </c>
      <c r="T418" s="281">
        <f>S!H424</f>
        <v>0</v>
      </c>
      <c r="U418" s="274">
        <f>B!H419</f>
        <v>0</v>
      </c>
      <c r="V418" s="272">
        <f>Zn!G420</f>
        <v>0</v>
      </c>
      <c r="W418" s="272">
        <f>Cu!G420</f>
        <v>0</v>
      </c>
      <c r="X418" s="272">
        <f>Mn!G420</f>
        <v>0</v>
      </c>
      <c r="Y418" s="272">
        <f>Fe!G420</f>
        <v>0</v>
      </c>
      <c r="Z418" s="274">
        <f>M.O!H420</f>
        <v>0</v>
      </c>
      <c r="AA418" s="272" t="e">
        <f t="shared" si="38"/>
        <v>#DIV/0!</v>
      </c>
      <c r="AB418" s="272" t="e">
        <f t="shared" si="39"/>
        <v>#DIV/0!</v>
      </c>
      <c r="AC418" s="272" t="e">
        <f t="shared" si="40"/>
        <v>#DIV/0!</v>
      </c>
    </row>
    <row r="419" spans="1:29" x14ac:dyDescent="0.2">
      <c r="A419" s="106">
        <f>Cadastro!A423</f>
        <v>0</v>
      </c>
      <c r="B419" s="27">
        <f>Cadastro!E421</f>
        <v>0</v>
      </c>
      <c r="C419">
        <f>pH_água!C419</f>
        <v>0</v>
      </c>
      <c r="D419">
        <f>pH_KCl!B420</f>
        <v>0</v>
      </c>
      <c r="E419">
        <f>'pH CaCl2'!C419</f>
        <v>0</v>
      </c>
      <c r="F419" s="104">
        <f>P_Mehlich1!H404</f>
        <v>0</v>
      </c>
      <c r="G419" s="123">
        <f>P_resina!H424</f>
        <v>0</v>
      </c>
      <c r="H419" s="272">
        <f>K!G389</f>
        <v>0</v>
      </c>
      <c r="I419" s="125">
        <v>0</v>
      </c>
      <c r="J419" s="272">
        <f>'Ca2+'!G420</f>
        <v>0</v>
      </c>
      <c r="K419" s="272">
        <f>Mg²!G422</f>
        <v>0</v>
      </c>
      <c r="L419" s="279">
        <f>Al³!C421</f>
        <v>0</v>
      </c>
      <c r="M419" s="279">
        <f>'H + Al'!D421</f>
        <v>0</v>
      </c>
      <c r="N419" s="272">
        <f t="shared" si="33"/>
        <v>0</v>
      </c>
      <c r="O419" s="272">
        <f t="shared" si="34"/>
        <v>0</v>
      </c>
      <c r="P419" s="272">
        <f t="shared" si="35"/>
        <v>0</v>
      </c>
      <c r="Q419" s="293" t="e">
        <f t="shared" si="36"/>
        <v>#DIV/0!</v>
      </c>
      <c r="R419" s="293" t="e">
        <f t="shared" si="37"/>
        <v>#DIV/0!</v>
      </c>
      <c r="S419">
        <f>Prem!H421</f>
        <v>0</v>
      </c>
      <c r="T419" s="281">
        <f>S!H425</f>
        <v>0</v>
      </c>
      <c r="U419" s="274">
        <f>B!H420</f>
        <v>0</v>
      </c>
      <c r="V419" s="272">
        <f>Zn!G421</f>
        <v>0</v>
      </c>
      <c r="W419" s="272">
        <f>Cu!G421</f>
        <v>0</v>
      </c>
      <c r="X419" s="272">
        <f>Mn!G421</f>
        <v>0</v>
      </c>
      <c r="Y419" s="272">
        <f>Fe!G421</f>
        <v>0</v>
      </c>
      <c r="Z419" s="274">
        <f>M.O!H421</f>
        <v>0</v>
      </c>
      <c r="AA419" s="272" t="e">
        <f t="shared" si="38"/>
        <v>#DIV/0!</v>
      </c>
      <c r="AB419" s="272" t="e">
        <f t="shared" si="39"/>
        <v>#DIV/0!</v>
      </c>
      <c r="AC419" s="272" t="e">
        <f t="shared" si="40"/>
        <v>#DIV/0!</v>
      </c>
    </row>
    <row r="420" spans="1:29" x14ac:dyDescent="0.2">
      <c r="A420" s="106">
        <f>Cadastro!A424</f>
        <v>0</v>
      </c>
      <c r="B420" s="27">
        <f>Cadastro!E422</f>
        <v>0</v>
      </c>
      <c r="C420">
        <f>pH_água!C420</f>
        <v>0</v>
      </c>
      <c r="D420">
        <f>pH_KCl!B421</f>
        <v>0</v>
      </c>
      <c r="E420">
        <f>'pH CaCl2'!C420</f>
        <v>0</v>
      </c>
      <c r="F420" s="104">
        <f>P_Mehlich1!H405</f>
        <v>0</v>
      </c>
      <c r="G420" s="123">
        <f>P_resina!H425</f>
        <v>0</v>
      </c>
      <c r="H420" s="272">
        <f>K!G390</f>
        <v>0</v>
      </c>
      <c r="I420" s="125">
        <v>0</v>
      </c>
      <c r="J420" s="272">
        <f>'Ca2+'!G421</f>
        <v>0</v>
      </c>
      <c r="K420" s="272">
        <f>Mg²!G423</f>
        <v>0</v>
      </c>
      <c r="L420" s="279">
        <f>Al³!C422</f>
        <v>0</v>
      </c>
      <c r="M420" s="279">
        <f>'H + Al'!D422</f>
        <v>0</v>
      </c>
      <c r="N420" s="272">
        <f t="shared" si="33"/>
        <v>0</v>
      </c>
      <c r="O420" s="272">
        <f t="shared" si="34"/>
        <v>0</v>
      </c>
      <c r="P420" s="272">
        <f t="shared" si="35"/>
        <v>0</v>
      </c>
      <c r="Q420" s="293" t="e">
        <f t="shared" si="36"/>
        <v>#DIV/0!</v>
      </c>
      <c r="R420" s="293" t="e">
        <f t="shared" si="37"/>
        <v>#DIV/0!</v>
      </c>
      <c r="S420">
        <f>Prem!H422</f>
        <v>0</v>
      </c>
      <c r="T420" s="281">
        <f>S!H426</f>
        <v>0</v>
      </c>
      <c r="U420" s="274">
        <f>B!H421</f>
        <v>0</v>
      </c>
      <c r="V420" s="272">
        <f>Zn!G422</f>
        <v>0</v>
      </c>
      <c r="W420" s="272">
        <f>Cu!G422</f>
        <v>0</v>
      </c>
      <c r="X420" s="272">
        <f>Mn!G422</f>
        <v>0</v>
      </c>
      <c r="Y420" s="272">
        <f>Fe!G422</f>
        <v>0</v>
      </c>
      <c r="Z420" s="274">
        <f>M.O!H422</f>
        <v>0</v>
      </c>
      <c r="AA420" s="272" t="e">
        <f t="shared" si="38"/>
        <v>#DIV/0!</v>
      </c>
      <c r="AB420" s="272" t="e">
        <f t="shared" si="39"/>
        <v>#DIV/0!</v>
      </c>
      <c r="AC420" s="272" t="e">
        <f t="shared" si="40"/>
        <v>#DIV/0!</v>
      </c>
    </row>
    <row r="421" spans="1:29" x14ac:dyDescent="0.2">
      <c r="A421" s="106">
        <f>Cadastro!A425</f>
        <v>0</v>
      </c>
      <c r="B421" s="27">
        <f>Cadastro!E423</f>
        <v>0</v>
      </c>
      <c r="C421">
        <f>pH_água!C421</f>
        <v>0</v>
      </c>
      <c r="D421">
        <f>pH_KCl!B422</f>
        <v>0</v>
      </c>
      <c r="E421">
        <f>'pH CaCl2'!C421</f>
        <v>0</v>
      </c>
      <c r="F421" s="104">
        <f>P_Mehlich1!H406</f>
        <v>0</v>
      </c>
      <c r="G421" s="123">
        <f>P_resina!H426</f>
        <v>0</v>
      </c>
      <c r="H421" s="272">
        <f>K!G391</f>
        <v>0</v>
      </c>
      <c r="I421" s="125">
        <v>0</v>
      </c>
      <c r="J421" s="272">
        <f>'Ca2+'!G422</f>
        <v>0</v>
      </c>
      <c r="K421" s="272">
        <f>Mg²!G424</f>
        <v>0</v>
      </c>
      <c r="L421" s="279">
        <f>Al³!C423</f>
        <v>0</v>
      </c>
      <c r="M421" s="279">
        <f>'H + Al'!D423</f>
        <v>0</v>
      </c>
      <c r="N421" s="272">
        <f t="shared" si="33"/>
        <v>0</v>
      </c>
      <c r="O421" s="272">
        <f t="shared" si="34"/>
        <v>0</v>
      </c>
      <c r="P421" s="272">
        <f t="shared" si="35"/>
        <v>0</v>
      </c>
      <c r="Q421" s="293" t="e">
        <f t="shared" si="36"/>
        <v>#DIV/0!</v>
      </c>
      <c r="R421" s="293" t="e">
        <f t="shared" si="37"/>
        <v>#DIV/0!</v>
      </c>
      <c r="S421">
        <f>Prem!H423</f>
        <v>0</v>
      </c>
      <c r="T421" s="281">
        <f>S!H427</f>
        <v>0</v>
      </c>
      <c r="U421" s="274">
        <f>B!H422</f>
        <v>0</v>
      </c>
      <c r="V421" s="272">
        <f>Zn!G423</f>
        <v>0</v>
      </c>
      <c r="W421" s="272">
        <f>Cu!G423</f>
        <v>0</v>
      </c>
      <c r="X421" s="272">
        <f>Mn!G423</f>
        <v>0</v>
      </c>
      <c r="Y421" s="272">
        <f>Fe!G423</f>
        <v>0</v>
      </c>
      <c r="Z421" s="274">
        <f>M.O!H423</f>
        <v>0</v>
      </c>
      <c r="AA421" s="272" t="e">
        <f t="shared" si="38"/>
        <v>#DIV/0!</v>
      </c>
      <c r="AB421" s="272" t="e">
        <f t="shared" si="39"/>
        <v>#DIV/0!</v>
      </c>
      <c r="AC421" s="272" t="e">
        <f t="shared" si="40"/>
        <v>#DIV/0!</v>
      </c>
    </row>
    <row r="422" spans="1:29" x14ac:dyDescent="0.2">
      <c r="A422" s="106">
        <f>Cadastro!A426</f>
        <v>0</v>
      </c>
      <c r="B422" s="27">
        <f>Cadastro!E424</f>
        <v>0</v>
      </c>
      <c r="C422">
        <f>pH_água!C422</f>
        <v>0</v>
      </c>
      <c r="D422">
        <f>pH_KCl!B423</f>
        <v>0</v>
      </c>
      <c r="E422">
        <f>'pH CaCl2'!C422</f>
        <v>0</v>
      </c>
      <c r="F422" s="104">
        <f>P_Mehlich1!H407</f>
        <v>0</v>
      </c>
      <c r="G422" s="123">
        <f>P_resina!H427</f>
        <v>0</v>
      </c>
      <c r="H422" s="272">
        <f>K!G392</f>
        <v>0</v>
      </c>
      <c r="I422" s="125">
        <v>0</v>
      </c>
      <c r="J422" s="272">
        <f>'Ca2+'!G423</f>
        <v>0</v>
      </c>
      <c r="K422" s="272">
        <f>Mg²!G425</f>
        <v>0</v>
      </c>
      <c r="L422" s="279">
        <f>Al³!C424</f>
        <v>0</v>
      </c>
      <c r="M422" s="279">
        <f>'H + Al'!D424</f>
        <v>0</v>
      </c>
      <c r="N422" s="272">
        <f t="shared" si="33"/>
        <v>0</v>
      </c>
      <c r="O422" s="272">
        <f t="shared" si="34"/>
        <v>0</v>
      </c>
      <c r="P422" s="272">
        <f t="shared" si="35"/>
        <v>0</v>
      </c>
      <c r="Q422" s="293" t="e">
        <f t="shared" si="36"/>
        <v>#DIV/0!</v>
      </c>
      <c r="R422" s="293" t="e">
        <f t="shared" si="37"/>
        <v>#DIV/0!</v>
      </c>
      <c r="S422">
        <f>Prem!H424</f>
        <v>0</v>
      </c>
      <c r="T422" s="281">
        <f>S!H428</f>
        <v>0</v>
      </c>
      <c r="U422" s="274">
        <f>B!H423</f>
        <v>0</v>
      </c>
      <c r="V422" s="272">
        <f>Zn!G424</f>
        <v>0</v>
      </c>
      <c r="W422" s="272">
        <f>Cu!G424</f>
        <v>0</v>
      </c>
      <c r="X422" s="272">
        <f>Mn!G424</f>
        <v>0</v>
      </c>
      <c r="Y422" s="272">
        <f>Fe!G424</f>
        <v>0</v>
      </c>
      <c r="Z422" s="274">
        <f>M.O!H424</f>
        <v>0</v>
      </c>
      <c r="AA422" s="272" t="e">
        <f t="shared" si="38"/>
        <v>#DIV/0!</v>
      </c>
      <c r="AB422" s="272" t="e">
        <f t="shared" si="39"/>
        <v>#DIV/0!</v>
      </c>
      <c r="AC422" s="272" t="e">
        <f t="shared" si="40"/>
        <v>#DIV/0!</v>
      </c>
    </row>
    <row r="423" spans="1:29" x14ac:dyDescent="0.2">
      <c r="A423" s="106">
        <f>Cadastro!A427</f>
        <v>0</v>
      </c>
      <c r="B423" s="27">
        <f>Cadastro!E425</f>
        <v>0</v>
      </c>
      <c r="C423">
        <f>pH_água!C423</f>
        <v>0</v>
      </c>
      <c r="D423">
        <f>pH_KCl!B424</f>
        <v>0</v>
      </c>
      <c r="E423">
        <f>'pH CaCl2'!C423</f>
        <v>0</v>
      </c>
      <c r="F423" s="104">
        <f>P_Mehlich1!H408</f>
        <v>0</v>
      </c>
      <c r="G423" s="123">
        <f>P_resina!H428</f>
        <v>0</v>
      </c>
      <c r="H423" s="272">
        <f>K!G393</f>
        <v>0</v>
      </c>
      <c r="I423" s="125">
        <v>0</v>
      </c>
      <c r="J423" s="272">
        <f>'Ca2+'!G424</f>
        <v>0</v>
      </c>
      <c r="K423" s="272">
        <f>Mg²!G426</f>
        <v>0</v>
      </c>
      <c r="L423" s="279">
        <f>Al³!C425</f>
        <v>0</v>
      </c>
      <c r="M423" s="279">
        <f>'H + Al'!D425</f>
        <v>0</v>
      </c>
      <c r="N423" s="272">
        <f t="shared" si="33"/>
        <v>0</v>
      </c>
      <c r="O423" s="272">
        <f t="shared" si="34"/>
        <v>0</v>
      </c>
      <c r="P423" s="272">
        <f t="shared" si="35"/>
        <v>0</v>
      </c>
      <c r="Q423" s="293" t="e">
        <f t="shared" si="36"/>
        <v>#DIV/0!</v>
      </c>
      <c r="R423" s="293" t="e">
        <f t="shared" si="37"/>
        <v>#DIV/0!</v>
      </c>
      <c r="S423">
        <f>Prem!H425</f>
        <v>0</v>
      </c>
      <c r="T423" s="281">
        <f>S!H429</f>
        <v>0</v>
      </c>
      <c r="U423" s="274">
        <f>B!H424</f>
        <v>0</v>
      </c>
      <c r="V423" s="272">
        <f>Zn!G425</f>
        <v>0</v>
      </c>
      <c r="W423" s="272">
        <f>Cu!G425</f>
        <v>0</v>
      </c>
      <c r="X423" s="272">
        <f>Mn!G425</f>
        <v>0</v>
      </c>
      <c r="Y423" s="272">
        <f>Fe!G425</f>
        <v>0</v>
      </c>
      <c r="Z423" s="274">
        <f>M.O!H425</f>
        <v>0</v>
      </c>
      <c r="AA423" s="272" t="e">
        <f t="shared" si="38"/>
        <v>#DIV/0!</v>
      </c>
      <c r="AB423" s="272" t="e">
        <f t="shared" si="39"/>
        <v>#DIV/0!</v>
      </c>
      <c r="AC423" s="272" t="e">
        <f t="shared" si="40"/>
        <v>#DIV/0!</v>
      </c>
    </row>
    <row r="424" spans="1:29" x14ac:dyDescent="0.2">
      <c r="A424" s="106">
        <f>Cadastro!A428</f>
        <v>0</v>
      </c>
      <c r="B424" s="27">
        <f>Cadastro!E426</f>
        <v>0</v>
      </c>
      <c r="C424">
        <f>pH_água!C424</f>
        <v>0</v>
      </c>
      <c r="D424">
        <f>pH_KCl!B425</f>
        <v>0</v>
      </c>
      <c r="E424">
        <f>'pH CaCl2'!C424</f>
        <v>0</v>
      </c>
      <c r="F424" s="104">
        <f>P_Mehlich1!H409</f>
        <v>0</v>
      </c>
      <c r="G424" s="123">
        <f>P_resina!H429</f>
        <v>0</v>
      </c>
      <c r="H424" s="272">
        <f>K!G394</f>
        <v>0</v>
      </c>
      <c r="I424" s="125">
        <v>0</v>
      </c>
      <c r="J424" s="272">
        <f>'Ca2+'!G425</f>
        <v>0</v>
      </c>
      <c r="K424" s="272">
        <f>Mg²!G427</f>
        <v>0</v>
      </c>
      <c r="L424" s="279">
        <f>Al³!C426</f>
        <v>0</v>
      </c>
      <c r="M424" s="279">
        <f>'H + Al'!D426</f>
        <v>0</v>
      </c>
      <c r="N424" s="272">
        <f t="shared" si="33"/>
        <v>0</v>
      </c>
      <c r="O424" s="272">
        <f t="shared" si="34"/>
        <v>0</v>
      </c>
      <c r="P424" s="272">
        <f t="shared" si="35"/>
        <v>0</v>
      </c>
      <c r="Q424" s="293" t="e">
        <f t="shared" si="36"/>
        <v>#DIV/0!</v>
      </c>
      <c r="R424" s="293" t="e">
        <f t="shared" si="37"/>
        <v>#DIV/0!</v>
      </c>
      <c r="S424">
        <f>Prem!H426</f>
        <v>0</v>
      </c>
      <c r="T424" s="281">
        <f>S!H430</f>
        <v>0</v>
      </c>
      <c r="U424" s="274">
        <f>B!H425</f>
        <v>0</v>
      </c>
      <c r="V424" s="272">
        <f>Zn!G426</f>
        <v>0</v>
      </c>
      <c r="W424" s="272">
        <f>Cu!G426</f>
        <v>0</v>
      </c>
      <c r="X424" s="272">
        <f>Mn!G426</f>
        <v>0</v>
      </c>
      <c r="Y424" s="272">
        <f>Fe!G426</f>
        <v>0</v>
      </c>
      <c r="Z424" s="274">
        <f>M.O!H426</f>
        <v>0</v>
      </c>
      <c r="AA424" s="272" t="e">
        <f t="shared" si="38"/>
        <v>#DIV/0!</v>
      </c>
      <c r="AB424" s="272" t="e">
        <f t="shared" si="39"/>
        <v>#DIV/0!</v>
      </c>
      <c r="AC424" s="272" t="e">
        <f t="shared" si="40"/>
        <v>#DIV/0!</v>
      </c>
    </row>
    <row r="425" spans="1:29" x14ac:dyDescent="0.2">
      <c r="A425" s="106">
        <f>Cadastro!A429</f>
        <v>0</v>
      </c>
      <c r="B425" s="27">
        <f>Cadastro!E427</f>
        <v>0</v>
      </c>
      <c r="C425">
        <f>pH_água!C425</f>
        <v>0</v>
      </c>
      <c r="D425">
        <f>pH_KCl!B426</f>
        <v>0</v>
      </c>
      <c r="E425">
        <f>'pH CaCl2'!C425</f>
        <v>0</v>
      </c>
      <c r="F425" s="104">
        <f>P_Mehlich1!H410</f>
        <v>0</v>
      </c>
      <c r="G425" s="123">
        <f>P_resina!H430</f>
        <v>0</v>
      </c>
      <c r="H425" s="272">
        <f>K!G395</f>
        <v>0</v>
      </c>
      <c r="I425" s="125">
        <v>0</v>
      </c>
      <c r="J425" s="272">
        <f>'Ca2+'!G426</f>
        <v>0</v>
      </c>
      <c r="K425" s="272">
        <f>Mg²!G428</f>
        <v>0</v>
      </c>
      <c r="L425" s="279">
        <f>Al³!C427</f>
        <v>0</v>
      </c>
      <c r="M425" s="279">
        <f>'H + Al'!D427</f>
        <v>0</v>
      </c>
      <c r="N425" s="272">
        <f t="shared" si="33"/>
        <v>0</v>
      </c>
      <c r="O425" s="272">
        <f t="shared" si="34"/>
        <v>0</v>
      </c>
      <c r="P425" s="272">
        <f t="shared" si="35"/>
        <v>0</v>
      </c>
      <c r="Q425" s="293" t="e">
        <f t="shared" si="36"/>
        <v>#DIV/0!</v>
      </c>
      <c r="R425" s="293" t="e">
        <f t="shared" si="37"/>
        <v>#DIV/0!</v>
      </c>
      <c r="S425">
        <f>Prem!H427</f>
        <v>0</v>
      </c>
      <c r="T425" s="281">
        <f>S!H431</f>
        <v>0</v>
      </c>
      <c r="U425" s="274">
        <f>B!H426</f>
        <v>0</v>
      </c>
      <c r="V425" s="272">
        <f>Zn!G427</f>
        <v>0</v>
      </c>
      <c r="W425" s="272">
        <f>Cu!G427</f>
        <v>0</v>
      </c>
      <c r="X425" s="272">
        <f>Mn!G427</f>
        <v>0</v>
      </c>
      <c r="Y425" s="272">
        <f>Fe!G427</f>
        <v>0</v>
      </c>
      <c r="Z425" s="274">
        <f>M.O!H427</f>
        <v>0</v>
      </c>
      <c r="AA425" s="272" t="e">
        <f t="shared" si="38"/>
        <v>#DIV/0!</v>
      </c>
      <c r="AB425" s="272" t="e">
        <f t="shared" si="39"/>
        <v>#DIV/0!</v>
      </c>
      <c r="AC425" s="272" t="e">
        <f t="shared" si="40"/>
        <v>#DIV/0!</v>
      </c>
    </row>
    <row r="426" spans="1:29" x14ac:dyDescent="0.2">
      <c r="A426" s="106">
        <f>Cadastro!A430</f>
        <v>0</v>
      </c>
      <c r="B426" s="27">
        <f>Cadastro!E428</f>
        <v>0</v>
      </c>
      <c r="C426">
        <f>pH_água!C426</f>
        <v>0</v>
      </c>
      <c r="D426">
        <f>pH_KCl!B427</f>
        <v>0</v>
      </c>
      <c r="E426">
        <f>'pH CaCl2'!C426</f>
        <v>0</v>
      </c>
      <c r="F426" s="104">
        <f>P_Mehlich1!H411</f>
        <v>0</v>
      </c>
      <c r="G426" s="123">
        <f>P_resina!H431</f>
        <v>0</v>
      </c>
      <c r="H426" s="272">
        <f>K!G396</f>
        <v>0</v>
      </c>
      <c r="I426" s="125">
        <v>0</v>
      </c>
      <c r="J426" s="272">
        <f>'Ca2+'!G427</f>
        <v>0</v>
      </c>
      <c r="K426" s="272">
        <f>Mg²!G429</f>
        <v>0</v>
      </c>
      <c r="L426" s="279">
        <f>Al³!C428</f>
        <v>0</v>
      </c>
      <c r="M426" s="279">
        <f>'H + Al'!D428</f>
        <v>0</v>
      </c>
      <c r="N426" s="272">
        <f t="shared" si="33"/>
        <v>0</v>
      </c>
      <c r="O426" s="272">
        <f t="shared" si="34"/>
        <v>0</v>
      </c>
      <c r="P426" s="272">
        <f t="shared" si="35"/>
        <v>0</v>
      </c>
      <c r="Q426" s="293" t="e">
        <f t="shared" si="36"/>
        <v>#DIV/0!</v>
      </c>
      <c r="R426" s="293" t="e">
        <f t="shared" si="37"/>
        <v>#DIV/0!</v>
      </c>
      <c r="S426">
        <f>Prem!H428</f>
        <v>0</v>
      </c>
      <c r="T426" s="281">
        <f>S!H432</f>
        <v>0</v>
      </c>
      <c r="U426" s="274">
        <f>B!H427</f>
        <v>0</v>
      </c>
      <c r="V426" s="272">
        <f>Zn!G428</f>
        <v>0</v>
      </c>
      <c r="W426" s="272">
        <f>Cu!G428</f>
        <v>0</v>
      </c>
      <c r="X426" s="272">
        <f>Mn!G428</f>
        <v>0</v>
      </c>
      <c r="Y426" s="272">
        <f>Fe!G428</f>
        <v>0</v>
      </c>
      <c r="Z426" s="274">
        <f>M.O!H428</f>
        <v>0</v>
      </c>
      <c r="AA426" s="272" t="e">
        <f t="shared" si="38"/>
        <v>#DIV/0!</v>
      </c>
      <c r="AB426" s="272" t="e">
        <f t="shared" si="39"/>
        <v>#DIV/0!</v>
      </c>
      <c r="AC426" s="272" t="e">
        <f t="shared" si="40"/>
        <v>#DIV/0!</v>
      </c>
    </row>
    <row r="427" spans="1:29" x14ac:dyDescent="0.2">
      <c r="A427" s="106">
        <f>Cadastro!A431</f>
        <v>0</v>
      </c>
      <c r="B427" s="27">
        <f>Cadastro!E429</f>
        <v>0</v>
      </c>
      <c r="C427">
        <f>pH_água!C427</f>
        <v>0</v>
      </c>
      <c r="D427">
        <f>pH_KCl!B428</f>
        <v>0</v>
      </c>
      <c r="E427">
        <f>'pH CaCl2'!C427</f>
        <v>0</v>
      </c>
      <c r="F427" s="104">
        <f>P_Mehlich1!H412</f>
        <v>0</v>
      </c>
      <c r="G427" s="123">
        <f>P_resina!H432</f>
        <v>0</v>
      </c>
      <c r="H427" s="272">
        <f>K!G397</f>
        <v>0</v>
      </c>
      <c r="I427" s="125">
        <v>0</v>
      </c>
      <c r="J427" s="272">
        <f>'Ca2+'!G428</f>
        <v>0</v>
      </c>
      <c r="K427" s="272">
        <f>Mg²!G430</f>
        <v>0</v>
      </c>
      <c r="L427" s="279">
        <f>Al³!C429</f>
        <v>0</v>
      </c>
      <c r="M427" s="279">
        <f>'H + Al'!D429</f>
        <v>0</v>
      </c>
      <c r="N427" s="272">
        <f t="shared" si="33"/>
        <v>0</v>
      </c>
      <c r="O427" s="272">
        <f t="shared" si="34"/>
        <v>0</v>
      </c>
      <c r="P427" s="272">
        <f t="shared" si="35"/>
        <v>0</v>
      </c>
      <c r="Q427" s="293" t="e">
        <f t="shared" si="36"/>
        <v>#DIV/0!</v>
      </c>
      <c r="R427" s="293" t="e">
        <f t="shared" si="37"/>
        <v>#DIV/0!</v>
      </c>
      <c r="S427">
        <f>Prem!H429</f>
        <v>0</v>
      </c>
      <c r="T427" s="281">
        <f>S!H433</f>
        <v>0</v>
      </c>
      <c r="U427" s="274">
        <f>B!H428</f>
        <v>0</v>
      </c>
      <c r="V427" s="272">
        <f>Zn!G429</f>
        <v>0</v>
      </c>
      <c r="W427" s="272">
        <f>Cu!G429</f>
        <v>0</v>
      </c>
      <c r="X427" s="272">
        <f>Mn!G429</f>
        <v>0</v>
      </c>
      <c r="Y427" s="272">
        <f>Fe!G429</f>
        <v>0</v>
      </c>
      <c r="Z427" s="274">
        <f>M.O!H429</f>
        <v>0</v>
      </c>
      <c r="AA427" s="272" t="e">
        <f t="shared" si="38"/>
        <v>#DIV/0!</v>
      </c>
      <c r="AB427" s="272" t="e">
        <f t="shared" si="39"/>
        <v>#DIV/0!</v>
      </c>
      <c r="AC427" s="272" t="e">
        <f t="shared" si="40"/>
        <v>#DIV/0!</v>
      </c>
    </row>
    <row r="428" spans="1:29" x14ac:dyDescent="0.2">
      <c r="A428" s="106">
        <f>Cadastro!A432</f>
        <v>0</v>
      </c>
      <c r="B428" s="27">
        <f>Cadastro!E430</f>
        <v>0</v>
      </c>
      <c r="C428">
        <f>pH_água!C428</f>
        <v>0</v>
      </c>
      <c r="D428">
        <f>pH_KCl!B429</f>
        <v>0</v>
      </c>
      <c r="E428">
        <f>'pH CaCl2'!C428</f>
        <v>0</v>
      </c>
      <c r="F428" s="104">
        <f>P_Mehlich1!H413</f>
        <v>0</v>
      </c>
      <c r="G428" s="123">
        <f>P_resina!H433</f>
        <v>0</v>
      </c>
      <c r="H428" s="272">
        <f>K!G398</f>
        <v>0</v>
      </c>
      <c r="I428" s="125">
        <v>0</v>
      </c>
      <c r="J428" s="272">
        <f>'Ca2+'!G429</f>
        <v>0</v>
      </c>
      <c r="K428" s="272">
        <f>Mg²!G431</f>
        <v>0</v>
      </c>
      <c r="L428" s="279">
        <f>Al³!C430</f>
        <v>0</v>
      </c>
      <c r="M428" s="279">
        <f>'H + Al'!D430</f>
        <v>0</v>
      </c>
      <c r="N428" s="272">
        <f t="shared" si="33"/>
        <v>0</v>
      </c>
      <c r="O428" s="272">
        <f t="shared" si="34"/>
        <v>0</v>
      </c>
      <c r="P428" s="272">
        <f t="shared" si="35"/>
        <v>0</v>
      </c>
      <c r="Q428" s="293" t="e">
        <f t="shared" si="36"/>
        <v>#DIV/0!</v>
      </c>
      <c r="R428" s="293" t="e">
        <f t="shared" si="37"/>
        <v>#DIV/0!</v>
      </c>
      <c r="S428">
        <f>Prem!H430</f>
        <v>0</v>
      </c>
      <c r="T428" s="281">
        <f>S!H434</f>
        <v>0</v>
      </c>
      <c r="U428" s="274">
        <f>B!H429</f>
        <v>0</v>
      </c>
      <c r="V428" s="272">
        <f>Zn!G430</f>
        <v>0</v>
      </c>
      <c r="W428" s="272">
        <f>Cu!G430</f>
        <v>0</v>
      </c>
      <c r="X428" s="272">
        <f>Mn!G430</f>
        <v>0</v>
      </c>
      <c r="Y428" s="272">
        <f>Fe!G430</f>
        <v>0</v>
      </c>
      <c r="Z428" s="274">
        <f>M.O!H430</f>
        <v>0</v>
      </c>
      <c r="AA428" s="272" t="e">
        <f t="shared" si="38"/>
        <v>#DIV/0!</v>
      </c>
      <c r="AB428" s="272" t="e">
        <f t="shared" si="39"/>
        <v>#DIV/0!</v>
      </c>
      <c r="AC428" s="272" t="e">
        <f t="shared" si="40"/>
        <v>#DIV/0!</v>
      </c>
    </row>
    <row r="429" spans="1:29" x14ac:dyDescent="0.2">
      <c r="A429" s="106">
        <f>Cadastro!A433</f>
        <v>0</v>
      </c>
      <c r="B429" s="27">
        <f>Cadastro!E431</f>
        <v>0</v>
      </c>
      <c r="C429">
        <f>pH_água!C429</f>
        <v>0</v>
      </c>
      <c r="D429">
        <f>pH_KCl!B430</f>
        <v>0</v>
      </c>
      <c r="E429">
        <f>'pH CaCl2'!C429</f>
        <v>0</v>
      </c>
      <c r="F429" s="104">
        <f>P_Mehlich1!H414</f>
        <v>0</v>
      </c>
      <c r="G429" s="123">
        <f>P_resina!H434</f>
        <v>0</v>
      </c>
      <c r="H429" s="272">
        <f>K!G399</f>
        <v>0</v>
      </c>
      <c r="I429" s="125">
        <v>0</v>
      </c>
      <c r="J429" s="272">
        <f>'Ca2+'!G430</f>
        <v>0</v>
      </c>
      <c r="K429" s="272">
        <f>Mg²!G432</f>
        <v>0</v>
      </c>
      <c r="L429" s="279">
        <f>Al³!C431</f>
        <v>0</v>
      </c>
      <c r="M429" s="279">
        <f>'H + Al'!D431</f>
        <v>0</v>
      </c>
      <c r="N429" s="272">
        <f t="shared" si="33"/>
        <v>0</v>
      </c>
      <c r="O429" s="272">
        <f t="shared" si="34"/>
        <v>0</v>
      </c>
      <c r="P429" s="272">
        <f t="shared" si="35"/>
        <v>0</v>
      </c>
      <c r="Q429" s="293" t="e">
        <f t="shared" si="36"/>
        <v>#DIV/0!</v>
      </c>
      <c r="R429" s="293" t="e">
        <f t="shared" si="37"/>
        <v>#DIV/0!</v>
      </c>
      <c r="S429">
        <f>Prem!H431</f>
        <v>0</v>
      </c>
      <c r="T429" s="281">
        <f>S!H435</f>
        <v>0</v>
      </c>
      <c r="U429" s="274">
        <f>B!H430</f>
        <v>0</v>
      </c>
      <c r="V429" s="272">
        <f>Zn!G431</f>
        <v>0</v>
      </c>
      <c r="W429" s="272">
        <f>Cu!G431</f>
        <v>0</v>
      </c>
      <c r="X429" s="272">
        <f>Mn!G431</f>
        <v>0</v>
      </c>
      <c r="Y429" s="272">
        <f>Fe!G431</f>
        <v>0</v>
      </c>
      <c r="Z429" s="274">
        <f>M.O!H431</f>
        <v>0</v>
      </c>
      <c r="AA429" s="272" t="e">
        <f t="shared" si="38"/>
        <v>#DIV/0!</v>
      </c>
      <c r="AB429" s="272" t="e">
        <f t="shared" si="39"/>
        <v>#DIV/0!</v>
      </c>
      <c r="AC429" s="272" t="e">
        <f t="shared" si="40"/>
        <v>#DIV/0!</v>
      </c>
    </row>
    <row r="430" spans="1:29" x14ac:dyDescent="0.2">
      <c r="A430" s="106">
        <f>Cadastro!A434</f>
        <v>0</v>
      </c>
      <c r="B430" s="27">
        <f>Cadastro!E432</f>
        <v>0</v>
      </c>
      <c r="C430">
        <f>pH_água!C430</f>
        <v>0</v>
      </c>
      <c r="D430">
        <f>pH_KCl!B431</f>
        <v>0</v>
      </c>
      <c r="E430">
        <f>'pH CaCl2'!C430</f>
        <v>0</v>
      </c>
      <c r="F430" s="104">
        <f>P_Mehlich1!H415</f>
        <v>0</v>
      </c>
      <c r="G430" s="123">
        <f>P_resina!H435</f>
        <v>0</v>
      </c>
      <c r="H430" s="272">
        <f>K!G400</f>
        <v>0</v>
      </c>
      <c r="I430" s="125">
        <v>0</v>
      </c>
      <c r="J430" s="272">
        <f>'Ca2+'!G431</f>
        <v>0</v>
      </c>
      <c r="K430" s="272">
        <f>Mg²!G433</f>
        <v>0</v>
      </c>
      <c r="L430" s="279">
        <f>Al³!C432</f>
        <v>0</v>
      </c>
      <c r="M430" s="279">
        <f>'H + Al'!D432</f>
        <v>0</v>
      </c>
      <c r="N430" s="272">
        <f t="shared" si="33"/>
        <v>0</v>
      </c>
      <c r="O430" s="272">
        <f t="shared" si="34"/>
        <v>0</v>
      </c>
      <c r="P430" s="272">
        <f t="shared" si="35"/>
        <v>0</v>
      </c>
      <c r="Q430" s="293" t="e">
        <f t="shared" si="36"/>
        <v>#DIV/0!</v>
      </c>
      <c r="R430" s="293" t="e">
        <f t="shared" si="37"/>
        <v>#DIV/0!</v>
      </c>
      <c r="S430">
        <f>Prem!H432</f>
        <v>0</v>
      </c>
      <c r="T430" s="281">
        <f>S!H436</f>
        <v>0</v>
      </c>
      <c r="U430" s="274">
        <f>B!H431</f>
        <v>0</v>
      </c>
      <c r="V430" s="272">
        <f>Zn!G432</f>
        <v>0</v>
      </c>
      <c r="W430" s="272">
        <f>Cu!G432</f>
        <v>0</v>
      </c>
      <c r="X430" s="272">
        <f>Mn!G432</f>
        <v>0</v>
      </c>
      <c r="Y430" s="272">
        <f>Fe!G432</f>
        <v>0</v>
      </c>
      <c r="Z430" s="274">
        <f>M.O!H432</f>
        <v>0</v>
      </c>
      <c r="AA430" s="272" t="e">
        <f t="shared" si="38"/>
        <v>#DIV/0!</v>
      </c>
      <c r="AB430" s="272" t="e">
        <f t="shared" si="39"/>
        <v>#DIV/0!</v>
      </c>
      <c r="AC430" s="272" t="e">
        <f t="shared" si="40"/>
        <v>#DIV/0!</v>
      </c>
    </row>
    <row r="431" spans="1:29" x14ac:dyDescent="0.2">
      <c r="A431" s="106">
        <f>Cadastro!A435</f>
        <v>0</v>
      </c>
      <c r="B431" s="27">
        <f>Cadastro!E433</f>
        <v>0</v>
      </c>
      <c r="C431">
        <f>pH_água!C431</f>
        <v>0</v>
      </c>
      <c r="D431">
        <f>pH_KCl!B432</f>
        <v>0</v>
      </c>
      <c r="E431">
        <f>'pH CaCl2'!C431</f>
        <v>0</v>
      </c>
      <c r="F431" s="104">
        <f>P_Mehlich1!H416</f>
        <v>0</v>
      </c>
      <c r="G431" s="123">
        <f>P_resina!H436</f>
        <v>0</v>
      </c>
      <c r="H431" s="272">
        <f>K!G401</f>
        <v>0</v>
      </c>
      <c r="I431" s="125">
        <v>0</v>
      </c>
      <c r="J431" s="272">
        <f>'Ca2+'!G432</f>
        <v>0</v>
      </c>
      <c r="K431" s="272">
        <f>Mg²!G434</f>
        <v>0</v>
      </c>
      <c r="L431" s="279">
        <f>Al³!C433</f>
        <v>0</v>
      </c>
      <c r="M431" s="279">
        <f>'H + Al'!D433</f>
        <v>0</v>
      </c>
      <c r="N431" s="272">
        <f t="shared" si="33"/>
        <v>0</v>
      </c>
      <c r="O431" s="272">
        <f t="shared" si="34"/>
        <v>0</v>
      </c>
      <c r="P431" s="272">
        <f t="shared" si="35"/>
        <v>0</v>
      </c>
      <c r="Q431" s="293" t="e">
        <f t="shared" si="36"/>
        <v>#DIV/0!</v>
      </c>
      <c r="R431" s="293" t="e">
        <f t="shared" si="37"/>
        <v>#DIV/0!</v>
      </c>
      <c r="S431">
        <f>Prem!H433</f>
        <v>0</v>
      </c>
      <c r="T431" s="281">
        <f>S!H437</f>
        <v>0</v>
      </c>
      <c r="U431" s="274">
        <f>B!H432</f>
        <v>0</v>
      </c>
      <c r="V431" s="272">
        <f>Zn!G433</f>
        <v>0</v>
      </c>
      <c r="W431" s="272">
        <f>Cu!G433</f>
        <v>0</v>
      </c>
      <c r="X431" s="272">
        <f>Mn!G433</f>
        <v>0</v>
      </c>
      <c r="Y431" s="272">
        <f>Fe!G433</f>
        <v>0</v>
      </c>
      <c r="Z431" s="274">
        <f>M.O!H433</f>
        <v>0</v>
      </c>
      <c r="AA431" s="272" t="e">
        <f t="shared" si="38"/>
        <v>#DIV/0!</v>
      </c>
      <c r="AB431" s="272" t="e">
        <f t="shared" si="39"/>
        <v>#DIV/0!</v>
      </c>
      <c r="AC431" s="272" t="e">
        <f t="shared" si="40"/>
        <v>#DIV/0!</v>
      </c>
    </row>
    <row r="432" spans="1:29" x14ac:dyDescent="0.2">
      <c r="A432" s="106">
        <f>Cadastro!A436</f>
        <v>0</v>
      </c>
      <c r="B432" s="27">
        <f>Cadastro!E434</f>
        <v>0</v>
      </c>
      <c r="C432">
        <f>pH_água!C432</f>
        <v>0</v>
      </c>
      <c r="D432">
        <f>pH_KCl!B433</f>
        <v>0</v>
      </c>
      <c r="E432">
        <f>'pH CaCl2'!C432</f>
        <v>0</v>
      </c>
      <c r="F432" s="104">
        <f>P_Mehlich1!H417</f>
        <v>0</v>
      </c>
      <c r="G432" s="123">
        <f>P_resina!H437</f>
        <v>0</v>
      </c>
      <c r="H432" s="272">
        <f>K!G402</f>
        <v>0</v>
      </c>
      <c r="I432" s="125">
        <v>0</v>
      </c>
      <c r="J432" s="272">
        <f>'Ca2+'!G433</f>
        <v>0</v>
      </c>
      <c r="K432" s="272">
        <f>Mg²!G435</f>
        <v>0</v>
      </c>
      <c r="L432" s="279">
        <f>Al³!C434</f>
        <v>0</v>
      </c>
      <c r="M432" s="279">
        <f>'H + Al'!D434</f>
        <v>0</v>
      </c>
      <c r="N432" s="272">
        <f t="shared" si="33"/>
        <v>0</v>
      </c>
      <c r="O432" s="272">
        <f t="shared" si="34"/>
        <v>0</v>
      </c>
      <c r="P432" s="272">
        <f t="shared" si="35"/>
        <v>0</v>
      </c>
      <c r="Q432" s="293" t="e">
        <f t="shared" si="36"/>
        <v>#DIV/0!</v>
      </c>
      <c r="R432" s="293" t="e">
        <f t="shared" si="37"/>
        <v>#DIV/0!</v>
      </c>
      <c r="S432">
        <f>Prem!H434</f>
        <v>0</v>
      </c>
      <c r="T432" s="281">
        <f>S!H438</f>
        <v>0</v>
      </c>
      <c r="U432" s="274">
        <f>B!H433</f>
        <v>0</v>
      </c>
      <c r="V432" s="272">
        <f>Zn!G434</f>
        <v>0</v>
      </c>
      <c r="W432" s="272">
        <f>Cu!G434</f>
        <v>0</v>
      </c>
      <c r="X432" s="272">
        <f>Mn!G434</f>
        <v>0</v>
      </c>
      <c r="Y432" s="272">
        <f>Fe!G434</f>
        <v>0</v>
      </c>
      <c r="Z432" s="274">
        <f>M.O!H434</f>
        <v>0</v>
      </c>
      <c r="AA432" s="272" t="e">
        <f t="shared" si="38"/>
        <v>#DIV/0!</v>
      </c>
      <c r="AB432" s="272" t="e">
        <f t="shared" si="39"/>
        <v>#DIV/0!</v>
      </c>
      <c r="AC432" s="272" t="e">
        <f t="shared" si="40"/>
        <v>#DIV/0!</v>
      </c>
    </row>
    <row r="433" spans="1:29" x14ac:dyDescent="0.2">
      <c r="A433" s="106">
        <f>Cadastro!A437</f>
        <v>0</v>
      </c>
      <c r="B433" s="27">
        <f>Cadastro!E435</f>
        <v>0</v>
      </c>
      <c r="C433">
        <f>pH_água!C433</f>
        <v>0</v>
      </c>
      <c r="D433">
        <f>pH_KCl!B434</f>
        <v>0</v>
      </c>
      <c r="E433">
        <f>'pH CaCl2'!C433</f>
        <v>0</v>
      </c>
      <c r="F433" s="104">
        <f>P_Mehlich1!H418</f>
        <v>0</v>
      </c>
      <c r="G433" s="123">
        <f>P_resina!H438</f>
        <v>0</v>
      </c>
      <c r="H433" s="272">
        <f>K!G403</f>
        <v>0</v>
      </c>
      <c r="I433" s="125">
        <v>0</v>
      </c>
      <c r="J433" s="272">
        <f>'Ca2+'!G434</f>
        <v>0</v>
      </c>
      <c r="K433" s="272">
        <f>Mg²!G436</f>
        <v>0</v>
      </c>
      <c r="L433" s="279">
        <f>Al³!C435</f>
        <v>0</v>
      </c>
      <c r="M433" s="279">
        <f>'H + Al'!D435</f>
        <v>0</v>
      </c>
      <c r="N433" s="272">
        <f t="shared" si="33"/>
        <v>0</v>
      </c>
      <c r="O433" s="272">
        <f t="shared" si="34"/>
        <v>0</v>
      </c>
      <c r="P433" s="272">
        <f t="shared" si="35"/>
        <v>0</v>
      </c>
      <c r="Q433" s="293" t="e">
        <f t="shared" si="36"/>
        <v>#DIV/0!</v>
      </c>
      <c r="R433" s="293" t="e">
        <f t="shared" si="37"/>
        <v>#DIV/0!</v>
      </c>
      <c r="S433">
        <f>Prem!H435</f>
        <v>0</v>
      </c>
      <c r="T433" s="281">
        <f>S!H439</f>
        <v>0</v>
      </c>
      <c r="U433" s="274">
        <f>B!H434</f>
        <v>0</v>
      </c>
      <c r="V433" s="272">
        <f>Zn!G435</f>
        <v>0</v>
      </c>
      <c r="W433" s="272">
        <f>Cu!G435</f>
        <v>0</v>
      </c>
      <c r="X433" s="272">
        <f>Mn!G435</f>
        <v>0</v>
      </c>
      <c r="Y433" s="272">
        <f>Fe!G435</f>
        <v>0</v>
      </c>
      <c r="Z433" s="274">
        <f>M.O!H435</f>
        <v>0</v>
      </c>
      <c r="AA433" s="272" t="e">
        <f t="shared" si="38"/>
        <v>#DIV/0!</v>
      </c>
      <c r="AB433" s="272" t="e">
        <f t="shared" si="39"/>
        <v>#DIV/0!</v>
      </c>
      <c r="AC433" s="272" t="e">
        <f t="shared" si="40"/>
        <v>#DIV/0!</v>
      </c>
    </row>
    <row r="434" spans="1:29" x14ac:dyDescent="0.2">
      <c r="A434" s="106">
        <f>Cadastro!A438</f>
        <v>0</v>
      </c>
      <c r="B434" s="27">
        <f>Cadastro!E436</f>
        <v>0</v>
      </c>
      <c r="C434">
        <f>pH_água!C434</f>
        <v>0</v>
      </c>
      <c r="D434">
        <f>pH_KCl!B435</f>
        <v>0</v>
      </c>
      <c r="E434">
        <f>'pH CaCl2'!C434</f>
        <v>0</v>
      </c>
      <c r="F434" s="104">
        <f>P_Mehlich1!H419</f>
        <v>0</v>
      </c>
      <c r="G434" s="123">
        <f>P_resina!H439</f>
        <v>0</v>
      </c>
      <c r="H434" s="272">
        <f>K!G404</f>
        <v>0</v>
      </c>
      <c r="I434" s="125">
        <v>0</v>
      </c>
      <c r="J434" s="272">
        <f>'Ca2+'!G435</f>
        <v>0</v>
      </c>
      <c r="K434" s="272">
        <f>Mg²!G437</f>
        <v>0</v>
      </c>
      <c r="L434" s="279">
        <f>Al³!C436</f>
        <v>0</v>
      </c>
      <c r="M434" s="279">
        <f>'H + Al'!D436</f>
        <v>0</v>
      </c>
      <c r="N434" s="272">
        <f t="shared" si="33"/>
        <v>0</v>
      </c>
      <c r="O434" s="272">
        <f t="shared" si="34"/>
        <v>0</v>
      </c>
      <c r="P434" s="272">
        <f t="shared" si="35"/>
        <v>0</v>
      </c>
      <c r="Q434" s="293" t="e">
        <f t="shared" si="36"/>
        <v>#DIV/0!</v>
      </c>
      <c r="R434" s="293" t="e">
        <f t="shared" si="37"/>
        <v>#DIV/0!</v>
      </c>
      <c r="S434">
        <f>Prem!H436</f>
        <v>0</v>
      </c>
      <c r="T434" s="281">
        <f>S!H440</f>
        <v>0</v>
      </c>
      <c r="U434" s="274">
        <f>B!H435</f>
        <v>0</v>
      </c>
      <c r="V434" s="272">
        <f>Zn!G436</f>
        <v>0</v>
      </c>
      <c r="W434" s="272">
        <f>Cu!G436</f>
        <v>0</v>
      </c>
      <c r="X434" s="272">
        <f>Mn!G436</f>
        <v>0</v>
      </c>
      <c r="Y434" s="272">
        <f>Fe!G436</f>
        <v>0</v>
      </c>
      <c r="Z434" s="274">
        <f>M.O!H436</f>
        <v>0</v>
      </c>
      <c r="AA434" s="272" t="e">
        <f t="shared" si="38"/>
        <v>#DIV/0!</v>
      </c>
      <c r="AB434" s="272" t="e">
        <f t="shared" si="39"/>
        <v>#DIV/0!</v>
      </c>
      <c r="AC434" s="272" t="e">
        <f t="shared" si="40"/>
        <v>#DIV/0!</v>
      </c>
    </row>
    <row r="435" spans="1:29" x14ac:dyDescent="0.2">
      <c r="A435" s="106">
        <f>Cadastro!A439</f>
        <v>0</v>
      </c>
      <c r="B435" s="27">
        <f>Cadastro!E437</f>
        <v>0</v>
      </c>
      <c r="C435">
        <f>pH_água!C435</f>
        <v>0</v>
      </c>
      <c r="D435">
        <f>pH_KCl!B436</f>
        <v>0</v>
      </c>
      <c r="E435">
        <f>'pH CaCl2'!C435</f>
        <v>0</v>
      </c>
      <c r="F435" s="104">
        <f>P_Mehlich1!H420</f>
        <v>0</v>
      </c>
      <c r="G435" s="123">
        <f>P_resina!H440</f>
        <v>0</v>
      </c>
      <c r="H435" s="272">
        <f>K!G405</f>
        <v>0</v>
      </c>
      <c r="I435" s="125">
        <v>0</v>
      </c>
      <c r="J435" s="272">
        <f>'Ca2+'!G436</f>
        <v>0</v>
      </c>
      <c r="K435" s="272">
        <f>Mg²!G438</f>
        <v>0</v>
      </c>
      <c r="L435" s="279">
        <f>Al³!C437</f>
        <v>0</v>
      </c>
      <c r="M435" s="279">
        <f>'H + Al'!D437</f>
        <v>0</v>
      </c>
      <c r="N435" s="272">
        <f t="shared" si="33"/>
        <v>0</v>
      </c>
      <c r="O435" s="272">
        <f t="shared" si="34"/>
        <v>0</v>
      </c>
      <c r="P435" s="272">
        <f t="shared" si="35"/>
        <v>0</v>
      </c>
      <c r="Q435" s="293" t="e">
        <f t="shared" si="36"/>
        <v>#DIV/0!</v>
      </c>
      <c r="R435" s="293" t="e">
        <f t="shared" si="37"/>
        <v>#DIV/0!</v>
      </c>
      <c r="S435">
        <f>Prem!H437</f>
        <v>0</v>
      </c>
      <c r="T435" s="281">
        <f>S!H441</f>
        <v>0</v>
      </c>
      <c r="U435" s="274">
        <f>B!H436</f>
        <v>0</v>
      </c>
      <c r="V435" s="272">
        <f>Zn!G437</f>
        <v>0</v>
      </c>
      <c r="W435" s="272">
        <f>Cu!G437</f>
        <v>0</v>
      </c>
      <c r="X435" s="272">
        <f>Mn!G437</f>
        <v>0</v>
      </c>
      <c r="Y435" s="272">
        <f>Fe!G437</f>
        <v>0</v>
      </c>
      <c r="Z435" s="274">
        <f>M.O!H437</f>
        <v>0</v>
      </c>
      <c r="AA435" s="272" t="e">
        <f t="shared" si="38"/>
        <v>#DIV/0!</v>
      </c>
      <c r="AB435" s="272" t="e">
        <f t="shared" si="39"/>
        <v>#DIV/0!</v>
      </c>
      <c r="AC435" s="272" t="e">
        <f t="shared" si="40"/>
        <v>#DIV/0!</v>
      </c>
    </row>
    <row r="436" spans="1:29" x14ac:dyDescent="0.2">
      <c r="A436" s="106">
        <f>Cadastro!A440</f>
        <v>0</v>
      </c>
      <c r="B436" s="27">
        <f>Cadastro!E438</f>
        <v>0</v>
      </c>
      <c r="C436">
        <f>pH_água!C436</f>
        <v>0</v>
      </c>
      <c r="D436">
        <f>pH_KCl!B437</f>
        <v>0</v>
      </c>
      <c r="E436">
        <f>'pH CaCl2'!C436</f>
        <v>0</v>
      </c>
      <c r="F436" s="104">
        <f>P_Mehlich1!H421</f>
        <v>0</v>
      </c>
      <c r="G436" s="123">
        <f>P_resina!H441</f>
        <v>0</v>
      </c>
      <c r="H436" s="272">
        <f>K!G406</f>
        <v>0</v>
      </c>
      <c r="I436" s="125">
        <v>0</v>
      </c>
      <c r="J436" s="272">
        <f>'Ca2+'!G437</f>
        <v>0</v>
      </c>
      <c r="K436" s="272">
        <f>Mg²!G439</f>
        <v>0</v>
      </c>
      <c r="L436" s="279">
        <f>Al³!C438</f>
        <v>0</v>
      </c>
      <c r="M436" s="279">
        <f>'H + Al'!D438</f>
        <v>0</v>
      </c>
      <c r="N436" s="272">
        <f t="shared" ref="N436:N499" si="41">(H436/390)+(I436/230)+J436+K436</f>
        <v>0</v>
      </c>
      <c r="O436" s="272">
        <f t="shared" ref="O436:O499" si="42">N436+L436</f>
        <v>0</v>
      </c>
      <c r="P436" s="272">
        <f t="shared" ref="P436:P499" si="43">N436+M436</f>
        <v>0</v>
      </c>
      <c r="Q436" s="293" t="e">
        <f t="shared" ref="Q436:Q499" si="44">(N436/P436)*100</f>
        <v>#DIV/0!</v>
      </c>
      <c r="R436" s="293" t="e">
        <f t="shared" ref="R436:R499" si="45">(L436/O436)*100</f>
        <v>#DIV/0!</v>
      </c>
      <c r="S436">
        <f>Prem!H438</f>
        <v>0</v>
      </c>
      <c r="T436" s="281">
        <f>S!H442</f>
        <v>0</v>
      </c>
      <c r="U436" s="274">
        <f>B!H437</f>
        <v>0</v>
      </c>
      <c r="V436" s="272">
        <f>Zn!G438</f>
        <v>0</v>
      </c>
      <c r="W436" s="272">
        <f>Cu!G438</f>
        <v>0</v>
      </c>
      <c r="X436" s="272">
        <f>Mn!G438</f>
        <v>0</v>
      </c>
      <c r="Y436" s="272">
        <f>Fe!G438</f>
        <v>0</v>
      </c>
      <c r="Z436" s="274">
        <f>M.O!H438</f>
        <v>0</v>
      </c>
      <c r="AA436" s="272" t="e">
        <f t="shared" ref="AA436:AA499" si="46">J436/K436</f>
        <v>#DIV/0!</v>
      </c>
      <c r="AB436" s="272" t="e">
        <f t="shared" ref="AB436:AB499" si="47">J436/(H436/390)</f>
        <v>#DIV/0!</v>
      </c>
      <c r="AC436" s="272" t="e">
        <f t="shared" ref="AC436:AC499" si="48">K436/(H436/390)</f>
        <v>#DIV/0!</v>
      </c>
    </row>
    <row r="437" spans="1:29" x14ac:dyDescent="0.2">
      <c r="A437" s="106">
        <f>Cadastro!A441</f>
        <v>0</v>
      </c>
      <c r="B437" s="27">
        <f>Cadastro!E439</f>
        <v>0</v>
      </c>
      <c r="C437">
        <f>pH_água!C437</f>
        <v>0</v>
      </c>
      <c r="D437">
        <f>pH_KCl!B438</f>
        <v>0</v>
      </c>
      <c r="E437">
        <f>'pH CaCl2'!C437</f>
        <v>0</v>
      </c>
      <c r="F437" s="104">
        <f>P_Mehlich1!H422</f>
        <v>0</v>
      </c>
      <c r="G437" s="123">
        <f>P_resina!H442</f>
        <v>0</v>
      </c>
      <c r="H437" s="272">
        <f>K!G407</f>
        <v>0</v>
      </c>
      <c r="I437" s="125">
        <v>0</v>
      </c>
      <c r="J437" s="272">
        <f>'Ca2+'!G438</f>
        <v>0</v>
      </c>
      <c r="K437" s="272">
        <f>Mg²!G440</f>
        <v>0</v>
      </c>
      <c r="L437" s="279">
        <f>Al³!C439</f>
        <v>0</v>
      </c>
      <c r="M437" s="279">
        <f>'H + Al'!D439</f>
        <v>0</v>
      </c>
      <c r="N437" s="272">
        <f t="shared" si="41"/>
        <v>0</v>
      </c>
      <c r="O437" s="272">
        <f t="shared" si="42"/>
        <v>0</v>
      </c>
      <c r="P437" s="272">
        <f t="shared" si="43"/>
        <v>0</v>
      </c>
      <c r="Q437" s="293" t="e">
        <f t="shared" si="44"/>
        <v>#DIV/0!</v>
      </c>
      <c r="R437" s="293" t="e">
        <f t="shared" si="45"/>
        <v>#DIV/0!</v>
      </c>
      <c r="S437">
        <f>Prem!H439</f>
        <v>0</v>
      </c>
      <c r="T437" s="281">
        <f>S!H443</f>
        <v>0</v>
      </c>
      <c r="U437" s="274">
        <f>B!H438</f>
        <v>0</v>
      </c>
      <c r="V437" s="272">
        <f>Zn!G439</f>
        <v>0</v>
      </c>
      <c r="W437" s="272">
        <f>Cu!G439</f>
        <v>0</v>
      </c>
      <c r="X437" s="272">
        <f>Mn!G439</f>
        <v>0</v>
      </c>
      <c r="Y437" s="272">
        <f>Fe!G439</f>
        <v>0</v>
      </c>
      <c r="Z437" s="274">
        <f>M.O!H439</f>
        <v>0</v>
      </c>
      <c r="AA437" s="272" t="e">
        <f t="shared" si="46"/>
        <v>#DIV/0!</v>
      </c>
      <c r="AB437" s="272" t="e">
        <f t="shared" si="47"/>
        <v>#DIV/0!</v>
      </c>
      <c r="AC437" s="272" t="e">
        <f t="shared" si="48"/>
        <v>#DIV/0!</v>
      </c>
    </row>
    <row r="438" spans="1:29" x14ac:dyDescent="0.2">
      <c r="A438" s="106">
        <f>Cadastro!A442</f>
        <v>0</v>
      </c>
      <c r="B438" s="27">
        <f>Cadastro!E440</f>
        <v>0</v>
      </c>
      <c r="C438">
        <f>pH_água!C438</f>
        <v>0</v>
      </c>
      <c r="D438">
        <f>pH_KCl!B439</f>
        <v>0</v>
      </c>
      <c r="E438">
        <f>'pH CaCl2'!C438</f>
        <v>0</v>
      </c>
      <c r="F438" s="104">
        <f>P_Mehlich1!H423</f>
        <v>0</v>
      </c>
      <c r="G438" s="123">
        <f>P_resina!H443</f>
        <v>0</v>
      </c>
      <c r="H438" s="272">
        <f>K!G408</f>
        <v>0</v>
      </c>
      <c r="I438" s="125">
        <v>0</v>
      </c>
      <c r="J438" s="272">
        <f>'Ca2+'!G439</f>
        <v>0</v>
      </c>
      <c r="K438" s="272">
        <f>Mg²!G441</f>
        <v>0</v>
      </c>
      <c r="L438" s="279">
        <f>Al³!C440</f>
        <v>0</v>
      </c>
      <c r="M438" s="279">
        <f>'H + Al'!D440</f>
        <v>0</v>
      </c>
      <c r="N438" s="272">
        <f t="shared" si="41"/>
        <v>0</v>
      </c>
      <c r="O438" s="272">
        <f t="shared" si="42"/>
        <v>0</v>
      </c>
      <c r="P438" s="272">
        <f t="shared" si="43"/>
        <v>0</v>
      </c>
      <c r="Q438" s="293" t="e">
        <f t="shared" si="44"/>
        <v>#DIV/0!</v>
      </c>
      <c r="R438" s="293" t="e">
        <f t="shared" si="45"/>
        <v>#DIV/0!</v>
      </c>
      <c r="S438">
        <f>Prem!H440</f>
        <v>0</v>
      </c>
      <c r="T438" s="281">
        <f>S!H444</f>
        <v>0</v>
      </c>
      <c r="U438" s="274">
        <f>B!H439</f>
        <v>0</v>
      </c>
      <c r="V438" s="272">
        <f>Zn!G440</f>
        <v>0</v>
      </c>
      <c r="W438" s="272">
        <f>Cu!G440</f>
        <v>0</v>
      </c>
      <c r="X438" s="272">
        <f>Mn!G440</f>
        <v>0</v>
      </c>
      <c r="Y438" s="272">
        <f>Fe!G440</f>
        <v>0</v>
      </c>
      <c r="Z438" s="274">
        <f>M.O!H440</f>
        <v>0</v>
      </c>
      <c r="AA438" s="272" t="e">
        <f t="shared" si="46"/>
        <v>#DIV/0!</v>
      </c>
      <c r="AB438" s="272" t="e">
        <f t="shared" si="47"/>
        <v>#DIV/0!</v>
      </c>
      <c r="AC438" s="272" t="e">
        <f t="shared" si="48"/>
        <v>#DIV/0!</v>
      </c>
    </row>
    <row r="439" spans="1:29" x14ac:dyDescent="0.2">
      <c r="A439" s="106">
        <f>Cadastro!A443</f>
        <v>0</v>
      </c>
      <c r="B439" s="27">
        <f>Cadastro!E441</f>
        <v>0</v>
      </c>
      <c r="C439">
        <f>pH_água!C439</f>
        <v>0</v>
      </c>
      <c r="D439">
        <f>pH_KCl!B440</f>
        <v>0</v>
      </c>
      <c r="E439">
        <f>'pH CaCl2'!C439</f>
        <v>0</v>
      </c>
      <c r="F439" s="104">
        <f>P_Mehlich1!H424</f>
        <v>0</v>
      </c>
      <c r="G439" s="123">
        <f>P_resina!H444</f>
        <v>0</v>
      </c>
      <c r="H439" s="272">
        <f>K!G409</f>
        <v>0</v>
      </c>
      <c r="I439" s="125">
        <v>0</v>
      </c>
      <c r="J439" s="272">
        <f>'Ca2+'!G440</f>
        <v>0</v>
      </c>
      <c r="K439" s="272">
        <f>Mg²!G442</f>
        <v>0</v>
      </c>
      <c r="L439" s="279">
        <f>Al³!C441</f>
        <v>0</v>
      </c>
      <c r="M439" s="279">
        <f>'H + Al'!D441</f>
        <v>0</v>
      </c>
      <c r="N439" s="272">
        <f t="shared" si="41"/>
        <v>0</v>
      </c>
      <c r="O439" s="272">
        <f t="shared" si="42"/>
        <v>0</v>
      </c>
      <c r="P439" s="272">
        <f t="shared" si="43"/>
        <v>0</v>
      </c>
      <c r="Q439" s="293" t="e">
        <f t="shared" si="44"/>
        <v>#DIV/0!</v>
      </c>
      <c r="R439" s="293" t="e">
        <f t="shared" si="45"/>
        <v>#DIV/0!</v>
      </c>
      <c r="S439">
        <f>Prem!H441</f>
        <v>0</v>
      </c>
      <c r="T439" s="281">
        <f>S!H445</f>
        <v>0</v>
      </c>
      <c r="U439" s="274">
        <f>B!H440</f>
        <v>0</v>
      </c>
      <c r="V439" s="272">
        <f>Zn!G441</f>
        <v>0</v>
      </c>
      <c r="W439" s="272">
        <f>Cu!G441</f>
        <v>0</v>
      </c>
      <c r="X439" s="272">
        <f>Mn!G441</f>
        <v>0</v>
      </c>
      <c r="Y439" s="272">
        <f>Fe!G441</f>
        <v>0</v>
      </c>
      <c r="Z439" s="274">
        <f>M.O!H441</f>
        <v>0</v>
      </c>
      <c r="AA439" s="272" t="e">
        <f t="shared" si="46"/>
        <v>#DIV/0!</v>
      </c>
      <c r="AB439" s="272" t="e">
        <f t="shared" si="47"/>
        <v>#DIV/0!</v>
      </c>
      <c r="AC439" s="272" t="e">
        <f t="shared" si="48"/>
        <v>#DIV/0!</v>
      </c>
    </row>
    <row r="440" spans="1:29" x14ac:dyDescent="0.2">
      <c r="A440" s="106">
        <f>Cadastro!A444</f>
        <v>0</v>
      </c>
      <c r="B440" s="27">
        <f>Cadastro!E442</f>
        <v>0</v>
      </c>
      <c r="C440">
        <f>pH_água!C440</f>
        <v>0</v>
      </c>
      <c r="D440">
        <f>pH_KCl!B441</f>
        <v>0</v>
      </c>
      <c r="E440">
        <f>'pH CaCl2'!C440</f>
        <v>0</v>
      </c>
      <c r="F440" s="104">
        <f>P_Mehlich1!H425</f>
        <v>0</v>
      </c>
      <c r="G440" s="123">
        <f>P_resina!H445</f>
        <v>0</v>
      </c>
      <c r="H440" s="272">
        <f>K!G410</f>
        <v>0</v>
      </c>
      <c r="I440" s="125">
        <v>0</v>
      </c>
      <c r="J440" s="272">
        <f>'Ca2+'!G441</f>
        <v>0</v>
      </c>
      <c r="K440" s="272">
        <f>Mg²!G443</f>
        <v>0</v>
      </c>
      <c r="L440" s="279">
        <f>Al³!C442</f>
        <v>0</v>
      </c>
      <c r="M440" s="279">
        <f>'H + Al'!D442</f>
        <v>0</v>
      </c>
      <c r="N440" s="272">
        <f t="shared" si="41"/>
        <v>0</v>
      </c>
      <c r="O440" s="272">
        <f t="shared" si="42"/>
        <v>0</v>
      </c>
      <c r="P440" s="272">
        <f t="shared" si="43"/>
        <v>0</v>
      </c>
      <c r="Q440" s="293" t="e">
        <f t="shared" si="44"/>
        <v>#DIV/0!</v>
      </c>
      <c r="R440" s="293" t="e">
        <f t="shared" si="45"/>
        <v>#DIV/0!</v>
      </c>
      <c r="S440">
        <f>Prem!H442</f>
        <v>0</v>
      </c>
      <c r="T440" s="281">
        <f>S!H446</f>
        <v>0</v>
      </c>
      <c r="U440" s="274">
        <f>B!H441</f>
        <v>0</v>
      </c>
      <c r="V440" s="272">
        <f>Zn!G442</f>
        <v>0</v>
      </c>
      <c r="W440" s="272">
        <f>Cu!G442</f>
        <v>0</v>
      </c>
      <c r="X440" s="272">
        <f>Mn!G442</f>
        <v>0</v>
      </c>
      <c r="Y440" s="272">
        <f>Fe!G442</f>
        <v>0</v>
      </c>
      <c r="Z440" s="274">
        <f>M.O!H442</f>
        <v>0</v>
      </c>
      <c r="AA440" s="272" t="e">
        <f t="shared" si="46"/>
        <v>#DIV/0!</v>
      </c>
      <c r="AB440" s="272" t="e">
        <f t="shared" si="47"/>
        <v>#DIV/0!</v>
      </c>
      <c r="AC440" s="272" t="e">
        <f t="shared" si="48"/>
        <v>#DIV/0!</v>
      </c>
    </row>
    <row r="441" spans="1:29" x14ac:dyDescent="0.2">
      <c r="A441" s="106">
        <f>Cadastro!A445</f>
        <v>0</v>
      </c>
      <c r="B441" s="27">
        <f>Cadastro!E443</f>
        <v>0</v>
      </c>
      <c r="C441">
        <f>pH_água!C441</f>
        <v>0</v>
      </c>
      <c r="D441">
        <f>pH_KCl!B442</f>
        <v>0</v>
      </c>
      <c r="E441">
        <f>'pH CaCl2'!C441</f>
        <v>0</v>
      </c>
      <c r="F441" s="104">
        <f>P_Mehlich1!H426</f>
        <v>0</v>
      </c>
      <c r="G441" s="123">
        <f>P_resina!H446</f>
        <v>0</v>
      </c>
      <c r="H441" s="272">
        <f>K!G411</f>
        <v>0</v>
      </c>
      <c r="I441" s="125">
        <v>0</v>
      </c>
      <c r="J441" s="272">
        <f>'Ca2+'!G442</f>
        <v>0</v>
      </c>
      <c r="K441" s="272">
        <f>Mg²!G444</f>
        <v>0</v>
      </c>
      <c r="L441" s="279">
        <f>Al³!C443</f>
        <v>0</v>
      </c>
      <c r="M441" s="279">
        <f>'H + Al'!D443</f>
        <v>0</v>
      </c>
      <c r="N441" s="272">
        <f t="shared" si="41"/>
        <v>0</v>
      </c>
      <c r="O441" s="272">
        <f t="shared" si="42"/>
        <v>0</v>
      </c>
      <c r="P441" s="272">
        <f t="shared" si="43"/>
        <v>0</v>
      </c>
      <c r="Q441" s="293" t="e">
        <f t="shared" si="44"/>
        <v>#DIV/0!</v>
      </c>
      <c r="R441" s="293" t="e">
        <f t="shared" si="45"/>
        <v>#DIV/0!</v>
      </c>
      <c r="S441">
        <f>Prem!H443</f>
        <v>0</v>
      </c>
      <c r="T441" s="281">
        <f>S!H447</f>
        <v>0</v>
      </c>
      <c r="U441" s="274">
        <f>B!H442</f>
        <v>0</v>
      </c>
      <c r="V441" s="272">
        <f>Zn!G443</f>
        <v>0</v>
      </c>
      <c r="W441" s="272">
        <f>Cu!G443</f>
        <v>0</v>
      </c>
      <c r="X441" s="272">
        <f>Mn!G443</f>
        <v>0</v>
      </c>
      <c r="Y441" s="272">
        <f>Fe!G443</f>
        <v>0</v>
      </c>
      <c r="Z441" s="274">
        <f>M.O!H443</f>
        <v>0</v>
      </c>
      <c r="AA441" s="272" t="e">
        <f t="shared" si="46"/>
        <v>#DIV/0!</v>
      </c>
      <c r="AB441" s="272" t="e">
        <f t="shared" si="47"/>
        <v>#DIV/0!</v>
      </c>
      <c r="AC441" s="272" t="e">
        <f t="shared" si="48"/>
        <v>#DIV/0!</v>
      </c>
    </row>
    <row r="442" spans="1:29" x14ac:dyDescent="0.2">
      <c r="A442" s="106">
        <f>Cadastro!A446</f>
        <v>0</v>
      </c>
      <c r="B442" s="27">
        <f>Cadastro!E444</f>
        <v>0</v>
      </c>
      <c r="C442">
        <f>pH_água!C442</f>
        <v>0</v>
      </c>
      <c r="D442">
        <f>pH_KCl!B443</f>
        <v>0</v>
      </c>
      <c r="E442">
        <f>'pH CaCl2'!C442</f>
        <v>0</v>
      </c>
      <c r="F442" s="104">
        <f>P_Mehlich1!H427</f>
        <v>0</v>
      </c>
      <c r="G442" s="123">
        <f>P_resina!H447</f>
        <v>0</v>
      </c>
      <c r="H442" s="272">
        <f>K!G412</f>
        <v>0</v>
      </c>
      <c r="I442" s="125">
        <v>0</v>
      </c>
      <c r="J442" s="272">
        <f>'Ca2+'!G443</f>
        <v>0</v>
      </c>
      <c r="K442" s="272">
        <f>Mg²!G445</f>
        <v>0</v>
      </c>
      <c r="L442" s="279">
        <f>Al³!C444</f>
        <v>0</v>
      </c>
      <c r="M442" s="279">
        <f>'H + Al'!D444</f>
        <v>0</v>
      </c>
      <c r="N442" s="272">
        <f t="shared" si="41"/>
        <v>0</v>
      </c>
      <c r="O442" s="272">
        <f t="shared" si="42"/>
        <v>0</v>
      </c>
      <c r="P442" s="272">
        <f t="shared" si="43"/>
        <v>0</v>
      </c>
      <c r="Q442" s="293" t="e">
        <f t="shared" si="44"/>
        <v>#DIV/0!</v>
      </c>
      <c r="R442" s="293" t="e">
        <f t="shared" si="45"/>
        <v>#DIV/0!</v>
      </c>
      <c r="S442">
        <f>Prem!H444</f>
        <v>0</v>
      </c>
      <c r="T442" s="281">
        <f>S!H448</f>
        <v>0</v>
      </c>
      <c r="U442" s="274">
        <f>B!H443</f>
        <v>0</v>
      </c>
      <c r="V442" s="272">
        <f>Zn!G444</f>
        <v>0</v>
      </c>
      <c r="W442" s="272">
        <f>Cu!G444</f>
        <v>0</v>
      </c>
      <c r="X442" s="272">
        <f>Mn!G444</f>
        <v>0</v>
      </c>
      <c r="Y442" s="272">
        <f>Fe!G444</f>
        <v>0</v>
      </c>
      <c r="Z442" s="274">
        <f>M.O!H444</f>
        <v>0</v>
      </c>
      <c r="AA442" s="272" t="e">
        <f t="shared" si="46"/>
        <v>#DIV/0!</v>
      </c>
      <c r="AB442" s="272" t="e">
        <f t="shared" si="47"/>
        <v>#DIV/0!</v>
      </c>
      <c r="AC442" s="272" t="e">
        <f t="shared" si="48"/>
        <v>#DIV/0!</v>
      </c>
    </row>
    <row r="443" spans="1:29" x14ac:dyDescent="0.2">
      <c r="A443" s="106">
        <f>Cadastro!A447</f>
        <v>0</v>
      </c>
      <c r="B443" s="27">
        <f>Cadastro!E445</f>
        <v>0</v>
      </c>
      <c r="C443">
        <f>pH_água!C443</f>
        <v>0</v>
      </c>
      <c r="D443">
        <f>pH_KCl!B444</f>
        <v>0</v>
      </c>
      <c r="E443">
        <f>'pH CaCl2'!C443</f>
        <v>0</v>
      </c>
      <c r="F443" s="104">
        <f>P_Mehlich1!H428</f>
        <v>0</v>
      </c>
      <c r="G443" s="123">
        <f>P_resina!H448</f>
        <v>0</v>
      </c>
      <c r="H443" s="272">
        <f>K!G413</f>
        <v>0</v>
      </c>
      <c r="I443" s="125">
        <v>0</v>
      </c>
      <c r="J443" s="272">
        <f>'Ca2+'!G444</f>
        <v>0</v>
      </c>
      <c r="K443" s="272">
        <f>Mg²!G446</f>
        <v>0</v>
      </c>
      <c r="L443" s="279">
        <f>Al³!C445</f>
        <v>0</v>
      </c>
      <c r="M443" s="279">
        <f>'H + Al'!D445</f>
        <v>0</v>
      </c>
      <c r="N443" s="272">
        <f t="shared" si="41"/>
        <v>0</v>
      </c>
      <c r="O443" s="272">
        <f t="shared" si="42"/>
        <v>0</v>
      </c>
      <c r="P443" s="272">
        <f t="shared" si="43"/>
        <v>0</v>
      </c>
      <c r="Q443" s="293" t="e">
        <f t="shared" si="44"/>
        <v>#DIV/0!</v>
      </c>
      <c r="R443" s="293" t="e">
        <f t="shared" si="45"/>
        <v>#DIV/0!</v>
      </c>
      <c r="S443">
        <f>Prem!H445</f>
        <v>0</v>
      </c>
      <c r="T443" s="281">
        <f>S!H449</f>
        <v>0</v>
      </c>
      <c r="U443" s="274">
        <f>B!H444</f>
        <v>0</v>
      </c>
      <c r="V443" s="272">
        <f>Zn!G445</f>
        <v>0</v>
      </c>
      <c r="W443" s="272">
        <f>Cu!G445</f>
        <v>0</v>
      </c>
      <c r="X443" s="272">
        <f>Mn!G445</f>
        <v>0</v>
      </c>
      <c r="Y443" s="272">
        <f>Fe!G445</f>
        <v>0</v>
      </c>
      <c r="Z443" s="274">
        <f>M.O!H445</f>
        <v>0</v>
      </c>
      <c r="AA443" s="272" t="e">
        <f t="shared" si="46"/>
        <v>#DIV/0!</v>
      </c>
      <c r="AB443" s="272" t="e">
        <f t="shared" si="47"/>
        <v>#DIV/0!</v>
      </c>
      <c r="AC443" s="272" t="e">
        <f t="shared" si="48"/>
        <v>#DIV/0!</v>
      </c>
    </row>
    <row r="444" spans="1:29" x14ac:dyDescent="0.2">
      <c r="A444" s="106">
        <f>Cadastro!A448</f>
        <v>0</v>
      </c>
      <c r="B444" s="27">
        <f>Cadastro!E446</f>
        <v>0</v>
      </c>
      <c r="C444">
        <f>pH_água!C444</f>
        <v>0</v>
      </c>
      <c r="D444">
        <f>pH_KCl!B445</f>
        <v>0</v>
      </c>
      <c r="E444">
        <f>'pH CaCl2'!C444</f>
        <v>0</v>
      </c>
      <c r="F444" s="104">
        <f>P_Mehlich1!H429</f>
        <v>0</v>
      </c>
      <c r="G444" s="123">
        <f>P_resina!H449</f>
        <v>0</v>
      </c>
      <c r="H444" s="272">
        <f>K!G414</f>
        <v>0</v>
      </c>
      <c r="I444" s="125">
        <v>0</v>
      </c>
      <c r="J444" s="272">
        <f>'Ca2+'!G445</f>
        <v>0</v>
      </c>
      <c r="K444" s="272">
        <f>Mg²!G447</f>
        <v>0</v>
      </c>
      <c r="L444" s="279">
        <f>Al³!C446</f>
        <v>0</v>
      </c>
      <c r="M444" s="279">
        <f>'H + Al'!D446</f>
        <v>0</v>
      </c>
      <c r="N444" s="272">
        <f t="shared" si="41"/>
        <v>0</v>
      </c>
      <c r="O444" s="272">
        <f t="shared" si="42"/>
        <v>0</v>
      </c>
      <c r="P444" s="272">
        <f t="shared" si="43"/>
        <v>0</v>
      </c>
      <c r="Q444" s="293" t="e">
        <f t="shared" si="44"/>
        <v>#DIV/0!</v>
      </c>
      <c r="R444" s="293" t="e">
        <f t="shared" si="45"/>
        <v>#DIV/0!</v>
      </c>
      <c r="S444">
        <f>Prem!H446</f>
        <v>0</v>
      </c>
      <c r="T444" s="281">
        <f>S!H450</f>
        <v>0</v>
      </c>
      <c r="U444" s="274">
        <f>B!H445</f>
        <v>0</v>
      </c>
      <c r="V444" s="272">
        <f>Zn!G446</f>
        <v>0</v>
      </c>
      <c r="W444" s="272">
        <f>Cu!G446</f>
        <v>0</v>
      </c>
      <c r="X444" s="272">
        <f>Mn!G446</f>
        <v>0</v>
      </c>
      <c r="Y444" s="272">
        <f>Fe!G446</f>
        <v>0</v>
      </c>
      <c r="Z444" s="274">
        <f>M.O!H446</f>
        <v>0</v>
      </c>
      <c r="AA444" s="272" t="e">
        <f t="shared" si="46"/>
        <v>#DIV/0!</v>
      </c>
      <c r="AB444" s="272" t="e">
        <f t="shared" si="47"/>
        <v>#DIV/0!</v>
      </c>
      <c r="AC444" s="272" t="e">
        <f t="shared" si="48"/>
        <v>#DIV/0!</v>
      </c>
    </row>
    <row r="445" spans="1:29" x14ac:dyDescent="0.2">
      <c r="A445" s="106">
        <f>Cadastro!A449</f>
        <v>0</v>
      </c>
      <c r="B445" s="27">
        <f>Cadastro!E447</f>
        <v>0</v>
      </c>
      <c r="C445">
        <f>pH_água!C445</f>
        <v>0</v>
      </c>
      <c r="D445">
        <f>pH_KCl!B446</f>
        <v>0</v>
      </c>
      <c r="E445">
        <f>'pH CaCl2'!C445</f>
        <v>0</v>
      </c>
      <c r="F445" s="104">
        <f>P_Mehlich1!H430</f>
        <v>0</v>
      </c>
      <c r="G445" s="123">
        <f>P_resina!H450</f>
        <v>0</v>
      </c>
      <c r="H445" s="272">
        <f>K!G415</f>
        <v>0</v>
      </c>
      <c r="I445" s="125">
        <v>0</v>
      </c>
      <c r="J445" s="272">
        <f>'Ca2+'!G446</f>
        <v>0</v>
      </c>
      <c r="K445" s="272">
        <f>Mg²!G448</f>
        <v>0</v>
      </c>
      <c r="L445" s="279">
        <f>Al³!C447</f>
        <v>0</v>
      </c>
      <c r="M445" s="279">
        <f>'H + Al'!D447</f>
        <v>0</v>
      </c>
      <c r="N445" s="272">
        <f t="shared" si="41"/>
        <v>0</v>
      </c>
      <c r="O445" s="272">
        <f t="shared" si="42"/>
        <v>0</v>
      </c>
      <c r="P445" s="272">
        <f t="shared" si="43"/>
        <v>0</v>
      </c>
      <c r="Q445" s="293" t="e">
        <f t="shared" si="44"/>
        <v>#DIV/0!</v>
      </c>
      <c r="R445" s="293" t="e">
        <f t="shared" si="45"/>
        <v>#DIV/0!</v>
      </c>
      <c r="S445">
        <f>Prem!H447</f>
        <v>0</v>
      </c>
      <c r="T445" s="281">
        <f>S!H451</f>
        <v>0</v>
      </c>
      <c r="U445" s="274">
        <f>B!H446</f>
        <v>0</v>
      </c>
      <c r="V445" s="272">
        <f>Zn!G447</f>
        <v>0</v>
      </c>
      <c r="W445" s="272">
        <f>Cu!G447</f>
        <v>0</v>
      </c>
      <c r="X445" s="272">
        <f>Mn!G447</f>
        <v>0</v>
      </c>
      <c r="Y445" s="272">
        <f>Fe!G447</f>
        <v>0</v>
      </c>
      <c r="Z445" s="274">
        <f>M.O!H447</f>
        <v>0</v>
      </c>
      <c r="AA445" s="272" t="e">
        <f t="shared" si="46"/>
        <v>#DIV/0!</v>
      </c>
      <c r="AB445" s="272" t="e">
        <f t="shared" si="47"/>
        <v>#DIV/0!</v>
      </c>
      <c r="AC445" s="272" t="e">
        <f t="shared" si="48"/>
        <v>#DIV/0!</v>
      </c>
    </row>
    <row r="446" spans="1:29" x14ac:dyDescent="0.2">
      <c r="A446" s="106">
        <f>Cadastro!A450</f>
        <v>0</v>
      </c>
      <c r="B446" s="27">
        <f>Cadastro!E448</f>
        <v>0</v>
      </c>
      <c r="C446">
        <f>pH_água!C446</f>
        <v>0</v>
      </c>
      <c r="D446">
        <f>pH_KCl!B447</f>
        <v>0</v>
      </c>
      <c r="E446">
        <f>'pH CaCl2'!C446</f>
        <v>0</v>
      </c>
      <c r="F446" s="104">
        <f>P_Mehlich1!H431</f>
        <v>0</v>
      </c>
      <c r="G446" s="123">
        <f>P_resina!H451</f>
        <v>0</v>
      </c>
      <c r="H446" s="272">
        <f>K!G416</f>
        <v>0</v>
      </c>
      <c r="I446" s="125">
        <v>0</v>
      </c>
      <c r="J446" s="272">
        <f>'Ca2+'!G447</f>
        <v>0</v>
      </c>
      <c r="K446" s="272">
        <f>Mg²!G449</f>
        <v>0</v>
      </c>
      <c r="L446" s="279">
        <f>Al³!C448</f>
        <v>0</v>
      </c>
      <c r="M446" s="279">
        <f>'H + Al'!D448</f>
        <v>0</v>
      </c>
      <c r="N446" s="272">
        <f t="shared" si="41"/>
        <v>0</v>
      </c>
      <c r="O446" s="272">
        <f t="shared" si="42"/>
        <v>0</v>
      </c>
      <c r="P446" s="272">
        <f t="shared" si="43"/>
        <v>0</v>
      </c>
      <c r="Q446" s="293" t="e">
        <f t="shared" si="44"/>
        <v>#DIV/0!</v>
      </c>
      <c r="R446" s="293" t="e">
        <f t="shared" si="45"/>
        <v>#DIV/0!</v>
      </c>
      <c r="S446">
        <f>Prem!H448</f>
        <v>0</v>
      </c>
      <c r="T446" s="281">
        <f>S!H452</f>
        <v>0</v>
      </c>
      <c r="U446" s="274">
        <f>B!H447</f>
        <v>0</v>
      </c>
      <c r="V446" s="272">
        <f>Zn!G448</f>
        <v>0</v>
      </c>
      <c r="W446" s="272">
        <f>Cu!G448</f>
        <v>0</v>
      </c>
      <c r="X446" s="272">
        <f>Mn!G448</f>
        <v>0</v>
      </c>
      <c r="Y446" s="272">
        <f>Fe!G448</f>
        <v>0</v>
      </c>
      <c r="Z446" s="274">
        <f>M.O!H448</f>
        <v>0</v>
      </c>
      <c r="AA446" s="272" t="e">
        <f t="shared" si="46"/>
        <v>#DIV/0!</v>
      </c>
      <c r="AB446" s="272" t="e">
        <f t="shared" si="47"/>
        <v>#DIV/0!</v>
      </c>
      <c r="AC446" s="272" t="e">
        <f t="shared" si="48"/>
        <v>#DIV/0!</v>
      </c>
    </row>
    <row r="447" spans="1:29" x14ac:dyDescent="0.2">
      <c r="A447" s="106">
        <f>Cadastro!A451</f>
        <v>0</v>
      </c>
      <c r="B447" s="27">
        <f>Cadastro!E449</f>
        <v>0</v>
      </c>
      <c r="C447">
        <f>pH_água!C447</f>
        <v>0</v>
      </c>
      <c r="D447">
        <f>pH_KCl!B448</f>
        <v>0</v>
      </c>
      <c r="E447">
        <f>'pH CaCl2'!C447</f>
        <v>0</v>
      </c>
      <c r="F447" s="104">
        <f>P_Mehlich1!H432</f>
        <v>0</v>
      </c>
      <c r="G447" s="123">
        <f>P_resina!H452</f>
        <v>0</v>
      </c>
      <c r="H447" s="272">
        <f>K!G417</f>
        <v>0</v>
      </c>
      <c r="I447" s="125">
        <v>0</v>
      </c>
      <c r="J447" s="272">
        <f>'Ca2+'!G448</f>
        <v>0</v>
      </c>
      <c r="K447" s="272">
        <f>Mg²!G450</f>
        <v>0</v>
      </c>
      <c r="L447" s="279">
        <f>Al³!C449</f>
        <v>0</v>
      </c>
      <c r="M447" s="279">
        <f>'H + Al'!D449</f>
        <v>0</v>
      </c>
      <c r="N447" s="272">
        <f t="shared" si="41"/>
        <v>0</v>
      </c>
      <c r="O447" s="272">
        <f t="shared" si="42"/>
        <v>0</v>
      </c>
      <c r="P447" s="272">
        <f t="shared" si="43"/>
        <v>0</v>
      </c>
      <c r="Q447" s="293" t="e">
        <f t="shared" si="44"/>
        <v>#DIV/0!</v>
      </c>
      <c r="R447" s="293" t="e">
        <f t="shared" si="45"/>
        <v>#DIV/0!</v>
      </c>
      <c r="S447">
        <f>Prem!H449</f>
        <v>0</v>
      </c>
      <c r="T447" s="281">
        <f>S!H453</f>
        <v>0</v>
      </c>
      <c r="U447" s="274">
        <f>B!H448</f>
        <v>0</v>
      </c>
      <c r="V447" s="272">
        <f>Zn!G449</f>
        <v>0</v>
      </c>
      <c r="W447" s="272">
        <f>Cu!G449</f>
        <v>0</v>
      </c>
      <c r="X447" s="272">
        <f>Mn!G449</f>
        <v>0</v>
      </c>
      <c r="Y447" s="272">
        <f>Fe!G449</f>
        <v>0</v>
      </c>
      <c r="Z447" s="274">
        <f>M.O!H449</f>
        <v>0</v>
      </c>
      <c r="AA447" s="272" t="e">
        <f t="shared" si="46"/>
        <v>#DIV/0!</v>
      </c>
      <c r="AB447" s="272" t="e">
        <f t="shared" si="47"/>
        <v>#DIV/0!</v>
      </c>
      <c r="AC447" s="272" t="e">
        <f t="shared" si="48"/>
        <v>#DIV/0!</v>
      </c>
    </row>
    <row r="448" spans="1:29" x14ac:dyDescent="0.2">
      <c r="A448" s="106">
        <f>Cadastro!A452</f>
        <v>0</v>
      </c>
      <c r="B448" s="27">
        <f>Cadastro!E450</f>
        <v>0</v>
      </c>
      <c r="C448">
        <f>pH_água!C448</f>
        <v>0</v>
      </c>
      <c r="D448">
        <f>pH_KCl!B449</f>
        <v>0</v>
      </c>
      <c r="E448">
        <f>'pH CaCl2'!C448</f>
        <v>0</v>
      </c>
      <c r="F448" s="104">
        <f>P_Mehlich1!H433</f>
        <v>0</v>
      </c>
      <c r="G448" s="123">
        <f>P_resina!H453</f>
        <v>0</v>
      </c>
      <c r="H448" s="272">
        <f>K!G418</f>
        <v>0</v>
      </c>
      <c r="I448" s="125">
        <v>0</v>
      </c>
      <c r="J448" s="272">
        <f>'Ca2+'!G449</f>
        <v>0</v>
      </c>
      <c r="K448" s="272">
        <f>Mg²!G451</f>
        <v>0</v>
      </c>
      <c r="L448" s="279">
        <f>Al³!C450</f>
        <v>0</v>
      </c>
      <c r="M448" s="279">
        <f>'H + Al'!D450</f>
        <v>0</v>
      </c>
      <c r="N448" s="272">
        <f t="shared" si="41"/>
        <v>0</v>
      </c>
      <c r="O448" s="272">
        <f t="shared" si="42"/>
        <v>0</v>
      </c>
      <c r="P448" s="272">
        <f t="shared" si="43"/>
        <v>0</v>
      </c>
      <c r="Q448" s="293" t="e">
        <f t="shared" si="44"/>
        <v>#DIV/0!</v>
      </c>
      <c r="R448" s="293" t="e">
        <f t="shared" si="45"/>
        <v>#DIV/0!</v>
      </c>
      <c r="S448">
        <f>Prem!H450</f>
        <v>0</v>
      </c>
      <c r="T448" s="281">
        <f>S!H454</f>
        <v>0</v>
      </c>
      <c r="U448" s="274">
        <f>B!H449</f>
        <v>0</v>
      </c>
      <c r="V448" s="272">
        <f>Zn!G450</f>
        <v>0</v>
      </c>
      <c r="W448" s="272">
        <f>Cu!G450</f>
        <v>0</v>
      </c>
      <c r="X448" s="272">
        <f>Mn!G450</f>
        <v>0</v>
      </c>
      <c r="Y448" s="272">
        <f>Fe!G450</f>
        <v>0</v>
      </c>
      <c r="Z448" s="274">
        <f>M.O!H450</f>
        <v>0</v>
      </c>
      <c r="AA448" s="272" t="e">
        <f t="shared" si="46"/>
        <v>#DIV/0!</v>
      </c>
      <c r="AB448" s="272" t="e">
        <f t="shared" si="47"/>
        <v>#DIV/0!</v>
      </c>
      <c r="AC448" s="272" t="e">
        <f t="shared" si="48"/>
        <v>#DIV/0!</v>
      </c>
    </row>
    <row r="449" spans="1:29" x14ac:dyDescent="0.2">
      <c r="A449" s="106">
        <f>Cadastro!A453</f>
        <v>0</v>
      </c>
      <c r="B449" s="27">
        <f>Cadastro!E451</f>
        <v>0</v>
      </c>
      <c r="C449">
        <f>pH_água!C449</f>
        <v>0</v>
      </c>
      <c r="D449">
        <f>pH_KCl!B450</f>
        <v>0</v>
      </c>
      <c r="E449">
        <f>'pH CaCl2'!C449</f>
        <v>0</v>
      </c>
      <c r="F449" s="104">
        <f>P_Mehlich1!H434</f>
        <v>0</v>
      </c>
      <c r="G449" s="123">
        <f>P_resina!H454</f>
        <v>0</v>
      </c>
      <c r="H449" s="272">
        <f>K!G419</f>
        <v>0</v>
      </c>
      <c r="I449" s="125">
        <v>0</v>
      </c>
      <c r="J449" s="272">
        <f>'Ca2+'!G450</f>
        <v>0</v>
      </c>
      <c r="K449" s="272">
        <f>Mg²!G452</f>
        <v>0</v>
      </c>
      <c r="L449" s="279">
        <f>Al³!C451</f>
        <v>0</v>
      </c>
      <c r="M449" s="279">
        <f>'H + Al'!D451</f>
        <v>0</v>
      </c>
      <c r="N449" s="272">
        <f t="shared" si="41"/>
        <v>0</v>
      </c>
      <c r="O449" s="272">
        <f t="shared" si="42"/>
        <v>0</v>
      </c>
      <c r="P449" s="272">
        <f t="shared" si="43"/>
        <v>0</v>
      </c>
      <c r="Q449" s="293" t="e">
        <f t="shared" si="44"/>
        <v>#DIV/0!</v>
      </c>
      <c r="R449" s="293" t="e">
        <f t="shared" si="45"/>
        <v>#DIV/0!</v>
      </c>
      <c r="S449">
        <f>Prem!H451</f>
        <v>0</v>
      </c>
      <c r="T449" s="281">
        <f>S!H455</f>
        <v>0</v>
      </c>
      <c r="U449" s="274">
        <f>B!H450</f>
        <v>0</v>
      </c>
      <c r="V449" s="272">
        <f>Zn!G451</f>
        <v>0</v>
      </c>
      <c r="W449" s="272">
        <f>Cu!G451</f>
        <v>0</v>
      </c>
      <c r="X449" s="272">
        <f>Mn!G451</f>
        <v>0</v>
      </c>
      <c r="Y449" s="272">
        <f>Fe!G451</f>
        <v>0</v>
      </c>
      <c r="Z449" s="274">
        <f>M.O!H451</f>
        <v>0</v>
      </c>
      <c r="AA449" s="272" t="e">
        <f t="shared" si="46"/>
        <v>#DIV/0!</v>
      </c>
      <c r="AB449" s="272" t="e">
        <f t="shared" si="47"/>
        <v>#DIV/0!</v>
      </c>
      <c r="AC449" s="272" t="e">
        <f t="shared" si="48"/>
        <v>#DIV/0!</v>
      </c>
    </row>
    <row r="450" spans="1:29" x14ac:dyDescent="0.2">
      <c r="A450" s="106">
        <f>Cadastro!A454</f>
        <v>0</v>
      </c>
      <c r="B450" s="27">
        <f>Cadastro!E452</f>
        <v>0</v>
      </c>
      <c r="C450">
        <f>pH_água!C450</f>
        <v>0</v>
      </c>
      <c r="D450">
        <f>pH_KCl!B451</f>
        <v>0</v>
      </c>
      <c r="E450">
        <f>'pH CaCl2'!C450</f>
        <v>0</v>
      </c>
      <c r="F450" s="104">
        <f>P_Mehlich1!H435</f>
        <v>0</v>
      </c>
      <c r="G450" s="123">
        <f>P_resina!H455</f>
        <v>0</v>
      </c>
      <c r="H450" s="272">
        <f>K!G420</f>
        <v>0</v>
      </c>
      <c r="I450" s="125">
        <v>0</v>
      </c>
      <c r="J450" s="272">
        <f>'Ca2+'!G451</f>
        <v>0</v>
      </c>
      <c r="K450" s="272">
        <f>Mg²!G453</f>
        <v>0</v>
      </c>
      <c r="L450" s="279">
        <f>Al³!C452</f>
        <v>0</v>
      </c>
      <c r="M450" s="279">
        <f>'H + Al'!D452</f>
        <v>0</v>
      </c>
      <c r="N450" s="272">
        <f t="shared" si="41"/>
        <v>0</v>
      </c>
      <c r="O450" s="272">
        <f t="shared" si="42"/>
        <v>0</v>
      </c>
      <c r="P450" s="272">
        <f t="shared" si="43"/>
        <v>0</v>
      </c>
      <c r="Q450" s="293" t="e">
        <f t="shared" si="44"/>
        <v>#DIV/0!</v>
      </c>
      <c r="R450" s="293" t="e">
        <f t="shared" si="45"/>
        <v>#DIV/0!</v>
      </c>
      <c r="S450">
        <f>Prem!H452</f>
        <v>0</v>
      </c>
      <c r="T450" s="281">
        <f>S!H456</f>
        <v>0</v>
      </c>
      <c r="U450" s="274">
        <f>B!H451</f>
        <v>0</v>
      </c>
      <c r="V450" s="272">
        <f>Zn!G452</f>
        <v>0</v>
      </c>
      <c r="W450" s="272">
        <f>Cu!G452</f>
        <v>0</v>
      </c>
      <c r="X450" s="272">
        <f>Mn!G452</f>
        <v>0</v>
      </c>
      <c r="Y450" s="272">
        <f>Fe!G452</f>
        <v>0</v>
      </c>
      <c r="Z450" s="274">
        <f>M.O!H452</f>
        <v>0</v>
      </c>
      <c r="AA450" s="272" t="e">
        <f t="shared" si="46"/>
        <v>#DIV/0!</v>
      </c>
      <c r="AB450" s="272" t="e">
        <f t="shared" si="47"/>
        <v>#DIV/0!</v>
      </c>
      <c r="AC450" s="272" t="e">
        <f t="shared" si="48"/>
        <v>#DIV/0!</v>
      </c>
    </row>
    <row r="451" spans="1:29" x14ac:dyDescent="0.2">
      <c r="A451" s="106">
        <f>Cadastro!A455</f>
        <v>0</v>
      </c>
      <c r="B451" s="27">
        <f>Cadastro!E453</f>
        <v>0</v>
      </c>
      <c r="C451">
        <f>pH_água!C451</f>
        <v>0</v>
      </c>
      <c r="D451">
        <f>pH_KCl!B452</f>
        <v>0</v>
      </c>
      <c r="E451">
        <f>'pH CaCl2'!C451</f>
        <v>0</v>
      </c>
      <c r="F451" s="104">
        <f>P_Mehlich1!H436</f>
        <v>0</v>
      </c>
      <c r="G451" s="123">
        <f>P_resina!H456</f>
        <v>0</v>
      </c>
      <c r="H451" s="272">
        <f>K!G421</f>
        <v>0</v>
      </c>
      <c r="I451" s="125">
        <v>0</v>
      </c>
      <c r="J451" s="272">
        <f>'Ca2+'!G452</f>
        <v>0</v>
      </c>
      <c r="K451" s="272">
        <f>Mg²!G454</f>
        <v>0</v>
      </c>
      <c r="L451" s="279">
        <f>Al³!C453</f>
        <v>0</v>
      </c>
      <c r="M451" s="279">
        <f>'H + Al'!D453</f>
        <v>0</v>
      </c>
      <c r="N451" s="272">
        <f t="shared" si="41"/>
        <v>0</v>
      </c>
      <c r="O451" s="272">
        <f t="shared" si="42"/>
        <v>0</v>
      </c>
      <c r="P451" s="272">
        <f t="shared" si="43"/>
        <v>0</v>
      </c>
      <c r="Q451" s="293" t="e">
        <f t="shared" si="44"/>
        <v>#DIV/0!</v>
      </c>
      <c r="R451" s="293" t="e">
        <f t="shared" si="45"/>
        <v>#DIV/0!</v>
      </c>
      <c r="S451">
        <f>Prem!H453</f>
        <v>0</v>
      </c>
      <c r="T451" s="281">
        <f>S!H457</f>
        <v>0</v>
      </c>
      <c r="U451" s="274">
        <f>B!H452</f>
        <v>0</v>
      </c>
      <c r="V451" s="272">
        <f>Zn!G453</f>
        <v>0</v>
      </c>
      <c r="W451" s="272">
        <f>Cu!G453</f>
        <v>0</v>
      </c>
      <c r="X451" s="272">
        <f>Mn!G453</f>
        <v>0</v>
      </c>
      <c r="Y451" s="272">
        <f>Fe!G453</f>
        <v>0</v>
      </c>
      <c r="Z451" s="274">
        <f>M.O!H453</f>
        <v>0</v>
      </c>
      <c r="AA451" s="272" t="e">
        <f t="shared" si="46"/>
        <v>#DIV/0!</v>
      </c>
      <c r="AB451" s="272" t="e">
        <f t="shared" si="47"/>
        <v>#DIV/0!</v>
      </c>
      <c r="AC451" s="272" t="e">
        <f t="shared" si="48"/>
        <v>#DIV/0!</v>
      </c>
    </row>
    <row r="452" spans="1:29" x14ac:dyDescent="0.2">
      <c r="A452" s="106">
        <f>Cadastro!A456</f>
        <v>0</v>
      </c>
      <c r="B452" s="27">
        <f>Cadastro!E454</f>
        <v>0</v>
      </c>
      <c r="C452">
        <f>pH_água!C452</f>
        <v>0</v>
      </c>
      <c r="D452">
        <f>pH_KCl!B453</f>
        <v>0</v>
      </c>
      <c r="E452">
        <f>'pH CaCl2'!C452</f>
        <v>0</v>
      </c>
      <c r="F452" s="104">
        <f>P_Mehlich1!H437</f>
        <v>0</v>
      </c>
      <c r="G452" s="123">
        <f>P_resina!H457</f>
        <v>0</v>
      </c>
      <c r="H452" s="272">
        <f>K!G422</f>
        <v>0</v>
      </c>
      <c r="I452" s="125">
        <v>0</v>
      </c>
      <c r="J452" s="272">
        <f>'Ca2+'!G453</f>
        <v>0</v>
      </c>
      <c r="K452" s="272">
        <f>Mg²!G455</f>
        <v>0</v>
      </c>
      <c r="L452" s="279">
        <f>Al³!C454</f>
        <v>0</v>
      </c>
      <c r="M452" s="279">
        <f>'H + Al'!D454</f>
        <v>0</v>
      </c>
      <c r="N452" s="272">
        <f t="shared" si="41"/>
        <v>0</v>
      </c>
      <c r="O452" s="272">
        <f t="shared" si="42"/>
        <v>0</v>
      </c>
      <c r="P452" s="272">
        <f t="shared" si="43"/>
        <v>0</v>
      </c>
      <c r="Q452" s="293" t="e">
        <f t="shared" si="44"/>
        <v>#DIV/0!</v>
      </c>
      <c r="R452" s="293" t="e">
        <f t="shared" si="45"/>
        <v>#DIV/0!</v>
      </c>
      <c r="S452">
        <f>Prem!H454</f>
        <v>0</v>
      </c>
      <c r="T452" s="281">
        <f>S!H458</f>
        <v>0</v>
      </c>
      <c r="U452" s="274">
        <f>B!H453</f>
        <v>0</v>
      </c>
      <c r="V452" s="272">
        <f>Zn!G454</f>
        <v>0</v>
      </c>
      <c r="W452" s="272">
        <f>Cu!G454</f>
        <v>0</v>
      </c>
      <c r="X452" s="272">
        <f>Mn!G454</f>
        <v>0</v>
      </c>
      <c r="Y452" s="272">
        <f>Fe!G454</f>
        <v>0</v>
      </c>
      <c r="Z452" s="274">
        <f>M.O!H454</f>
        <v>0</v>
      </c>
      <c r="AA452" s="272" t="e">
        <f t="shared" si="46"/>
        <v>#DIV/0!</v>
      </c>
      <c r="AB452" s="272" t="e">
        <f t="shared" si="47"/>
        <v>#DIV/0!</v>
      </c>
      <c r="AC452" s="272" t="e">
        <f t="shared" si="48"/>
        <v>#DIV/0!</v>
      </c>
    </row>
    <row r="453" spans="1:29" x14ac:dyDescent="0.2">
      <c r="A453" s="106">
        <f>Cadastro!A457</f>
        <v>0</v>
      </c>
      <c r="B453" s="27">
        <f>Cadastro!E455</f>
        <v>0</v>
      </c>
      <c r="C453">
        <f>pH_água!C453</f>
        <v>0</v>
      </c>
      <c r="D453">
        <f>pH_KCl!B454</f>
        <v>0</v>
      </c>
      <c r="E453">
        <f>'pH CaCl2'!C453</f>
        <v>0</v>
      </c>
      <c r="F453" s="104">
        <f>P_Mehlich1!H438</f>
        <v>0</v>
      </c>
      <c r="G453" s="123">
        <f>P_resina!H458</f>
        <v>0</v>
      </c>
      <c r="H453" s="272">
        <f>K!G423</f>
        <v>0</v>
      </c>
      <c r="I453" s="125">
        <v>0</v>
      </c>
      <c r="J453" s="272">
        <f>'Ca2+'!G454</f>
        <v>0</v>
      </c>
      <c r="K453" s="272">
        <f>Mg²!G456</f>
        <v>0</v>
      </c>
      <c r="L453" s="279">
        <f>Al³!C455</f>
        <v>0</v>
      </c>
      <c r="M453" s="279">
        <f>'H + Al'!D455</f>
        <v>0</v>
      </c>
      <c r="N453" s="272">
        <f t="shared" si="41"/>
        <v>0</v>
      </c>
      <c r="O453" s="272">
        <f t="shared" si="42"/>
        <v>0</v>
      </c>
      <c r="P453" s="272">
        <f t="shared" si="43"/>
        <v>0</v>
      </c>
      <c r="Q453" s="293" t="e">
        <f t="shared" si="44"/>
        <v>#DIV/0!</v>
      </c>
      <c r="R453" s="293" t="e">
        <f t="shared" si="45"/>
        <v>#DIV/0!</v>
      </c>
      <c r="S453">
        <f>Prem!H455</f>
        <v>0</v>
      </c>
      <c r="T453" s="281">
        <f>S!H459</f>
        <v>0</v>
      </c>
      <c r="U453" s="274">
        <f>B!H454</f>
        <v>0</v>
      </c>
      <c r="V453" s="272">
        <f>Zn!G455</f>
        <v>0</v>
      </c>
      <c r="W453" s="272">
        <f>Cu!G455</f>
        <v>0</v>
      </c>
      <c r="X453" s="272">
        <f>Mn!G455</f>
        <v>0</v>
      </c>
      <c r="Y453" s="272">
        <f>Fe!G455</f>
        <v>0</v>
      </c>
      <c r="Z453" s="274">
        <f>M.O!H455</f>
        <v>0</v>
      </c>
      <c r="AA453" s="272" t="e">
        <f t="shared" si="46"/>
        <v>#DIV/0!</v>
      </c>
      <c r="AB453" s="272" t="e">
        <f t="shared" si="47"/>
        <v>#DIV/0!</v>
      </c>
      <c r="AC453" s="272" t="e">
        <f t="shared" si="48"/>
        <v>#DIV/0!</v>
      </c>
    </row>
    <row r="454" spans="1:29" x14ac:dyDescent="0.2">
      <c r="A454" s="106">
        <f>Cadastro!A458</f>
        <v>0</v>
      </c>
      <c r="B454" s="27">
        <f>Cadastro!E456</f>
        <v>0</v>
      </c>
      <c r="C454">
        <f>pH_água!C454</f>
        <v>0</v>
      </c>
      <c r="D454">
        <f>pH_KCl!B455</f>
        <v>0</v>
      </c>
      <c r="E454">
        <f>'pH CaCl2'!C454</f>
        <v>0</v>
      </c>
      <c r="F454" s="104">
        <f>P_Mehlich1!H439</f>
        <v>0</v>
      </c>
      <c r="G454" s="123">
        <f>P_resina!H459</f>
        <v>0</v>
      </c>
      <c r="H454" s="272">
        <f>K!G424</f>
        <v>0</v>
      </c>
      <c r="I454" s="125">
        <v>0</v>
      </c>
      <c r="J454" s="272">
        <f>'Ca2+'!G455</f>
        <v>0</v>
      </c>
      <c r="K454" s="272">
        <f>Mg²!G457</f>
        <v>0</v>
      </c>
      <c r="L454" s="279">
        <f>Al³!C456</f>
        <v>0</v>
      </c>
      <c r="M454" s="279">
        <f>'H + Al'!D456</f>
        <v>0</v>
      </c>
      <c r="N454" s="272">
        <f t="shared" si="41"/>
        <v>0</v>
      </c>
      <c r="O454" s="272">
        <f t="shared" si="42"/>
        <v>0</v>
      </c>
      <c r="P454" s="272">
        <f t="shared" si="43"/>
        <v>0</v>
      </c>
      <c r="Q454" s="293" t="e">
        <f t="shared" si="44"/>
        <v>#DIV/0!</v>
      </c>
      <c r="R454" s="293" t="e">
        <f t="shared" si="45"/>
        <v>#DIV/0!</v>
      </c>
      <c r="S454">
        <f>Prem!H456</f>
        <v>0</v>
      </c>
      <c r="T454" s="281">
        <f>S!H460</f>
        <v>0</v>
      </c>
      <c r="U454" s="274">
        <f>B!H455</f>
        <v>0</v>
      </c>
      <c r="V454" s="272">
        <f>Zn!G456</f>
        <v>0</v>
      </c>
      <c r="W454" s="272">
        <f>Cu!G456</f>
        <v>0</v>
      </c>
      <c r="X454" s="272">
        <f>Mn!G456</f>
        <v>0</v>
      </c>
      <c r="Y454" s="272">
        <f>Fe!G456</f>
        <v>0</v>
      </c>
      <c r="Z454" s="274">
        <f>M.O!H456</f>
        <v>0</v>
      </c>
      <c r="AA454" s="272" t="e">
        <f t="shared" si="46"/>
        <v>#DIV/0!</v>
      </c>
      <c r="AB454" s="272" t="e">
        <f t="shared" si="47"/>
        <v>#DIV/0!</v>
      </c>
      <c r="AC454" s="272" t="e">
        <f t="shared" si="48"/>
        <v>#DIV/0!</v>
      </c>
    </row>
    <row r="455" spans="1:29" x14ac:dyDescent="0.2">
      <c r="A455" s="106">
        <f>Cadastro!A459</f>
        <v>0</v>
      </c>
      <c r="B455" s="27">
        <f>Cadastro!E457</f>
        <v>0</v>
      </c>
      <c r="C455">
        <f>pH_água!C455</f>
        <v>0</v>
      </c>
      <c r="D455">
        <f>pH_KCl!B456</f>
        <v>0</v>
      </c>
      <c r="E455">
        <f>'pH CaCl2'!C455</f>
        <v>0</v>
      </c>
      <c r="F455" s="104">
        <f>P_Mehlich1!H440</f>
        <v>0</v>
      </c>
      <c r="G455" s="123">
        <f>P_resina!H460</f>
        <v>0</v>
      </c>
      <c r="H455" s="272">
        <f>K!G425</f>
        <v>0</v>
      </c>
      <c r="I455" s="125">
        <v>0</v>
      </c>
      <c r="J455" s="272">
        <f>'Ca2+'!G456</f>
        <v>0</v>
      </c>
      <c r="K455" s="272">
        <f>Mg²!G458</f>
        <v>0</v>
      </c>
      <c r="L455" s="279">
        <f>Al³!C457</f>
        <v>0</v>
      </c>
      <c r="M455" s="279">
        <f>'H + Al'!D457</f>
        <v>0</v>
      </c>
      <c r="N455" s="272">
        <f t="shared" si="41"/>
        <v>0</v>
      </c>
      <c r="O455" s="272">
        <f t="shared" si="42"/>
        <v>0</v>
      </c>
      <c r="P455" s="272">
        <f t="shared" si="43"/>
        <v>0</v>
      </c>
      <c r="Q455" s="293" t="e">
        <f t="shared" si="44"/>
        <v>#DIV/0!</v>
      </c>
      <c r="R455" s="293" t="e">
        <f t="shared" si="45"/>
        <v>#DIV/0!</v>
      </c>
      <c r="S455">
        <f>Prem!H457</f>
        <v>0</v>
      </c>
      <c r="T455" s="281">
        <f>S!H461</f>
        <v>0</v>
      </c>
      <c r="U455" s="274">
        <f>B!H456</f>
        <v>0</v>
      </c>
      <c r="V455" s="272">
        <f>Zn!G457</f>
        <v>0</v>
      </c>
      <c r="W455" s="272">
        <f>Cu!G457</f>
        <v>0</v>
      </c>
      <c r="X455" s="272">
        <f>Mn!G457</f>
        <v>0</v>
      </c>
      <c r="Y455" s="272">
        <f>Fe!G457</f>
        <v>0</v>
      </c>
      <c r="Z455" s="274">
        <f>M.O!H457</f>
        <v>0</v>
      </c>
      <c r="AA455" s="272" t="e">
        <f t="shared" si="46"/>
        <v>#DIV/0!</v>
      </c>
      <c r="AB455" s="272" t="e">
        <f t="shared" si="47"/>
        <v>#DIV/0!</v>
      </c>
      <c r="AC455" s="272" t="e">
        <f t="shared" si="48"/>
        <v>#DIV/0!</v>
      </c>
    </row>
    <row r="456" spans="1:29" x14ac:dyDescent="0.2">
      <c r="A456" s="106">
        <f>Cadastro!A460</f>
        <v>0</v>
      </c>
      <c r="B456" s="27">
        <f>Cadastro!E458</f>
        <v>0</v>
      </c>
      <c r="C456">
        <f>pH_água!C456</f>
        <v>0</v>
      </c>
      <c r="D456">
        <f>pH_KCl!B457</f>
        <v>0</v>
      </c>
      <c r="E456">
        <f>'pH CaCl2'!C456</f>
        <v>0</v>
      </c>
      <c r="F456" s="104">
        <f>P_Mehlich1!H441</f>
        <v>0</v>
      </c>
      <c r="G456" s="123">
        <f>P_resina!H461</f>
        <v>0</v>
      </c>
      <c r="H456" s="272">
        <f>K!G426</f>
        <v>0</v>
      </c>
      <c r="I456" s="125">
        <v>0</v>
      </c>
      <c r="J456" s="272">
        <f>'Ca2+'!G457</f>
        <v>0</v>
      </c>
      <c r="K456" s="272">
        <f>Mg²!G459</f>
        <v>0</v>
      </c>
      <c r="L456" s="279">
        <f>Al³!C458</f>
        <v>0</v>
      </c>
      <c r="M456" s="279">
        <f>'H + Al'!D458</f>
        <v>0</v>
      </c>
      <c r="N456" s="272">
        <f t="shared" si="41"/>
        <v>0</v>
      </c>
      <c r="O456" s="272">
        <f t="shared" si="42"/>
        <v>0</v>
      </c>
      <c r="P456" s="272">
        <f t="shared" si="43"/>
        <v>0</v>
      </c>
      <c r="Q456" s="293" t="e">
        <f t="shared" si="44"/>
        <v>#DIV/0!</v>
      </c>
      <c r="R456" s="293" t="e">
        <f t="shared" si="45"/>
        <v>#DIV/0!</v>
      </c>
      <c r="S456">
        <f>Prem!H458</f>
        <v>0</v>
      </c>
      <c r="T456" s="281">
        <f>S!H462</f>
        <v>0</v>
      </c>
      <c r="U456" s="274">
        <f>B!H457</f>
        <v>0</v>
      </c>
      <c r="V456" s="272">
        <f>Zn!G458</f>
        <v>0</v>
      </c>
      <c r="W456" s="272">
        <f>Cu!G458</f>
        <v>0</v>
      </c>
      <c r="X456" s="272">
        <f>Mn!G458</f>
        <v>0</v>
      </c>
      <c r="Y456" s="272">
        <f>Fe!G458</f>
        <v>0</v>
      </c>
      <c r="Z456" s="274">
        <f>M.O!H458</f>
        <v>0</v>
      </c>
      <c r="AA456" s="272" t="e">
        <f t="shared" si="46"/>
        <v>#DIV/0!</v>
      </c>
      <c r="AB456" s="272" t="e">
        <f t="shared" si="47"/>
        <v>#DIV/0!</v>
      </c>
      <c r="AC456" s="272" t="e">
        <f t="shared" si="48"/>
        <v>#DIV/0!</v>
      </c>
    </row>
    <row r="457" spans="1:29" x14ac:dyDescent="0.2">
      <c r="A457" s="106">
        <f>Cadastro!A461</f>
        <v>0</v>
      </c>
      <c r="B457" s="27">
        <f>Cadastro!E459</f>
        <v>0</v>
      </c>
      <c r="C457">
        <f>pH_água!C457</f>
        <v>0</v>
      </c>
      <c r="D457">
        <f>pH_KCl!B458</f>
        <v>0</v>
      </c>
      <c r="E457">
        <f>'pH CaCl2'!C457</f>
        <v>0</v>
      </c>
      <c r="F457" s="104">
        <f>P_Mehlich1!H442</f>
        <v>0</v>
      </c>
      <c r="G457" s="123">
        <f>P_resina!H462</f>
        <v>0</v>
      </c>
      <c r="H457" s="272">
        <f>K!G427</f>
        <v>0</v>
      </c>
      <c r="I457" s="125">
        <v>0</v>
      </c>
      <c r="J457" s="272">
        <f>'Ca2+'!G458</f>
        <v>0</v>
      </c>
      <c r="K457" s="272">
        <f>Mg²!G460</f>
        <v>0</v>
      </c>
      <c r="L457" s="279">
        <f>Al³!C459</f>
        <v>0</v>
      </c>
      <c r="M457" s="279">
        <f>'H + Al'!D459</f>
        <v>0</v>
      </c>
      <c r="N457" s="272">
        <f t="shared" si="41"/>
        <v>0</v>
      </c>
      <c r="O457" s="272">
        <f t="shared" si="42"/>
        <v>0</v>
      </c>
      <c r="P457" s="272">
        <f t="shared" si="43"/>
        <v>0</v>
      </c>
      <c r="Q457" s="293" t="e">
        <f t="shared" si="44"/>
        <v>#DIV/0!</v>
      </c>
      <c r="R457" s="293" t="e">
        <f t="shared" si="45"/>
        <v>#DIV/0!</v>
      </c>
      <c r="S457">
        <f>Prem!H459</f>
        <v>0</v>
      </c>
      <c r="T457" s="281">
        <f>S!H463</f>
        <v>0</v>
      </c>
      <c r="U457" s="274">
        <f>B!H458</f>
        <v>0</v>
      </c>
      <c r="V457" s="272">
        <f>Zn!G459</f>
        <v>0</v>
      </c>
      <c r="W457" s="272">
        <f>Cu!G459</f>
        <v>0</v>
      </c>
      <c r="X457" s="272">
        <f>Mn!G459</f>
        <v>0</v>
      </c>
      <c r="Y457" s="272">
        <f>Fe!G459</f>
        <v>0</v>
      </c>
      <c r="Z457" s="274">
        <f>M.O!H459</f>
        <v>0</v>
      </c>
      <c r="AA457" s="272" t="e">
        <f t="shared" si="46"/>
        <v>#DIV/0!</v>
      </c>
      <c r="AB457" s="272" t="e">
        <f t="shared" si="47"/>
        <v>#DIV/0!</v>
      </c>
      <c r="AC457" s="272" t="e">
        <f t="shared" si="48"/>
        <v>#DIV/0!</v>
      </c>
    </row>
    <row r="458" spans="1:29" x14ac:dyDescent="0.2">
      <c r="A458" s="106">
        <f>Cadastro!A462</f>
        <v>0</v>
      </c>
      <c r="B458" s="27">
        <f>Cadastro!E460</f>
        <v>0</v>
      </c>
      <c r="C458">
        <f>pH_água!C458</f>
        <v>0</v>
      </c>
      <c r="D458">
        <f>pH_KCl!B459</f>
        <v>0</v>
      </c>
      <c r="E458">
        <f>'pH CaCl2'!C458</f>
        <v>0</v>
      </c>
      <c r="F458" s="104">
        <f>P_Mehlich1!H443</f>
        <v>0</v>
      </c>
      <c r="G458" s="123">
        <f>P_resina!H463</f>
        <v>0</v>
      </c>
      <c r="H458" s="272">
        <f>K!G428</f>
        <v>0</v>
      </c>
      <c r="I458" s="125">
        <v>0</v>
      </c>
      <c r="J458" s="272">
        <f>'Ca2+'!G459</f>
        <v>0</v>
      </c>
      <c r="K458" s="272">
        <f>Mg²!G461</f>
        <v>0</v>
      </c>
      <c r="L458" s="279">
        <f>Al³!C460</f>
        <v>0</v>
      </c>
      <c r="M458" s="279">
        <f>'H + Al'!D460</f>
        <v>0</v>
      </c>
      <c r="N458" s="272">
        <f t="shared" si="41"/>
        <v>0</v>
      </c>
      <c r="O458" s="272">
        <f t="shared" si="42"/>
        <v>0</v>
      </c>
      <c r="P458" s="272">
        <f t="shared" si="43"/>
        <v>0</v>
      </c>
      <c r="Q458" s="293" t="e">
        <f t="shared" si="44"/>
        <v>#DIV/0!</v>
      </c>
      <c r="R458" s="293" t="e">
        <f t="shared" si="45"/>
        <v>#DIV/0!</v>
      </c>
      <c r="S458">
        <f>Prem!H460</f>
        <v>0</v>
      </c>
      <c r="T458" s="281">
        <f>S!H464</f>
        <v>0</v>
      </c>
      <c r="U458" s="274">
        <f>B!H459</f>
        <v>0</v>
      </c>
      <c r="V458" s="272">
        <f>Zn!G460</f>
        <v>0</v>
      </c>
      <c r="W458" s="272">
        <f>Cu!G460</f>
        <v>0</v>
      </c>
      <c r="X458" s="272">
        <f>Mn!G460</f>
        <v>0</v>
      </c>
      <c r="Y458" s="272">
        <f>Fe!G460</f>
        <v>0</v>
      </c>
      <c r="Z458" s="274">
        <f>M.O!H460</f>
        <v>0</v>
      </c>
      <c r="AA458" s="272" t="e">
        <f t="shared" si="46"/>
        <v>#DIV/0!</v>
      </c>
      <c r="AB458" s="272" t="e">
        <f t="shared" si="47"/>
        <v>#DIV/0!</v>
      </c>
      <c r="AC458" s="272" t="e">
        <f t="shared" si="48"/>
        <v>#DIV/0!</v>
      </c>
    </row>
    <row r="459" spans="1:29" x14ac:dyDescent="0.2">
      <c r="A459" s="106">
        <f>Cadastro!A463</f>
        <v>0</v>
      </c>
      <c r="B459" s="27">
        <f>Cadastro!E461</f>
        <v>0</v>
      </c>
      <c r="C459">
        <f>pH_água!C459</f>
        <v>0</v>
      </c>
      <c r="D459">
        <f>pH_KCl!B460</f>
        <v>0</v>
      </c>
      <c r="E459">
        <f>'pH CaCl2'!C459</f>
        <v>0</v>
      </c>
      <c r="F459" s="104">
        <f>P_Mehlich1!H444</f>
        <v>0</v>
      </c>
      <c r="G459" s="123">
        <f>P_resina!H464</f>
        <v>0</v>
      </c>
      <c r="H459" s="272">
        <f>K!G429</f>
        <v>0</v>
      </c>
      <c r="I459" s="125">
        <v>0</v>
      </c>
      <c r="J459" s="272">
        <f>'Ca2+'!G460</f>
        <v>0</v>
      </c>
      <c r="K459" s="272">
        <f>Mg²!G462</f>
        <v>0</v>
      </c>
      <c r="L459" s="279">
        <f>Al³!C461</f>
        <v>0</v>
      </c>
      <c r="M459" s="279">
        <f>'H + Al'!D461</f>
        <v>0</v>
      </c>
      <c r="N459" s="272">
        <f t="shared" si="41"/>
        <v>0</v>
      </c>
      <c r="O459" s="272">
        <f t="shared" si="42"/>
        <v>0</v>
      </c>
      <c r="P459" s="272">
        <f t="shared" si="43"/>
        <v>0</v>
      </c>
      <c r="Q459" s="293" t="e">
        <f t="shared" si="44"/>
        <v>#DIV/0!</v>
      </c>
      <c r="R459" s="293" t="e">
        <f t="shared" si="45"/>
        <v>#DIV/0!</v>
      </c>
      <c r="S459">
        <f>Prem!H461</f>
        <v>0</v>
      </c>
      <c r="T459" s="281">
        <f>S!H465</f>
        <v>0</v>
      </c>
      <c r="U459" s="274">
        <f>B!H460</f>
        <v>0</v>
      </c>
      <c r="V459" s="272">
        <f>Zn!G461</f>
        <v>0</v>
      </c>
      <c r="W459" s="272">
        <f>Cu!G461</f>
        <v>0</v>
      </c>
      <c r="X459" s="272">
        <f>Mn!G461</f>
        <v>0</v>
      </c>
      <c r="Y459" s="272">
        <f>Fe!G461</f>
        <v>0</v>
      </c>
      <c r="Z459" s="274">
        <f>M.O!H461</f>
        <v>0</v>
      </c>
      <c r="AA459" s="272" t="e">
        <f t="shared" si="46"/>
        <v>#DIV/0!</v>
      </c>
      <c r="AB459" s="272" t="e">
        <f t="shared" si="47"/>
        <v>#DIV/0!</v>
      </c>
      <c r="AC459" s="272" t="e">
        <f t="shared" si="48"/>
        <v>#DIV/0!</v>
      </c>
    </row>
    <row r="460" spans="1:29" x14ac:dyDescent="0.2">
      <c r="A460" s="106">
        <f>Cadastro!A464</f>
        <v>0</v>
      </c>
      <c r="B460" s="27">
        <f>Cadastro!E462</f>
        <v>0</v>
      </c>
      <c r="C460">
        <f>pH_água!C460</f>
        <v>0</v>
      </c>
      <c r="D460">
        <f>pH_KCl!B461</f>
        <v>0</v>
      </c>
      <c r="E460">
        <f>'pH CaCl2'!C460</f>
        <v>0</v>
      </c>
      <c r="F460" s="104">
        <f>P_Mehlich1!H445</f>
        <v>0</v>
      </c>
      <c r="G460" s="123">
        <f>P_resina!H465</f>
        <v>0</v>
      </c>
      <c r="H460" s="272">
        <f>K!G430</f>
        <v>0</v>
      </c>
      <c r="I460" s="125">
        <v>0</v>
      </c>
      <c r="J460" s="272">
        <f>'Ca2+'!G461</f>
        <v>0</v>
      </c>
      <c r="K460" s="272">
        <f>Mg²!G463</f>
        <v>0</v>
      </c>
      <c r="L460" s="279">
        <f>Al³!C462</f>
        <v>0</v>
      </c>
      <c r="M460" s="279">
        <f>'H + Al'!D462</f>
        <v>0</v>
      </c>
      <c r="N460" s="272">
        <f t="shared" si="41"/>
        <v>0</v>
      </c>
      <c r="O460" s="272">
        <f t="shared" si="42"/>
        <v>0</v>
      </c>
      <c r="P460" s="272">
        <f t="shared" si="43"/>
        <v>0</v>
      </c>
      <c r="Q460" s="293" t="e">
        <f t="shared" si="44"/>
        <v>#DIV/0!</v>
      </c>
      <c r="R460" s="293" t="e">
        <f t="shared" si="45"/>
        <v>#DIV/0!</v>
      </c>
      <c r="S460">
        <f>Prem!H462</f>
        <v>0</v>
      </c>
      <c r="T460" s="281">
        <f>S!H466</f>
        <v>0</v>
      </c>
      <c r="U460" s="274">
        <f>B!H461</f>
        <v>0</v>
      </c>
      <c r="V460" s="272">
        <f>Zn!G462</f>
        <v>0</v>
      </c>
      <c r="W460" s="272">
        <f>Cu!G462</f>
        <v>0</v>
      </c>
      <c r="X460" s="272">
        <f>Mn!G462</f>
        <v>0</v>
      </c>
      <c r="Y460" s="272">
        <f>Fe!G462</f>
        <v>0</v>
      </c>
      <c r="Z460" s="274">
        <f>M.O!H462</f>
        <v>0</v>
      </c>
      <c r="AA460" s="272" t="e">
        <f t="shared" si="46"/>
        <v>#DIV/0!</v>
      </c>
      <c r="AB460" s="272" t="e">
        <f t="shared" si="47"/>
        <v>#DIV/0!</v>
      </c>
      <c r="AC460" s="272" t="e">
        <f t="shared" si="48"/>
        <v>#DIV/0!</v>
      </c>
    </row>
    <row r="461" spans="1:29" x14ac:dyDescent="0.2">
      <c r="A461" s="106">
        <f>Cadastro!A465</f>
        <v>0</v>
      </c>
      <c r="B461" s="27">
        <f>Cadastro!E463</f>
        <v>0</v>
      </c>
      <c r="C461">
        <f>pH_água!C461</f>
        <v>0</v>
      </c>
      <c r="D461">
        <f>pH_KCl!B462</f>
        <v>0</v>
      </c>
      <c r="E461">
        <f>'pH CaCl2'!C461</f>
        <v>0</v>
      </c>
      <c r="F461" s="104">
        <f>P_Mehlich1!H446</f>
        <v>0</v>
      </c>
      <c r="G461" s="123">
        <f>P_resina!H466</f>
        <v>0</v>
      </c>
      <c r="H461" s="272">
        <f>K!G431</f>
        <v>0</v>
      </c>
      <c r="I461" s="125">
        <v>0</v>
      </c>
      <c r="J461" s="272">
        <f>'Ca2+'!G462</f>
        <v>0</v>
      </c>
      <c r="K461" s="272">
        <f>Mg²!G464</f>
        <v>0</v>
      </c>
      <c r="L461" s="279">
        <f>Al³!C463</f>
        <v>0</v>
      </c>
      <c r="M461" s="279">
        <f>'H + Al'!D463</f>
        <v>0</v>
      </c>
      <c r="N461" s="272">
        <f t="shared" si="41"/>
        <v>0</v>
      </c>
      <c r="O461" s="272">
        <f t="shared" si="42"/>
        <v>0</v>
      </c>
      <c r="P461" s="272">
        <f t="shared" si="43"/>
        <v>0</v>
      </c>
      <c r="Q461" s="293" t="e">
        <f t="shared" si="44"/>
        <v>#DIV/0!</v>
      </c>
      <c r="R461" s="293" t="e">
        <f t="shared" si="45"/>
        <v>#DIV/0!</v>
      </c>
      <c r="S461">
        <f>Prem!H463</f>
        <v>0</v>
      </c>
      <c r="T461" s="281">
        <f>S!H467</f>
        <v>0</v>
      </c>
      <c r="U461" s="274">
        <f>B!H462</f>
        <v>0</v>
      </c>
      <c r="V461" s="272">
        <f>Zn!G463</f>
        <v>0</v>
      </c>
      <c r="W461" s="272">
        <f>Cu!G463</f>
        <v>0</v>
      </c>
      <c r="X461" s="272">
        <f>Mn!G463</f>
        <v>0</v>
      </c>
      <c r="Y461" s="272">
        <f>Fe!G463</f>
        <v>0</v>
      </c>
      <c r="Z461" s="274">
        <f>M.O!H463</f>
        <v>0</v>
      </c>
      <c r="AA461" s="272" t="e">
        <f t="shared" si="46"/>
        <v>#DIV/0!</v>
      </c>
      <c r="AB461" s="272" t="e">
        <f t="shared" si="47"/>
        <v>#DIV/0!</v>
      </c>
      <c r="AC461" s="272" t="e">
        <f t="shared" si="48"/>
        <v>#DIV/0!</v>
      </c>
    </row>
    <row r="462" spans="1:29" x14ac:dyDescent="0.2">
      <c r="A462" s="106">
        <f>Cadastro!A466</f>
        <v>0</v>
      </c>
      <c r="B462" s="27">
        <f>Cadastro!E464</f>
        <v>0</v>
      </c>
      <c r="C462">
        <f>pH_água!C462</f>
        <v>0</v>
      </c>
      <c r="D462">
        <f>pH_KCl!B463</f>
        <v>0</v>
      </c>
      <c r="E462">
        <f>'pH CaCl2'!C462</f>
        <v>0</v>
      </c>
      <c r="F462" s="104">
        <f>P_Mehlich1!H447</f>
        <v>0</v>
      </c>
      <c r="G462" s="123">
        <f>P_resina!H467</f>
        <v>0</v>
      </c>
      <c r="H462" s="272">
        <f>K!G432</f>
        <v>0</v>
      </c>
      <c r="I462" s="125">
        <v>0</v>
      </c>
      <c r="J462" s="272">
        <f>'Ca2+'!G463</f>
        <v>0</v>
      </c>
      <c r="K462" s="272">
        <f>Mg²!G465</f>
        <v>0</v>
      </c>
      <c r="L462" s="279">
        <f>Al³!C464</f>
        <v>0</v>
      </c>
      <c r="M462" s="279">
        <f>'H + Al'!D464</f>
        <v>0</v>
      </c>
      <c r="N462" s="272">
        <f t="shared" si="41"/>
        <v>0</v>
      </c>
      <c r="O462" s="272">
        <f t="shared" si="42"/>
        <v>0</v>
      </c>
      <c r="P462" s="272">
        <f t="shared" si="43"/>
        <v>0</v>
      </c>
      <c r="Q462" s="293" t="e">
        <f t="shared" si="44"/>
        <v>#DIV/0!</v>
      </c>
      <c r="R462" s="293" t="e">
        <f t="shared" si="45"/>
        <v>#DIV/0!</v>
      </c>
      <c r="S462">
        <f>Prem!H464</f>
        <v>0</v>
      </c>
      <c r="T462" s="281">
        <f>S!H468</f>
        <v>0</v>
      </c>
      <c r="U462" s="274">
        <f>B!H463</f>
        <v>0</v>
      </c>
      <c r="V462" s="272">
        <f>Zn!G464</f>
        <v>0</v>
      </c>
      <c r="W462" s="272">
        <f>Cu!G464</f>
        <v>0</v>
      </c>
      <c r="X462" s="272">
        <f>Mn!G464</f>
        <v>0</v>
      </c>
      <c r="Y462" s="272">
        <f>Fe!G464</f>
        <v>0</v>
      </c>
      <c r="Z462" s="274">
        <f>M.O!H464</f>
        <v>0</v>
      </c>
      <c r="AA462" s="272" t="e">
        <f t="shared" si="46"/>
        <v>#DIV/0!</v>
      </c>
      <c r="AB462" s="272" t="e">
        <f t="shared" si="47"/>
        <v>#DIV/0!</v>
      </c>
      <c r="AC462" s="272" t="e">
        <f t="shared" si="48"/>
        <v>#DIV/0!</v>
      </c>
    </row>
    <row r="463" spans="1:29" x14ac:dyDescent="0.2">
      <c r="A463" s="106">
        <f>Cadastro!A467</f>
        <v>0</v>
      </c>
      <c r="B463" s="27">
        <f>Cadastro!E465</f>
        <v>0</v>
      </c>
      <c r="C463">
        <f>pH_água!C463</f>
        <v>0</v>
      </c>
      <c r="D463">
        <f>pH_KCl!B464</f>
        <v>0</v>
      </c>
      <c r="E463">
        <f>'pH CaCl2'!C463</f>
        <v>0</v>
      </c>
      <c r="F463" s="104">
        <f>P_Mehlich1!H448</f>
        <v>0</v>
      </c>
      <c r="G463" s="123">
        <f>P_resina!H468</f>
        <v>0</v>
      </c>
      <c r="H463" s="272">
        <f>K!G433</f>
        <v>0</v>
      </c>
      <c r="I463" s="125">
        <v>0</v>
      </c>
      <c r="J463" s="272">
        <f>'Ca2+'!G464</f>
        <v>0</v>
      </c>
      <c r="K463" s="272">
        <f>Mg²!G466</f>
        <v>0</v>
      </c>
      <c r="L463" s="279">
        <f>Al³!C465</f>
        <v>0</v>
      </c>
      <c r="M463" s="279">
        <f>'H + Al'!D465</f>
        <v>0</v>
      </c>
      <c r="N463" s="272">
        <f t="shared" si="41"/>
        <v>0</v>
      </c>
      <c r="O463" s="272">
        <f t="shared" si="42"/>
        <v>0</v>
      </c>
      <c r="P463" s="272">
        <f t="shared" si="43"/>
        <v>0</v>
      </c>
      <c r="Q463" s="293" t="e">
        <f t="shared" si="44"/>
        <v>#DIV/0!</v>
      </c>
      <c r="R463" s="293" t="e">
        <f t="shared" si="45"/>
        <v>#DIV/0!</v>
      </c>
      <c r="S463">
        <f>Prem!H465</f>
        <v>0</v>
      </c>
      <c r="T463" s="281">
        <f>S!H469</f>
        <v>0</v>
      </c>
      <c r="U463" s="274">
        <f>B!H464</f>
        <v>0</v>
      </c>
      <c r="V463" s="272">
        <f>Zn!G465</f>
        <v>0</v>
      </c>
      <c r="W463" s="272">
        <f>Cu!G465</f>
        <v>0</v>
      </c>
      <c r="X463" s="272">
        <f>Mn!G465</f>
        <v>0</v>
      </c>
      <c r="Y463" s="272">
        <f>Fe!G465</f>
        <v>0</v>
      </c>
      <c r="Z463" s="274">
        <f>M.O!H465</f>
        <v>0</v>
      </c>
      <c r="AA463" s="272" t="e">
        <f t="shared" si="46"/>
        <v>#DIV/0!</v>
      </c>
      <c r="AB463" s="272" t="e">
        <f t="shared" si="47"/>
        <v>#DIV/0!</v>
      </c>
      <c r="AC463" s="272" t="e">
        <f t="shared" si="48"/>
        <v>#DIV/0!</v>
      </c>
    </row>
    <row r="464" spans="1:29" x14ac:dyDescent="0.2">
      <c r="A464" s="106">
        <f>Cadastro!A468</f>
        <v>0</v>
      </c>
      <c r="B464" s="27">
        <f>Cadastro!E466</f>
        <v>0</v>
      </c>
      <c r="C464">
        <f>pH_água!C464</f>
        <v>0</v>
      </c>
      <c r="D464">
        <f>pH_KCl!B465</f>
        <v>0</v>
      </c>
      <c r="E464">
        <f>'pH CaCl2'!C464</f>
        <v>0</v>
      </c>
      <c r="F464" s="104">
        <f>P_Mehlich1!H449</f>
        <v>0</v>
      </c>
      <c r="G464" s="123">
        <f>P_resina!H469</f>
        <v>0</v>
      </c>
      <c r="H464" s="272">
        <f>K!G434</f>
        <v>0</v>
      </c>
      <c r="I464" s="125">
        <v>0</v>
      </c>
      <c r="J464" s="272">
        <f>'Ca2+'!G465</f>
        <v>0</v>
      </c>
      <c r="K464" s="272">
        <f>Mg²!G467</f>
        <v>0</v>
      </c>
      <c r="L464" s="279">
        <f>Al³!C466</f>
        <v>0</v>
      </c>
      <c r="M464" s="279">
        <f>'H + Al'!D466</f>
        <v>0</v>
      </c>
      <c r="N464" s="272">
        <f t="shared" si="41"/>
        <v>0</v>
      </c>
      <c r="O464" s="272">
        <f t="shared" si="42"/>
        <v>0</v>
      </c>
      <c r="P464" s="272">
        <f t="shared" si="43"/>
        <v>0</v>
      </c>
      <c r="Q464" s="293" t="e">
        <f t="shared" si="44"/>
        <v>#DIV/0!</v>
      </c>
      <c r="R464" s="293" t="e">
        <f t="shared" si="45"/>
        <v>#DIV/0!</v>
      </c>
      <c r="S464">
        <f>Prem!H466</f>
        <v>0</v>
      </c>
      <c r="T464" s="281">
        <f>S!H470</f>
        <v>0</v>
      </c>
      <c r="U464" s="274">
        <f>B!H465</f>
        <v>0</v>
      </c>
      <c r="V464" s="272">
        <f>Zn!G466</f>
        <v>0</v>
      </c>
      <c r="W464" s="272">
        <f>Cu!G466</f>
        <v>0</v>
      </c>
      <c r="X464" s="272">
        <f>Mn!G466</f>
        <v>0</v>
      </c>
      <c r="Y464" s="272">
        <f>Fe!G466</f>
        <v>0</v>
      </c>
      <c r="Z464" s="274">
        <f>M.O!H466</f>
        <v>0</v>
      </c>
      <c r="AA464" s="272" t="e">
        <f t="shared" si="46"/>
        <v>#DIV/0!</v>
      </c>
      <c r="AB464" s="272" t="e">
        <f t="shared" si="47"/>
        <v>#DIV/0!</v>
      </c>
      <c r="AC464" s="272" t="e">
        <f t="shared" si="48"/>
        <v>#DIV/0!</v>
      </c>
    </row>
    <row r="465" spans="1:29" x14ac:dyDescent="0.2">
      <c r="A465" s="106">
        <f>Cadastro!A469</f>
        <v>0</v>
      </c>
      <c r="B465" s="27">
        <f>Cadastro!E467</f>
        <v>0</v>
      </c>
      <c r="C465">
        <f>pH_água!C465</f>
        <v>0</v>
      </c>
      <c r="D465">
        <f>pH_KCl!B466</f>
        <v>0</v>
      </c>
      <c r="E465">
        <f>'pH CaCl2'!C465</f>
        <v>0</v>
      </c>
      <c r="F465" s="104">
        <f>P_Mehlich1!H450</f>
        <v>0</v>
      </c>
      <c r="G465" s="123">
        <f>P_resina!H470</f>
        <v>0</v>
      </c>
      <c r="H465" s="272">
        <f>K!G435</f>
        <v>0</v>
      </c>
      <c r="I465" s="125">
        <v>0</v>
      </c>
      <c r="J465" s="272">
        <f>'Ca2+'!G466</f>
        <v>0</v>
      </c>
      <c r="K465" s="272">
        <f>Mg²!G468</f>
        <v>0</v>
      </c>
      <c r="L465" s="279">
        <f>Al³!C467</f>
        <v>0</v>
      </c>
      <c r="M465" s="279">
        <f>'H + Al'!D467</f>
        <v>0</v>
      </c>
      <c r="N465" s="272">
        <f t="shared" si="41"/>
        <v>0</v>
      </c>
      <c r="O465" s="272">
        <f t="shared" si="42"/>
        <v>0</v>
      </c>
      <c r="P465" s="272">
        <f t="shared" si="43"/>
        <v>0</v>
      </c>
      <c r="Q465" s="293" t="e">
        <f t="shared" si="44"/>
        <v>#DIV/0!</v>
      </c>
      <c r="R465" s="293" t="e">
        <f t="shared" si="45"/>
        <v>#DIV/0!</v>
      </c>
      <c r="S465">
        <f>Prem!H467</f>
        <v>0</v>
      </c>
      <c r="T465" s="281">
        <f>S!H471</f>
        <v>0</v>
      </c>
      <c r="U465" s="274">
        <f>B!H466</f>
        <v>0</v>
      </c>
      <c r="V465" s="272">
        <f>Zn!G467</f>
        <v>0</v>
      </c>
      <c r="W465" s="272">
        <f>Cu!G467</f>
        <v>0</v>
      </c>
      <c r="X465" s="272">
        <f>Mn!G467</f>
        <v>0</v>
      </c>
      <c r="Y465" s="272">
        <f>Fe!G467</f>
        <v>0</v>
      </c>
      <c r="Z465" s="274">
        <f>M.O!H467</f>
        <v>0</v>
      </c>
      <c r="AA465" s="272" t="e">
        <f t="shared" si="46"/>
        <v>#DIV/0!</v>
      </c>
      <c r="AB465" s="272" t="e">
        <f t="shared" si="47"/>
        <v>#DIV/0!</v>
      </c>
      <c r="AC465" s="272" t="e">
        <f t="shared" si="48"/>
        <v>#DIV/0!</v>
      </c>
    </row>
    <row r="466" spans="1:29" x14ac:dyDescent="0.2">
      <c r="A466" s="106">
        <f>Cadastro!A470</f>
        <v>0</v>
      </c>
      <c r="B466" s="27">
        <f>Cadastro!E468</f>
        <v>0</v>
      </c>
      <c r="C466">
        <f>pH_água!C466</f>
        <v>0</v>
      </c>
      <c r="D466">
        <f>pH_KCl!B467</f>
        <v>0</v>
      </c>
      <c r="E466">
        <f>'pH CaCl2'!C466</f>
        <v>0</v>
      </c>
      <c r="F466" s="104">
        <f>P_Mehlich1!H451</f>
        <v>0</v>
      </c>
      <c r="G466" s="123">
        <f>P_resina!H471</f>
        <v>0</v>
      </c>
      <c r="H466" s="272">
        <f>K!G436</f>
        <v>0</v>
      </c>
      <c r="I466" s="125">
        <v>0</v>
      </c>
      <c r="J466" s="272">
        <f>'Ca2+'!G467</f>
        <v>0</v>
      </c>
      <c r="K466" s="272">
        <f>Mg²!G469</f>
        <v>0</v>
      </c>
      <c r="L466" s="279">
        <f>Al³!C468</f>
        <v>0</v>
      </c>
      <c r="M466" s="279">
        <f>'H + Al'!D468</f>
        <v>0</v>
      </c>
      <c r="N466" s="272">
        <f t="shared" si="41"/>
        <v>0</v>
      </c>
      <c r="O466" s="272">
        <f t="shared" si="42"/>
        <v>0</v>
      </c>
      <c r="P466" s="272">
        <f t="shared" si="43"/>
        <v>0</v>
      </c>
      <c r="Q466" s="293" t="e">
        <f t="shared" si="44"/>
        <v>#DIV/0!</v>
      </c>
      <c r="R466" s="293" t="e">
        <f t="shared" si="45"/>
        <v>#DIV/0!</v>
      </c>
      <c r="S466">
        <f>Prem!H468</f>
        <v>0</v>
      </c>
      <c r="T466" s="281">
        <f>S!H472</f>
        <v>0</v>
      </c>
      <c r="U466" s="274">
        <f>B!H467</f>
        <v>0</v>
      </c>
      <c r="V466" s="272">
        <f>Zn!G468</f>
        <v>0</v>
      </c>
      <c r="W466" s="272">
        <f>Cu!G468</f>
        <v>0</v>
      </c>
      <c r="X466" s="272">
        <f>Mn!G468</f>
        <v>0</v>
      </c>
      <c r="Y466" s="272">
        <f>Fe!G468</f>
        <v>0</v>
      </c>
      <c r="Z466" s="274">
        <f>M.O!H468</f>
        <v>0</v>
      </c>
      <c r="AA466" s="272" t="e">
        <f t="shared" si="46"/>
        <v>#DIV/0!</v>
      </c>
      <c r="AB466" s="272" t="e">
        <f t="shared" si="47"/>
        <v>#DIV/0!</v>
      </c>
      <c r="AC466" s="272" t="e">
        <f t="shared" si="48"/>
        <v>#DIV/0!</v>
      </c>
    </row>
    <row r="467" spans="1:29" x14ac:dyDescent="0.2">
      <c r="A467" s="106">
        <f>Cadastro!A471</f>
        <v>0</v>
      </c>
      <c r="B467" s="27">
        <f>Cadastro!E469</f>
        <v>0</v>
      </c>
      <c r="C467">
        <f>pH_água!C467</f>
        <v>0</v>
      </c>
      <c r="D467">
        <f>pH_KCl!B468</f>
        <v>0</v>
      </c>
      <c r="E467">
        <f>'pH CaCl2'!C467</f>
        <v>0</v>
      </c>
      <c r="F467" s="104">
        <f>P_Mehlich1!H452</f>
        <v>0</v>
      </c>
      <c r="G467" s="123">
        <f>P_resina!H472</f>
        <v>0</v>
      </c>
      <c r="H467" s="272">
        <f>K!G437</f>
        <v>0</v>
      </c>
      <c r="I467" s="125">
        <v>0</v>
      </c>
      <c r="J467" s="272">
        <f>'Ca2+'!G468</f>
        <v>0</v>
      </c>
      <c r="K467" s="272">
        <f>Mg²!G470</f>
        <v>0</v>
      </c>
      <c r="L467" s="279">
        <f>Al³!C469</f>
        <v>0</v>
      </c>
      <c r="M467" s="279">
        <f>'H + Al'!D469</f>
        <v>0</v>
      </c>
      <c r="N467" s="272">
        <f t="shared" si="41"/>
        <v>0</v>
      </c>
      <c r="O467" s="272">
        <f t="shared" si="42"/>
        <v>0</v>
      </c>
      <c r="P467" s="272">
        <f t="shared" si="43"/>
        <v>0</v>
      </c>
      <c r="Q467" s="293" t="e">
        <f t="shared" si="44"/>
        <v>#DIV/0!</v>
      </c>
      <c r="R467" s="293" t="e">
        <f t="shared" si="45"/>
        <v>#DIV/0!</v>
      </c>
      <c r="S467">
        <f>Prem!H469</f>
        <v>0</v>
      </c>
      <c r="T467" s="281">
        <f>S!H473</f>
        <v>0</v>
      </c>
      <c r="U467" s="274">
        <f>B!H468</f>
        <v>0</v>
      </c>
      <c r="V467" s="272">
        <f>Zn!G469</f>
        <v>0</v>
      </c>
      <c r="W467" s="272">
        <f>Cu!G469</f>
        <v>0</v>
      </c>
      <c r="X467" s="272">
        <f>Mn!G469</f>
        <v>0</v>
      </c>
      <c r="Y467" s="272">
        <f>Fe!G469</f>
        <v>0</v>
      </c>
      <c r="Z467" s="274">
        <f>M.O!H469</f>
        <v>0</v>
      </c>
      <c r="AA467" s="272" t="e">
        <f t="shared" si="46"/>
        <v>#DIV/0!</v>
      </c>
      <c r="AB467" s="272" t="e">
        <f t="shared" si="47"/>
        <v>#DIV/0!</v>
      </c>
      <c r="AC467" s="272" t="e">
        <f t="shared" si="48"/>
        <v>#DIV/0!</v>
      </c>
    </row>
    <row r="468" spans="1:29" x14ac:dyDescent="0.2">
      <c r="A468" s="106">
        <f>Cadastro!A472</f>
        <v>0</v>
      </c>
      <c r="B468" s="27">
        <f>Cadastro!E470</f>
        <v>0</v>
      </c>
      <c r="C468">
        <f>pH_água!C468</f>
        <v>0</v>
      </c>
      <c r="D468">
        <f>pH_KCl!B469</f>
        <v>0</v>
      </c>
      <c r="E468">
        <f>'pH CaCl2'!C468</f>
        <v>0</v>
      </c>
      <c r="F468" s="104">
        <f>P_Mehlich1!H453</f>
        <v>0</v>
      </c>
      <c r="G468" s="123">
        <f>P_resina!H473</f>
        <v>0</v>
      </c>
      <c r="H468" s="272">
        <f>K!G438</f>
        <v>0</v>
      </c>
      <c r="I468" s="125">
        <v>0</v>
      </c>
      <c r="J468" s="272">
        <f>'Ca2+'!G469</f>
        <v>0</v>
      </c>
      <c r="K468" s="272">
        <f>Mg²!G471</f>
        <v>0</v>
      </c>
      <c r="L468" s="279">
        <f>Al³!C470</f>
        <v>0</v>
      </c>
      <c r="M468" s="279">
        <f>'H + Al'!D470</f>
        <v>0</v>
      </c>
      <c r="N468" s="272">
        <f t="shared" si="41"/>
        <v>0</v>
      </c>
      <c r="O468" s="272">
        <f t="shared" si="42"/>
        <v>0</v>
      </c>
      <c r="P468" s="272">
        <f t="shared" si="43"/>
        <v>0</v>
      </c>
      <c r="Q468" s="293" t="e">
        <f t="shared" si="44"/>
        <v>#DIV/0!</v>
      </c>
      <c r="R468" s="293" t="e">
        <f t="shared" si="45"/>
        <v>#DIV/0!</v>
      </c>
      <c r="S468">
        <f>Prem!H470</f>
        <v>0</v>
      </c>
      <c r="T468" s="281">
        <f>S!H474</f>
        <v>0</v>
      </c>
      <c r="U468" s="274">
        <f>B!H469</f>
        <v>0</v>
      </c>
      <c r="V468" s="272">
        <f>Zn!G470</f>
        <v>0</v>
      </c>
      <c r="W468" s="272">
        <f>Cu!G470</f>
        <v>0</v>
      </c>
      <c r="X468" s="272">
        <f>Mn!G470</f>
        <v>0</v>
      </c>
      <c r="Y468" s="272">
        <f>Fe!G470</f>
        <v>0</v>
      </c>
      <c r="Z468" s="274">
        <f>M.O!H470</f>
        <v>0</v>
      </c>
      <c r="AA468" s="272" t="e">
        <f t="shared" si="46"/>
        <v>#DIV/0!</v>
      </c>
      <c r="AB468" s="272" t="e">
        <f t="shared" si="47"/>
        <v>#DIV/0!</v>
      </c>
      <c r="AC468" s="272" t="e">
        <f t="shared" si="48"/>
        <v>#DIV/0!</v>
      </c>
    </row>
    <row r="469" spans="1:29" x14ac:dyDescent="0.2">
      <c r="A469" s="106">
        <f>Cadastro!A473</f>
        <v>0</v>
      </c>
      <c r="B469" s="27">
        <f>Cadastro!E471</f>
        <v>0</v>
      </c>
      <c r="C469">
        <f>pH_água!C469</f>
        <v>0</v>
      </c>
      <c r="D469">
        <f>pH_KCl!B470</f>
        <v>0</v>
      </c>
      <c r="E469">
        <f>'pH CaCl2'!C469</f>
        <v>0</v>
      </c>
      <c r="F469" s="104">
        <f>P_Mehlich1!H454</f>
        <v>0</v>
      </c>
      <c r="G469" s="123">
        <f>P_resina!H474</f>
        <v>0</v>
      </c>
      <c r="H469" s="272">
        <f>K!G439</f>
        <v>0</v>
      </c>
      <c r="I469" s="125">
        <v>0</v>
      </c>
      <c r="J469" s="272">
        <f>'Ca2+'!G470</f>
        <v>0</v>
      </c>
      <c r="K469" s="272">
        <f>Mg²!G472</f>
        <v>0</v>
      </c>
      <c r="L469" s="279">
        <f>Al³!C471</f>
        <v>0</v>
      </c>
      <c r="M469" s="279">
        <f>'H + Al'!D471</f>
        <v>0</v>
      </c>
      <c r="N469" s="272">
        <f t="shared" si="41"/>
        <v>0</v>
      </c>
      <c r="O469" s="272">
        <f t="shared" si="42"/>
        <v>0</v>
      </c>
      <c r="P469" s="272">
        <f t="shared" si="43"/>
        <v>0</v>
      </c>
      <c r="Q469" s="293" t="e">
        <f t="shared" si="44"/>
        <v>#DIV/0!</v>
      </c>
      <c r="R469" s="293" t="e">
        <f t="shared" si="45"/>
        <v>#DIV/0!</v>
      </c>
      <c r="S469">
        <f>Prem!H471</f>
        <v>0</v>
      </c>
      <c r="T469" s="281">
        <f>S!H475</f>
        <v>0</v>
      </c>
      <c r="U469" s="274">
        <f>B!H470</f>
        <v>0</v>
      </c>
      <c r="V469" s="272">
        <f>Zn!G471</f>
        <v>0</v>
      </c>
      <c r="W469" s="272">
        <f>Cu!G471</f>
        <v>0</v>
      </c>
      <c r="X469" s="272">
        <f>Mn!G471</f>
        <v>0</v>
      </c>
      <c r="Y469" s="272">
        <f>Fe!G471</f>
        <v>0</v>
      </c>
      <c r="Z469" s="274">
        <f>M.O!H471</f>
        <v>0</v>
      </c>
      <c r="AA469" s="272" t="e">
        <f t="shared" si="46"/>
        <v>#DIV/0!</v>
      </c>
      <c r="AB469" s="272" t="e">
        <f t="shared" si="47"/>
        <v>#DIV/0!</v>
      </c>
      <c r="AC469" s="272" t="e">
        <f t="shared" si="48"/>
        <v>#DIV/0!</v>
      </c>
    </row>
    <row r="470" spans="1:29" x14ac:dyDescent="0.2">
      <c r="A470" s="106">
        <f>Cadastro!A474</f>
        <v>0</v>
      </c>
      <c r="B470" s="27">
        <f>Cadastro!E472</f>
        <v>0</v>
      </c>
      <c r="C470">
        <f>pH_água!C470</f>
        <v>0</v>
      </c>
      <c r="D470">
        <f>pH_KCl!B471</f>
        <v>0</v>
      </c>
      <c r="E470">
        <f>'pH CaCl2'!C470</f>
        <v>0</v>
      </c>
      <c r="F470" s="104">
        <f>P_Mehlich1!H455</f>
        <v>0</v>
      </c>
      <c r="G470" s="123">
        <f>P_resina!H475</f>
        <v>0</v>
      </c>
      <c r="H470" s="272">
        <f>K!G440</f>
        <v>0</v>
      </c>
      <c r="I470" s="125">
        <v>0</v>
      </c>
      <c r="J470" s="272">
        <f>'Ca2+'!G471</f>
        <v>0</v>
      </c>
      <c r="K470" s="272">
        <f>Mg²!G473</f>
        <v>0</v>
      </c>
      <c r="L470" s="279">
        <f>Al³!C472</f>
        <v>0</v>
      </c>
      <c r="M470" s="279">
        <f>'H + Al'!D472</f>
        <v>0</v>
      </c>
      <c r="N470" s="272">
        <f t="shared" si="41"/>
        <v>0</v>
      </c>
      <c r="O470" s="272">
        <f t="shared" si="42"/>
        <v>0</v>
      </c>
      <c r="P470" s="272">
        <f t="shared" si="43"/>
        <v>0</v>
      </c>
      <c r="Q470" s="293" t="e">
        <f t="shared" si="44"/>
        <v>#DIV/0!</v>
      </c>
      <c r="R470" s="293" t="e">
        <f t="shared" si="45"/>
        <v>#DIV/0!</v>
      </c>
      <c r="S470">
        <f>Prem!H472</f>
        <v>0</v>
      </c>
      <c r="T470" s="281">
        <f>S!H476</f>
        <v>0</v>
      </c>
      <c r="U470" s="274">
        <f>B!H471</f>
        <v>0</v>
      </c>
      <c r="V470" s="272">
        <f>Zn!G472</f>
        <v>0</v>
      </c>
      <c r="W470" s="272">
        <f>Cu!G472</f>
        <v>0</v>
      </c>
      <c r="X470" s="272">
        <f>Mn!G472</f>
        <v>0</v>
      </c>
      <c r="Y470" s="272">
        <f>Fe!G472</f>
        <v>0</v>
      </c>
      <c r="Z470" s="274">
        <f>M.O!H472</f>
        <v>0</v>
      </c>
      <c r="AA470" s="272" t="e">
        <f t="shared" si="46"/>
        <v>#DIV/0!</v>
      </c>
      <c r="AB470" s="272" t="e">
        <f t="shared" si="47"/>
        <v>#DIV/0!</v>
      </c>
      <c r="AC470" s="272" t="e">
        <f t="shared" si="48"/>
        <v>#DIV/0!</v>
      </c>
    </row>
    <row r="471" spans="1:29" x14ac:dyDescent="0.2">
      <c r="A471" s="106">
        <f>Cadastro!A475</f>
        <v>0</v>
      </c>
      <c r="B471" s="27">
        <f>Cadastro!E473</f>
        <v>0</v>
      </c>
      <c r="C471">
        <f>pH_água!C471</f>
        <v>0</v>
      </c>
      <c r="D471">
        <f>pH_KCl!B472</f>
        <v>0</v>
      </c>
      <c r="E471">
        <f>'pH CaCl2'!C471</f>
        <v>0</v>
      </c>
      <c r="F471" s="104">
        <f>P_Mehlich1!H456</f>
        <v>0</v>
      </c>
      <c r="G471" s="123">
        <f>P_resina!H476</f>
        <v>0</v>
      </c>
      <c r="H471" s="272">
        <f>K!G441</f>
        <v>0</v>
      </c>
      <c r="I471" s="125">
        <v>0</v>
      </c>
      <c r="J471" s="272">
        <f>'Ca2+'!G472</f>
        <v>0</v>
      </c>
      <c r="K471" s="272">
        <f>Mg²!G474</f>
        <v>0</v>
      </c>
      <c r="L471" s="279">
        <f>Al³!C473</f>
        <v>0</v>
      </c>
      <c r="M471" s="279">
        <f>'H + Al'!D473</f>
        <v>0</v>
      </c>
      <c r="N471" s="272">
        <f t="shared" si="41"/>
        <v>0</v>
      </c>
      <c r="O471" s="272">
        <f t="shared" si="42"/>
        <v>0</v>
      </c>
      <c r="P471" s="272">
        <f t="shared" si="43"/>
        <v>0</v>
      </c>
      <c r="Q471" s="293" t="e">
        <f t="shared" si="44"/>
        <v>#DIV/0!</v>
      </c>
      <c r="R471" s="293" t="e">
        <f t="shared" si="45"/>
        <v>#DIV/0!</v>
      </c>
      <c r="S471">
        <f>Prem!H473</f>
        <v>0</v>
      </c>
      <c r="T471" s="281">
        <f>S!H477</f>
        <v>0</v>
      </c>
      <c r="U471" s="274">
        <f>B!H472</f>
        <v>0</v>
      </c>
      <c r="V471" s="272">
        <f>Zn!G473</f>
        <v>0</v>
      </c>
      <c r="W471" s="272">
        <f>Cu!G473</f>
        <v>0</v>
      </c>
      <c r="X471" s="272">
        <f>Mn!G473</f>
        <v>0</v>
      </c>
      <c r="Y471" s="272">
        <f>Fe!G473</f>
        <v>0</v>
      </c>
      <c r="Z471" s="274">
        <f>M.O!H473</f>
        <v>0</v>
      </c>
      <c r="AA471" s="272" t="e">
        <f t="shared" si="46"/>
        <v>#DIV/0!</v>
      </c>
      <c r="AB471" s="272" t="e">
        <f t="shared" si="47"/>
        <v>#DIV/0!</v>
      </c>
      <c r="AC471" s="272" t="e">
        <f t="shared" si="48"/>
        <v>#DIV/0!</v>
      </c>
    </row>
    <row r="472" spans="1:29" x14ac:dyDescent="0.2">
      <c r="A472" s="106">
        <f>Cadastro!A476</f>
        <v>0</v>
      </c>
      <c r="B472" s="27">
        <f>Cadastro!E474</f>
        <v>0</v>
      </c>
      <c r="C472">
        <f>pH_água!C472</f>
        <v>0</v>
      </c>
      <c r="D472">
        <f>pH_KCl!B473</f>
        <v>0</v>
      </c>
      <c r="E472">
        <f>'pH CaCl2'!C472</f>
        <v>0</v>
      </c>
      <c r="F472" s="104">
        <f>P_Mehlich1!H457</f>
        <v>0</v>
      </c>
      <c r="G472" s="123">
        <f>P_resina!H477</f>
        <v>0</v>
      </c>
      <c r="H472" s="272">
        <f>K!G442</f>
        <v>0</v>
      </c>
      <c r="I472" s="125">
        <v>0</v>
      </c>
      <c r="J472" s="272">
        <f>'Ca2+'!G473</f>
        <v>0</v>
      </c>
      <c r="K472" s="272">
        <f>Mg²!G475</f>
        <v>0</v>
      </c>
      <c r="L472" s="279">
        <f>Al³!C474</f>
        <v>0</v>
      </c>
      <c r="M472" s="279">
        <f>'H + Al'!D474</f>
        <v>0</v>
      </c>
      <c r="N472" s="272">
        <f t="shared" si="41"/>
        <v>0</v>
      </c>
      <c r="O472" s="272">
        <f t="shared" si="42"/>
        <v>0</v>
      </c>
      <c r="P472" s="272">
        <f t="shared" si="43"/>
        <v>0</v>
      </c>
      <c r="Q472" s="293" t="e">
        <f t="shared" si="44"/>
        <v>#DIV/0!</v>
      </c>
      <c r="R472" s="293" t="e">
        <f t="shared" si="45"/>
        <v>#DIV/0!</v>
      </c>
      <c r="S472">
        <f>Prem!H474</f>
        <v>0</v>
      </c>
      <c r="T472" s="281">
        <f>S!H478</f>
        <v>0</v>
      </c>
      <c r="U472" s="274">
        <f>B!H473</f>
        <v>0</v>
      </c>
      <c r="V472" s="272">
        <f>Zn!G474</f>
        <v>0</v>
      </c>
      <c r="W472" s="272">
        <f>Cu!G474</f>
        <v>0</v>
      </c>
      <c r="X472" s="272">
        <f>Mn!G474</f>
        <v>0</v>
      </c>
      <c r="Y472" s="272">
        <f>Fe!G474</f>
        <v>0</v>
      </c>
      <c r="Z472" s="274">
        <f>M.O!H474</f>
        <v>0</v>
      </c>
      <c r="AA472" s="272" t="e">
        <f t="shared" si="46"/>
        <v>#DIV/0!</v>
      </c>
      <c r="AB472" s="272" t="e">
        <f t="shared" si="47"/>
        <v>#DIV/0!</v>
      </c>
      <c r="AC472" s="272" t="e">
        <f t="shared" si="48"/>
        <v>#DIV/0!</v>
      </c>
    </row>
    <row r="473" spans="1:29" x14ac:dyDescent="0.2">
      <c r="A473" s="106">
        <f>Cadastro!A477</f>
        <v>0</v>
      </c>
      <c r="B473" s="27">
        <f>Cadastro!E475</f>
        <v>0</v>
      </c>
      <c r="C473">
        <f>pH_água!C473</f>
        <v>0</v>
      </c>
      <c r="D473">
        <f>pH_KCl!B474</f>
        <v>0</v>
      </c>
      <c r="E473">
        <f>'pH CaCl2'!C473</f>
        <v>0</v>
      </c>
      <c r="F473" s="104">
        <f>P_Mehlich1!H458</f>
        <v>0</v>
      </c>
      <c r="G473" s="123">
        <f>P_resina!H478</f>
        <v>0</v>
      </c>
      <c r="H473" s="272">
        <f>K!G443</f>
        <v>0</v>
      </c>
      <c r="I473" s="125">
        <v>0</v>
      </c>
      <c r="J473" s="272">
        <f>'Ca2+'!G474</f>
        <v>0</v>
      </c>
      <c r="K473" s="272">
        <f>Mg²!G476</f>
        <v>0</v>
      </c>
      <c r="L473" s="279">
        <f>Al³!C475</f>
        <v>0</v>
      </c>
      <c r="M473" s="279">
        <f>'H + Al'!D475</f>
        <v>0</v>
      </c>
      <c r="N473" s="272">
        <f t="shared" si="41"/>
        <v>0</v>
      </c>
      <c r="O473" s="272">
        <f t="shared" si="42"/>
        <v>0</v>
      </c>
      <c r="P473" s="272">
        <f t="shared" si="43"/>
        <v>0</v>
      </c>
      <c r="Q473" s="293" t="e">
        <f t="shared" si="44"/>
        <v>#DIV/0!</v>
      </c>
      <c r="R473" s="293" t="e">
        <f t="shared" si="45"/>
        <v>#DIV/0!</v>
      </c>
      <c r="S473">
        <f>Prem!H475</f>
        <v>0</v>
      </c>
      <c r="T473" s="281">
        <f>S!H479</f>
        <v>0</v>
      </c>
      <c r="U473" s="274">
        <f>B!H474</f>
        <v>0</v>
      </c>
      <c r="V473" s="272">
        <f>Zn!G475</f>
        <v>0</v>
      </c>
      <c r="W473" s="272">
        <f>Cu!G475</f>
        <v>0</v>
      </c>
      <c r="X473" s="272">
        <f>Mn!G475</f>
        <v>0</v>
      </c>
      <c r="Y473" s="272">
        <f>Fe!G475</f>
        <v>0</v>
      </c>
      <c r="Z473" s="274">
        <f>M.O!H475</f>
        <v>0</v>
      </c>
      <c r="AA473" s="272" t="e">
        <f t="shared" si="46"/>
        <v>#DIV/0!</v>
      </c>
      <c r="AB473" s="272" t="e">
        <f t="shared" si="47"/>
        <v>#DIV/0!</v>
      </c>
      <c r="AC473" s="272" t="e">
        <f t="shared" si="48"/>
        <v>#DIV/0!</v>
      </c>
    </row>
    <row r="474" spans="1:29" x14ac:dyDescent="0.2">
      <c r="A474" s="106">
        <f>Cadastro!A478</f>
        <v>0</v>
      </c>
      <c r="B474" s="27">
        <f>Cadastro!E476</f>
        <v>0</v>
      </c>
      <c r="C474">
        <f>pH_água!C474</f>
        <v>0</v>
      </c>
      <c r="D474">
        <f>pH_KCl!B475</f>
        <v>0</v>
      </c>
      <c r="E474">
        <f>'pH CaCl2'!C474</f>
        <v>0</v>
      </c>
      <c r="F474" s="104">
        <f>P_Mehlich1!H459</f>
        <v>0</v>
      </c>
      <c r="G474" s="123">
        <f>P_resina!H479</f>
        <v>0</v>
      </c>
      <c r="H474" s="272">
        <f>K!G444</f>
        <v>0</v>
      </c>
      <c r="I474" s="125">
        <v>0</v>
      </c>
      <c r="J474" s="272">
        <f>'Ca2+'!G475</f>
        <v>0</v>
      </c>
      <c r="K474" s="272">
        <f>Mg²!G477</f>
        <v>0</v>
      </c>
      <c r="L474" s="279">
        <f>Al³!C476</f>
        <v>0</v>
      </c>
      <c r="M474" s="279">
        <f>'H + Al'!D476</f>
        <v>0</v>
      </c>
      <c r="N474" s="272">
        <f t="shared" si="41"/>
        <v>0</v>
      </c>
      <c r="O474" s="272">
        <f t="shared" si="42"/>
        <v>0</v>
      </c>
      <c r="P474" s="272">
        <f t="shared" si="43"/>
        <v>0</v>
      </c>
      <c r="Q474" s="293" t="e">
        <f t="shared" si="44"/>
        <v>#DIV/0!</v>
      </c>
      <c r="R474" s="293" t="e">
        <f t="shared" si="45"/>
        <v>#DIV/0!</v>
      </c>
      <c r="S474">
        <f>Prem!H476</f>
        <v>0</v>
      </c>
      <c r="T474" s="281">
        <f>S!H480</f>
        <v>0</v>
      </c>
      <c r="U474" s="274">
        <f>B!H475</f>
        <v>0</v>
      </c>
      <c r="V474" s="272">
        <f>Zn!G476</f>
        <v>0</v>
      </c>
      <c r="W474" s="272">
        <f>Cu!G476</f>
        <v>0</v>
      </c>
      <c r="X474" s="272">
        <f>Mn!G476</f>
        <v>0</v>
      </c>
      <c r="Y474" s="272">
        <f>Fe!G476</f>
        <v>0</v>
      </c>
      <c r="Z474" s="274">
        <f>M.O!H476</f>
        <v>0</v>
      </c>
      <c r="AA474" s="272" t="e">
        <f t="shared" si="46"/>
        <v>#DIV/0!</v>
      </c>
      <c r="AB474" s="272" t="e">
        <f t="shared" si="47"/>
        <v>#DIV/0!</v>
      </c>
      <c r="AC474" s="272" t="e">
        <f t="shared" si="48"/>
        <v>#DIV/0!</v>
      </c>
    </row>
    <row r="475" spans="1:29" x14ac:dyDescent="0.2">
      <c r="A475" s="106">
        <f>Cadastro!A479</f>
        <v>0</v>
      </c>
      <c r="B475" s="27">
        <f>Cadastro!E477</f>
        <v>0</v>
      </c>
      <c r="C475">
        <f>pH_água!C475</f>
        <v>0</v>
      </c>
      <c r="D475">
        <f>pH_KCl!B476</f>
        <v>0</v>
      </c>
      <c r="E475">
        <f>'pH CaCl2'!C475</f>
        <v>0</v>
      </c>
      <c r="F475" s="104">
        <f>P_Mehlich1!H460</f>
        <v>0</v>
      </c>
      <c r="G475" s="123">
        <f>P_resina!H480</f>
        <v>0</v>
      </c>
      <c r="H475" s="272">
        <f>K!G445</f>
        <v>0</v>
      </c>
      <c r="I475" s="125">
        <v>0</v>
      </c>
      <c r="J475" s="272">
        <f>'Ca2+'!G476</f>
        <v>0</v>
      </c>
      <c r="K475" s="272">
        <f>Mg²!G478</f>
        <v>0</v>
      </c>
      <c r="L475" s="279">
        <f>Al³!C477</f>
        <v>0</v>
      </c>
      <c r="M475" s="279">
        <f>'H + Al'!D477</f>
        <v>0</v>
      </c>
      <c r="N475" s="272">
        <f t="shared" si="41"/>
        <v>0</v>
      </c>
      <c r="O475" s="272">
        <f t="shared" si="42"/>
        <v>0</v>
      </c>
      <c r="P475" s="272">
        <f t="shared" si="43"/>
        <v>0</v>
      </c>
      <c r="Q475" s="293" t="e">
        <f t="shared" si="44"/>
        <v>#DIV/0!</v>
      </c>
      <c r="R475" s="293" t="e">
        <f t="shared" si="45"/>
        <v>#DIV/0!</v>
      </c>
      <c r="S475">
        <f>Prem!H477</f>
        <v>0</v>
      </c>
      <c r="T475" s="281">
        <f>S!H481</f>
        <v>0</v>
      </c>
      <c r="U475" s="274">
        <f>B!H476</f>
        <v>0</v>
      </c>
      <c r="V475" s="272">
        <f>Zn!G477</f>
        <v>0</v>
      </c>
      <c r="W475" s="272">
        <f>Cu!G477</f>
        <v>0</v>
      </c>
      <c r="X475" s="272">
        <f>Mn!G477</f>
        <v>0</v>
      </c>
      <c r="Y475" s="272">
        <f>Fe!G477</f>
        <v>0</v>
      </c>
      <c r="Z475" s="274">
        <f>M.O!H477</f>
        <v>0</v>
      </c>
      <c r="AA475" s="272" t="e">
        <f t="shared" si="46"/>
        <v>#DIV/0!</v>
      </c>
      <c r="AB475" s="272" t="e">
        <f t="shared" si="47"/>
        <v>#DIV/0!</v>
      </c>
      <c r="AC475" s="272" t="e">
        <f t="shared" si="48"/>
        <v>#DIV/0!</v>
      </c>
    </row>
    <row r="476" spans="1:29" x14ac:dyDescent="0.2">
      <c r="A476" s="106">
        <f>Cadastro!A480</f>
        <v>0</v>
      </c>
      <c r="B476" s="27">
        <f>Cadastro!E478</f>
        <v>0</v>
      </c>
      <c r="C476">
        <f>pH_água!C476</f>
        <v>0</v>
      </c>
      <c r="D476">
        <f>pH_KCl!B477</f>
        <v>0</v>
      </c>
      <c r="E476">
        <f>'pH CaCl2'!C476</f>
        <v>0</v>
      </c>
      <c r="F476" s="104">
        <f>P_Mehlich1!H461</f>
        <v>0</v>
      </c>
      <c r="G476" s="123">
        <f>P_resina!H481</f>
        <v>0</v>
      </c>
      <c r="H476" s="272">
        <f>K!G446</f>
        <v>0</v>
      </c>
      <c r="I476" s="125">
        <v>0</v>
      </c>
      <c r="J476" s="272">
        <f>'Ca2+'!G477</f>
        <v>0</v>
      </c>
      <c r="K476" s="272">
        <f>Mg²!G479</f>
        <v>0</v>
      </c>
      <c r="L476" s="279">
        <f>Al³!C478</f>
        <v>0</v>
      </c>
      <c r="M476" s="279">
        <f>'H + Al'!D478</f>
        <v>0</v>
      </c>
      <c r="N476" s="272">
        <f t="shared" si="41"/>
        <v>0</v>
      </c>
      <c r="O476" s="272">
        <f t="shared" si="42"/>
        <v>0</v>
      </c>
      <c r="P476" s="272">
        <f t="shared" si="43"/>
        <v>0</v>
      </c>
      <c r="Q476" s="293" t="e">
        <f t="shared" si="44"/>
        <v>#DIV/0!</v>
      </c>
      <c r="R476" s="293" t="e">
        <f t="shared" si="45"/>
        <v>#DIV/0!</v>
      </c>
      <c r="S476">
        <f>Prem!H478</f>
        <v>0</v>
      </c>
      <c r="T476" s="281">
        <f>S!H482</f>
        <v>0</v>
      </c>
      <c r="U476" s="274">
        <f>B!H477</f>
        <v>0</v>
      </c>
      <c r="V476" s="272">
        <f>Zn!G478</f>
        <v>0</v>
      </c>
      <c r="W476" s="272">
        <f>Cu!G478</f>
        <v>0</v>
      </c>
      <c r="X476" s="272">
        <f>Mn!G478</f>
        <v>0</v>
      </c>
      <c r="Y476" s="272">
        <f>Fe!G478</f>
        <v>0</v>
      </c>
      <c r="Z476" s="274">
        <f>M.O!H478</f>
        <v>0</v>
      </c>
      <c r="AA476" s="272" t="e">
        <f t="shared" si="46"/>
        <v>#DIV/0!</v>
      </c>
      <c r="AB476" s="272" t="e">
        <f t="shared" si="47"/>
        <v>#DIV/0!</v>
      </c>
      <c r="AC476" s="272" t="e">
        <f t="shared" si="48"/>
        <v>#DIV/0!</v>
      </c>
    </row>
    <row r="477" spans="1:29" x14ac:dyDescent="0.2">
      <c r="A477" s="106">
        <f>Cadastro!A481</f>
        <v>0</v>
      </c>
      <c r="B477" s="27">
        <f>Cadastro!E479</f>
        <v>0</v>
      </c>
      <c r="C477">
        <f>pH_água!C477</f>
        <v>0</v>
      </c>
      <c r="D477">
        <f>pH_KCl!B478</f>
        <v>0</v>
      </c>
      <c r="E477">
        <f>'pH CaCl2'!C477</f>
        <v>0</v>
      </c>
      <c r="F477" s="104">
        <f>P_Mehlich1!H462</f>
        <v>0</v>
      </c>
      <c r="G477" s="123">
        <f>P_resina!H482</f>
        <v>0</v>
      </c>
      <c r="H477" s="272">
        <f>K!G447</f>
        <v>0</v>
      </c>
      <c r="I477" s="125">
        <v>0</v>
      </c>
      <c r="J477" s="272">
        <f>'Ca2+'!G478</f>
        <v>0</v>
      </c>
      <c r="K477" s="272">
        <f>Mg²!G480</f>
        <v>0</v>
      </c>
      <c r="L477" s="279">
        <f>Al³!C479</f>
        <v>0</v>
      </c>
      <c r="M477" s="279">
        <f>'H + Al'!D479</f>
        <v>0</v>
      </c>
      <c r="N477" s="272">
        <f t="shared" si="41"/>
        <v>0</v>
      </c>
      <c r="O477" s="272">
        <f t="shared" si="42"/>
        <v>0</v>
      </c>
      <c r="P477" s="272">
        <f t="shared" si="43"/>
        <v>0</v>
      </c>
      <c r="Q477" s="293" t="e">
        <f t="shared" si="44"/>
        <v>#DIV/0!</v>
      </c>
      <c r="R477" s="293" t="e">
        <f t="shared" si="45"/>
        <v>#DIV/0!</v>
      </c>
      <c r="S477">
        <f>Prem!H479</f>
        <v>0</v>
      </c>
      <c r="T477" s="281">
        <f>S!H483</f>
        <v>0</v>
      </c>
      <c r="U477" s="274">
        <f>B!H478</f>
        <v>0</v>
      </c>
      <c r="V477" s="272">
        <f>Zn!G479</f>
        <v>0</v>
      </c>
      <c r="W477" s="272">
        <f>Cu!G479</f>
        <v>0</v>
      </c>
      <c r="X477" s="272">
        <f>Mn!G479</f>
        <v>0</v>
      </c>
      <c r="Y477" s="272">
        <f>Fe!G479</f>
        <v>0</v>
      </c>
      <c r="Z477" s="274">
        <f>M.O!H479</f>
        <v>0</v>
      </c>
      <c r="AA477" s="272" t="e">
        <f t="shared" si="46"/>
        <v>#DIV/0!</v>
      </c>
      <c r="AB477" s="272" t="e">
        <f t="shared" si="47"/>
        <v>#DIV/0!</v>
      </c>
      <c r="AC477" s="272" t="e">
        <f t="shared" si="48"/>
        <v>#DIV/0!</v>
      </c>
    </row>
    <row r="478" spans="1:29" x14ac:dyDescent="0.2">
      <c r="A478" s="106">
        <f>Cadastro!A482</f>
        <v>0</v>
      </c>
      <c r="B478" s="27">
        <f>Cadastro!E480</f>
        <v>0</v>
      </c>
      <c r="C478">
        <f>pH_água!C478</f>
        <v>0</v>
      </c>
      <c r="D478">
        <f>pH_KCl!B479</f>
        <v>0</v>
      </c>
      <c r="E478">
        <f>'pH CaCl2'!C478</f>
        <v>0</v>
      </c>
      <c r="F478" s="104">
        <f>P_Mehlich1!H463</f>
        <v>0</v>
      </c>
      <c r="G478" s="123">
        <f>P_resina!H483</f>
        <v>0</v>
      </c>
      <c r="H478" s="272">
        <f>K!G448</f>
        <v>0</v>
      </c>
      <c r="I478" s="125">
        <v>0</v>
      </c>
      <c r="J478" s="272">
        <f>'Ca2+'!G479</f>
        <v>0</v>
      </c>
      <c r="K478" s="272">
        <f>Mg²!G481</f>
        <v>0</v>
      </c>
      <c r="L478" s="279">
        <f>Al³!C480</f>
        <v>0</v>
      </c>
      <c r="M478" s="279">
        <f>'H + Al'!D480</f>
        <v>0</v>
      </c>
      <c r="N478" s="272">
        <f t="shared" si="41"/>
        <v>0</v>
      </c>
      <c r="O478" s="272">
        <f t="shared" si="42"/>
        <v>0</v>
      </c>
      <c r="P478" s="272">
        <f t="shared" si="43"/>
        <v>0</v>
      </c>
      <c r="Q478" s="293" t="e">
        <f t="shared" si="44"/>
        <v>#DIV/0!</v>
      </c>
      <c r="R478" s="293" t="e">
        <f t="shared" si="45"/>
        <v>#DIV/0!</v>
      </c>
      <c r="S478">
        <f>Prem!H480</f>
        <v>0</v>
      </c>
      <c r="T478" s="281">
        <f>S!H484</f>
        <v>0</v>
      </c>
      <c r="U478" s="274">
        <f>B!H479</f>
        <v>0</v>
      </c>
      <c r="V478" s="272">
        <f>Zn!G480</f>
        <v>0</v>
      </c>
      <c r="W478" s="272">
        <f>Cu!G480</f>
        <v>0</v>
      </c>
      <c r="X478" s="272">
        <f>Mn!G480</f>
        <v>0</v>
      </c>
      <c r="Y478" s="272">
        <f>Fe!G480</f>
        <v>0</v>
      </c>
      <c r="Z478" s="274">
        <f>M.O!H480</f>
        <v>0</v>
      </c>
      <c r="AA478" s="272" t="e">
        <f t="shared" si="46"/>
        <v>#DIV/0!</v>
      </c>
      <c r="AB478" s="272" t="e">
        <f t="shared" si="47"/>
        <v>#DIV/0!</v>
      </c>
      <c r="AC478" s="272" t="e">
        <f t="shared" si="48"/>
        <v>#DIV/0!</v>
      </c>
    </row>
    <row r="479" spans="1:29" x14ac:dyDescent="0.2">
      <c r="A479" s="106">
        <f>Cadastro!A483</f>
        <v>0</v>
      </c>
      <c r="B479" s="27">
        <f>Cadastro!E481</f>
        <v>0</v>
      </c>
      <c r="C479">
        <f>pH_água!C479</f>
        <v>0</v>
      </c>
      <c r="D479">
        <f>pH_KCl!B480</f>
        <v>0</v>
      </c>
      <c r="E479">
        <f>'pH CaCl2'!C479</f>
        <v>0</v>
      </c>
      <c r="F479" s="104">
        <f>P_Mehlich1!H464</f>
        <v>0</v>
      </c>
      <c r="G479" s="123">
        <f>P_resina!H484</f>
        <v>0</v>
      </c>
      <c r="H479" s="272">
        <f>K!G449</f>
        <v>0</v>
      </c>
      <c r="I479" s="125">
        <v>0</v>
      </c>
      <c r="J479" s="272">
        <f>'Ca2+'!G480</f>
        <v>0</v>
      </c>
      <c r="K479" s="272">
        <f>Mg²!G482</f>
        <v>0</v>
      </c>
      <c r="L479" s="279">
        <f>Al³!C481</f>
        <v>0</v>
      </c>
      <c r="M479" s="279">
        <f>'H + Al'!D481</f>
        <v>0</v>
      </c>
      <c r="N479" s="272">
        <f t="shared" si="41"/>
        <v>0</v>
      </c>
      <c r="O479" s="272">
        <f t="shared" si="42"/>
        <v>0</v>
      </c>
      <c r="P479" s="272">
        <f t="shared" si="43"/>
        <v>0</v>
      </c>
      <c r="Q479" s="293" t="e">
        <f t="shared" si="44"/>
        <v>#DIV/0!</v>
      </c>
      <c r="R479" s="293" t="e">
        <f t="shared" si="45"/>
        <v>#DIV/0!</v>
      </c>
      <c r="S479">
        <f>Prem!H481</f>
        <v>0</v>
      </c>
      <c r="T479" s="281">
        <f>S!H485</f>
        <v>0</v>
      </c>
      <c r="U479" s="274">
        <f>B!H480</f>
        <v>0</v>
      </c>
      <c r="V479" s="272">
        <f>Zn!G481</f>
        <v>0</v>
      </c>
      <c r="W479" s="272">
        <f>Cu!G481</f>
        <v>0</v>
      </c>
      <c r="X479" s="272">
        <f>Mn!G481</f>
        <v>0</v>
      </c>
      <c r="Y479" s="272">
        <f>Fe!G481</f>
        <v>0</v>
      </c>
      <c r="Z479" s="274">
        <f>M.O!H481</f>
        <v>0</v>
      </c>
      <c r="AA479" s="272" t="e">
        <f t="shared" si="46"/>
        <v>#DIV/0!</v>
      </c>
      <c r="AB479" s="272" t="e">
        <f t="shared" si="47"/>
        <v>#DIV/0!</v>
      </c>
      <c r="AC479" s="272" t="e">
        <f t="shared" si="48"/>
        <v>#DIV/0!</v>
      </c>
    </row>
    <row r="480" spans="1:29" x14ac:dyDescent="0.2">
      <c r="A480" s="106">
        <f>Cadastro!A484</f>
        <v>0</v>
      </c>
      <c r="B480" s="27">
        <f>Cadastro!E482</f>
        <v>0</v>
      </c>
      <c r="C480">
        <f>pH_água!C480</f>
        <v>0</v>
      </c>
      <c r="D480">
        <f>pH_KCl!B481</f>
        <v>0</v>
      </c>
      <c r="E480">
        <f>'pH CaCl2'!C480</f>
        <v>0</v>
      </c>
      <c r="F480" s="104">
        <f>P_Mehlich1!H465</f>
        <v>0</v>
      </c>
      <c r="G480" s="123">
        <f>P_resina!H485</f>
        <v>0</v>
      </c>
      <c r="H480" s="272">
        <f>K!G450</f>
        <v>0</v>
      </c>
      <c r="I480" s="125">
        <v>0</v>
      </c>
      <c r="J480" s="272">
        <f>'Ca2+'!G481</f>
        <v>0</v>
      </c>
      <c r="K480" s="272">
        <f>Mg²!G483</f>
        <v>0</v>
      </c>
      <c r="L480" s="279">
        <f>Al³!C482</f>
        <v>0</v>
      </c>
      <c r="M480" s="279">
        <f>'H + Al'!D482</f>
        <v>0</v>
      </c>
      <c r="N480" s="272">
        <f t="shared" si="41"/>
        <v>0</v>
      </c>
      <c r="O480" s="272">
        <f t="shared" si="42"/>
        <v>0</v>
      </c>
      <c r="P480" s="272">
        <f t="shared" si="43"/>
        <v>0</v>
      </c>
      <c r="Q480" s="293" t="e">
        <f t="shared" si="44"/>
        <v>#DIV/0!</v>
      </c>
      <c r="R480" s="293" t="e">
        <f t="shared" si="45"/>
        <v>#DIV/0!</v>
      </c>
      <c r="S480">
        <f>Prem!H482</f>
        <v>0</v>
      </c>
      <c r="T480" s="281">
        <f>S!H486</f>
        <v>0</v>
      </c>
      <c r="U480" s="274">
        <f>B!H481</f>
        <v>0</v>
      </c>
      <c r="V480" s="272">
        <f>Zn!G482</f>
        <v>0</v>
      </c>
      <c r="W480" s="272">
        <f>Cu!G482</f>
        <v>0</v>
      </c>
      <c r="X480" s="272">
        <f>Mn!G482</f>
        <v>0</v>
      </c>
      <c r="Y480" s="272">
        <f>Fe!G482</f>
        <v>0</v>
      </c>
      <c r="Z480" s="274">
        <f>M.O!H482</f>
        <v>0</v>
      </c>
      <c r="AA480" s="272" t="e">
        <f t="shared" si="46"/>
        <v>#DIV/0!</v>
      </c>
      <c r="AB480" s="272" t="e">
        <f t="shared" si="47"/>
        <v>#DIV/0!</v>
      </c>
      <c r="AC480" s="272" t="e">
        <f t="shared" si="48"/>
        <v>#DIV/0!</v>
      </c>
    </row>
    <row r="481" spans="1:29" x14ac:dyDescent="0.2">
      <c r="A481" s="106">
        <f>Cadastro!A485</f>
        <v>0</v>
      </c>
      <c r="B481" s="27">
        <f>Cadastro!E483</f>
        <v>0</v>
      </c>
      <c r="C481">
        <f>pH_água!C481</f>
        <v>0</v>
      </c>
      <c r="D481">
        <f>pH_KCl!B482</f>
        <v>0</v>
      </c>
      <c r="E481">
        <f>'pH CaCl2'!C481</f>
        <v>0</v>
      </c>
      <c r="F481" s="104">
        <f>P_Mehlich1!H466</f>
        <v>0</v>
      </c>
      <c r="G481" s="123">
        <f>P_resina!H486</f>
        <v>0</v>
      </c>
      <c r="H481" s="272">
        <f>K!G451</f>
        <v>0</v>
      </c>
      <c r="I481" s="125">
        <v>0</v>
      </c>
      <c r="J481" s="272">
        <f>'Ca2+'!G482</f>
        <v>0</v>
      </c>
      <c r="K481" s="272">
        <f>Mg²!G484</f>
        <v>0</v>
      </c>
      <c r="L481" s="279">
        <f>Al³!C483</f>
        <v>0</v>
      </c>
      <c r="M481" s="279">
        <f>'H + Al'!D483</f>
        <v>0</v>
      </c>
      <c r="N481" s="272">
        <f t="shared" si="41"/>
        <v>0</v>
      </c>
      <c r="O481" s="272">
        <f t="shared" si="42"/>
        <v>0</v>
      </c>
      <c r="P481" s="272">
        <f t="shared" si="43"/>
        <v>0</v>
      </c>
      <c r="Q481" s="293" t="e">
        <f t="shared" si="44"/>
        <v>#DIV/0!</v>
      </c>
      <c r="R481" s="293" t="e">
        <f t="shared" si="45"/>
        <v>#DIV/0!</v>
      </c>
      <c r="S481">
        <f>Prem!H483</f>
        <v>0</v>
      </c>
      <c r="T481" s="281">
        <f>S!H487</f>
        <v>0</v>
      </c>
      <c r="U481" s="274">
        <f>B!H482</f>
        <v>0</v>
      </c>
      <c r="V481" s="272">
        <f>Zn!G483</f>
        <v>0</v>
      </c>
      <c r="W481" s="272">
        <f>Cu!G483</f>
        <v>0</v>
      </c>
      <c r="X481" s="272">
        <f>Mn!G483</f>
        <v>0</v>
      </c>
      <c r="Y481" s="272">
        <f>Fe!G483</f>
        <v>0</v>
      </c>
      <c r="Z481" s="274">
        <f>M.O!H483</f>
        <v>0</v>
      </c>
      <c r="AA481" s="272" t="e">
        <f t="shared" si="46"/>
        <v>#DIV/0!</v>
      </c>
      <c r="AB481" s="272" t="e">
        <f t="shared" si="47"/>
        <v>#DIV/0!</v>
      </c>
      <c r="AC481" s="272" t="e">
        <f t="shared" si="48"/>
        <v>#DIV/0!</v>
      </c>
    </row>
    <row r="482" spans="1:29" x14ac:dyDescent="0.2">
      <c r="A482" s="106">
        <f>Cadastro!A486</f>
        <v>0</v>
      </c>
      <c r="B482" s="27">
        <f>Cadastro!E484</f>
        <v>0</v>
      </c>
      <c r="C482">
        <f>pH_água!C482</f>
        <v>0</v>
      </c>
      <c r="D482">
        <f>pH_KCl!B483</f>
        <v>0</v>
      </c>
      <c r="E482">
        <f>'pH CaCl2'!C482</f>
        <v>0</v>
      </c>
      <c r="F482" s="104">
        <f>P_Mehlich1!H467</f>
        <v>0</v>
      </c>
      <c r="G482" s="123">
        <f>P_resina!H487</f>
        <v>0</v>
      </c>
      <c r="H482" s="272">
        <f>K!G452</f>
        <v>0</v>
      </c>
      <c r="I482" s="125">
        <v>0</v>
      </c>
      <c r="J482" s="272">
        <f>'Ca2+'!G483</f>
        <v>0</v>
      </c>
      <c r="K482" s="272">
        <f>Mg²!G485</f>
        <v>0</v>
      </c>
      <c r="L482" s="279">
        <f>Al³!C484</f>
        <v>0</v>
      </c>
      <c r="M482" s="279">
        <f>'H + Al'!D484</f>
        <v>0</v>
      </c>
      <c r="N482" s="272">
        <f t="shared" si="41"/>
        <v>0</v>
      </c>
      <c r="O482" s="272">
        <f t="shared" si="42"/>
        <v>0</v>
      </c>
      <c r="P482" s="272">
        <f t="shared" si="43"/>
        <v>0</v>
      </c>
      <c r="Q482" s="293" t="e">
        <f t="shared" si="44"/>
        <v>#DIV/0!</v>
      </c>
      <c r="R482" s="293" t="e">
        <f t="shared" si="45"/>
        <v>#DIV/0!</v>
      </c>
      <c r="S482">
        <f>Prem!H484</f>
        <v>0</v>
      </c>
      <c r="T482" s="281">
        <f>S!H488</f>
        <v>0</v>
      </c>
      <c r="U482" s="274">
        <f>B!H483</f>
        <v>0</v>
      </c>
      <c r="V482" s="272">
        <f>Zn!G484</f>
        <v>0</v>
      </c>
      <c r="W482" s="272">
        <f>Cu!G484</f>
        <v>0</v>
      </c>
      <c r="X482" s="272">
        <f>Mn!G484</f>
        <v>0</v>
      </c>
      <c r="Y482" s="272">
        <f>Fe!G484</f>
        <v>0</v>
      </c>
      <c r="Z482" s="274">
        <f>M.O!H484</f>
        <v>0</v>
      </c>
      <c r="AA482" s="272" t="e">
        <f t="shared" si="46"/>
        <v>#DIV/0!</v>
      </c>
      <c r="AB482" s="272" t="e">
        <f t="shared" si="47"/>
        <v>#DIV/0!</v>
      </c>
      <c r="AC482" s="272" t="e">
        <f t="shared" si="48"/>
        <v>#DIV/0!</v>
      </c>
    </row>
    <row r="483" spans="1:29" x14ac:dyDescent="0.2">
      <c r="A483" s="106">
        <f>Cadastro!A487</f>
        <v>0</v>
      </c>
      <c r="B483" s="27">
        <f>Cadastro!E485</f>
        <v>0</v>
      </c>
      <c r="C483">
        <f>pH_água!C483</f>
        <v>0</v>
      </c>
      <c r="D483">
        <f>pH_KCl!B484</f>
        <v>0</v>
      </c>
      <c r="E483">
        <f>'pH CaCl2'!C483</f>
        <v>0</v>
      </c>
      <c r="F483" s="104">
        <f>P_Mehlich1!H468</f>
        <v>0</v>
      </c>
      <c r="G483" s="123">
        <f>P_resina!H488</f>
        <v>0</v>
      </c>
      <c r="H483" s="272">
        <f>K!G453</f>
        <v>0</v>
      </c>
      <c r="I483" s="125">
        <v>0</v>
      </c>
      <c r="J483" s="272">
        <f>'Ca2+'!G484</f>
        <v>0</v>
      </c>
      <c r="K483" s="272">
        <f>Mg²!G486</f>
        <v>0</v>
      </c>
      <c r="L483" s="279">
        <f>Al³!C485</f>
        <v>0</v>
      </c>
      <c r="M483" s="279">
        <f>'H + Al'!D485</f>
        <v>0</v>
      </c>
      <c r="N483" s="272">
        <f t="shared" si="41"/>
        <v>0</v>
      </c>
      <c r="O483" s="272">
        <f t="shared" si="42"/>
        <v>0</v>
      </c>
      <c r="P483" s="272">
        <f t="shared" si="43"/>
        <v>0</v>
      </c>
      <c r="Q483" s="293" t="e">
        <f t="shared" si="44"/>
        <v>#DIV/0!</v>
      </c>
      <c r="R483" s="293" t="e">
        <f t="shared" si="45"/>
        <v>#DIV/0!</v>
      </c>
      <c r="S483">
        <f>Prem!H485</f>
        <v>0</v>
      </c>
      <c r="T483" s="281">
        <f>S!H489</f>
        <v>0</v>
      </c>
      <c r="U483" s="274">
        <f>B!H484</f>
        <v>0</v>
      </c>
      <c r="V483" s="272">
        <f>Zn!G485</f>
        <v>0</v>
      </c>
      <c r="W483" s="272">
        <f>Cu!G485</f>
        <v>0</v>
      </c>
      <c r="X483" s="272">
        <f>Mn!G485</f>
        <v>0</v>
      </c>
      <c r="Y483" s="272">
        <f>Fe!G485</f>
        <v>0</v>
      </c>
      <c r="Z483" s="274">
        <f>M.O!H485</f>
        <v>0</v>
      </c>
      <c r="AA483" s="272" t="e">
        <f t="shared" si="46"/>
        <v>#DIV/0!</v>
      </c>
      <c r="AB483" s="272" t="e">
        <f t="shared" si="47"/>
        <v>#DIV/0!</v>
      </c>
      <c r="AC483" s="272" t="e">
        <f t="shared" si="48"/>
        <v>#DIV/0!</v>
      </c>
    </row>
    <row r="484" spans="1:29" x14ac:dyDescent="0.2">
      <c r="A484" s="106">
        <f>Cadastro!A488</f>
        <v>0</v>
      </c>
      <c r="B484" s="27">
        <f>Cadastro!E486</f>
        <v>0</v>
      </c>
      <c r="C484">
        <f>pH_água!C484</f>
        <v>0</v>
      </c>
      <c r="D484">
        <f>pH_KCl!B485</f>
        <v>0</v>
      </c>
      <c r="E484">
        <f>'pH CaCl2'!C484</f>
        <v>0</v>
      </c>
      <c r="F484" s="104">
        <f>P_Mehlich1!H469</f>
        <v>0</v>
      </c>
      <c r="G484" s="123">
        <f>P_resina!H489</f>
        <v>0</v>
      </c>
      <c r="H484" s="272">
        <f>K!G454</f>
        <v>0</v>
      </c>
      <c r="I484" s="125">
        <v>0</v>
      </c>
      <c r="J484" s="272">
        <f>'Ca2+'!G485</f>
        <v>0</v>
      </c>
      <c r="K484" s="272">
        <f>Mg²!G487</f>
        <v>0</v>
      </c>
      <c r="L484" s="279">
        <f>Al³!C486</f>
        <v>0</v>
      </c>
      <c r="M484" s="279">
        <f>'H + Al'!D486</f>
        <v>0</v>
      </c>
      <c r="N484" s="272">
        <f t="shared" si="41"/>
        <v>0</v>
      </c>
      <c r="O484" s="272">
        <f t="shared" si="42"/>
        <v>0</v>
      </c>
      <c r="P484" s="272">
        <f t="shared" si="43"/>
        <v>0</v>
      </c>
      <c r="Q484" s="293" t="e">
        <f t="shared" si="44"/>
        <v>#DIV/0!</v>
      </c>
      <c r="R484" s="293" t="e">
        <f t="shared" si="45"/>
        <v>#DIV/0!</v>
      </c>
      <c r="S484">
        <f>Prem!H486</f>
        <v>0</v>
      </c>
      <c r="T484" s="281">
        <f>S!H490</f>
        <v>0</v>
      </c>
      <c r="U484" s="274">
        <f>B!H485</f>
        <v>0</v>
      </c>
      <c r="V484" s="272">
        <f>Zn!G486</f>
        <v>0</v>
      </c>
      <c r="W484" s="272">
        <f>Cu!G486</f>
        <v>0</v>
      </c>
      <c r="X484" s="272">
        <f>Mn!G486</f>
        <v>0</v>
      </c>
      <c r="Y484" s="272">
        <f>Fe!G486</f>
        <v>0</v>
      </c>
      <c r="Z484" s="274">
        <f>M.O!H486</f>
        <v>0</v>
      </c>
      <c r="AA484" s="272" t="e">
        <f t="shared" si="46"/>
        <v>#DIV/0!</v>
      </c>
      <c r="AB484" s="272" t="e">
        <f t="shared" si="47"/>
        <v>#DIV/0!</v>
      </c>
      <c r="AC484" s="272" t="e">
        <f t="shared" si="48"/>
        <v>#DIV/0!</v>
      </c>
    </row>
    <row r="485" spans="1:29" x14ac:dyDescent="0.2">
      <c r="A485" s="106">
        <f>Cadastro!A489</f>
        <v>0</v>
      </c>
      <c r="B485" s="27">
        <f>Cadastro!E487</f>
        <v>0</v>
      </c>
      <c r="C485">
        <f>pH_água!C485</f>
        <v>0</v>
      </c>
      <c r="D485">
        <f>pH_KCl!B486</f>
        <v>0</v>
      </c>
      <c r="E485">
        <f>'pH CaCl2'!C485</f>
        <v>0</v>
      </c>
      <c r="F485" s="104">
        <f>P_Mehlich1!H470</f>
        <v>0</v>
      </c>
      <c r="G485" s="123">
        <f>P_resina!H490</f>
        <v>0</v>
      </c>
      <c r="H485" s="272">
        <f>K!G455</f>
        <v>0</v>
      </c>
      <c r="I485" s="125">
        <v>0</v>
      </c>
      <c r="J485" s="272">
        <f>'Ca2+'!G486</f>
        <v>0</v>
      </c>
      <c r="K485" s="272">
        <f>Mg²!G488</f>
        <v>0</v>
      </c>
      <c r="L485" s="279">
        <f>Al³!C487</f>
        <v>0</v>
      </c>
      <c r="M485" s="279">
        <f>'H + Al'!D487</f>
        <v>0</v>
      </c>
      <c r="N485" s="272">
        <f t="shared" si="41"/>
        <v>0</v>
      </c>
      <c r="O485" s="272">
        <f t="shared" si="42"/>
        <v>0</v>
      </c>
      <c r="P485" s="272">
        <f t="shared" si="43"/>
        <v>0</v>
      </c>
      <c r="Q485" s="293" t="e">
        <f t="shared" si="44"/>
        <v>#DIV/0!</v>
      </c>
      <c r="R485" s="293" t="e">
        <f t="shared" si="45"/>
        <v>#DIV/0!</v>
      </c>
      <c r="S485">
        <f>Prem!H487</f>
        <v>0</v>
      </c>
      <c r="T485" s="281">
        <f>S!H491</f>
        <v>0</v>
      </c>
      <c r="U485" s="274">
        <f>B!H486</f>
        <v>0</v>
      </c>
      <c r="V485" s="272">
        <f>Zn!G487</f>
        <v>0</v>
      </c>
      <c r="W485" s="272">
        <f>Cu!G487</f>
        <v>0</v>
      </c>
      <c r="X485" s="272">
        <f>Mn!G487</f>
        <v>0</v>
      </c>
      <c r="Y485" s="272">
        <f>Fe!G487</f>
        <v>0</v>
      </c>
      <c r="Z485" s="274">
        <f>M.O!H487</f>
        <v>0</v>
      </c>
      <c r="AA485" s="272" t="e">
        <f t="shared" si="46"/>
        <v>#DIV/0!</v>
      </c>
      <c r="AB485" s="272" t="e">
        <f t="shared" si="47"/>
        <v>#DIV/0!</v>
      </c>
      <c r="AC485" s="272" t="e">
        <f t="shared" si="48"/>
        <v>#DIV/0!</v>
      </c>
    </row>
    <row r="486" spans="1:29" x14ac:dyDescent="0.2">
      <c r="A486" s="106">
        <f>Cadastro!A490</f>
        <v>0</v>
      </c>
      <c r="B486" s="27">
        <f>Cadastro!E488</f>
        <v>0</v>
      </c>
      <c r="C486">
        <f>pH_água!C486</f>
        <v>0</v>
      </c>
      <c r="D486">
        <f>pH_KCl!B487</f>
        <v>0</v>
      </c>
      <c r="E486">
        <f>'pH CaCl2'!C486</f>
        <v>0</v>
      </c>
      <c r="F486" s="104">
        <f>P_Mehlich1!H471</f>
        <v>0</v>
      </c>
      <c r="G486" s="123">
        <f>P_resina!H491</f>
        <v>0</v>
      </c>
      <c r="H486" s="272">
        <f>K!G456</f>
        <v>0</v>
      </c>
      <c r="I486" s="125">
        <v>0</v>
      </c>
      <c r="J486" s="272">
        <f>'Ca2+'!G487</f>
        <v>0</v>
      </c>
      <c r="K486" s="272">
        <f>Mg²!G489</f>
        <v>0</v>
      </c>
      <c r="L486" s="279">
        <f>Al³!C488</f>
        <v>0</v>
      </c>
      <c r="M486" s="279">
        <f>'H + Al'!D488</f>
        <v>0</v>
      </c>
      <c r="N486" s="272">
        <f t="shared" si="41"/>
        <v>0</v>
      </c>
      <c r="O486" s="272">
        <f t="shared" si="42"/>
        <v>0</v>
      </c>
      <c r="P486" s="272">
        <f t="shared" si="43"/>
        <v>0</v>
      </c>
      <c r="Q486" s="293" t="e">
        <f t="shared" si="44"/>
        <v>#DIV/0!</v>
      </c>
      <c r="R486" s="293" t="e">
        <f t="shared" si="45"/>
        <v>#DIV/0!</v>
      </c>
      <c r="S486">
        <f>Prem!H488</f>
        <v>0</v>
      </c>
      <c r="T486" s="281">
        <f>S!H492</f>
        <v>0</v>
      </c>
      <c r="U486" s="274">
        <f>B!H487</f>
        <v>0</v>
      </c>
      <c r="V486" s="272">
        <f>Zn!G488</f>
        <v>0</v>
      </c>
      <c r="W486" s="272">
        <f>Cu!G488</f>
        <v>0</v>
      </c>
      <c r="X486" s="272">
        <f>Mn!G488</f>
        <v>0</v>
      </c>
      <c r="Y486" s="272">
        <f>Fe!G488</f>
        <v>0</v>
      </c>
      <c r="Z486" s="274">
        <f>M.O!H488</f>
        <v>0</v>
      </c>
      <c r="AA486" s="272" t="e">
        <f t="shared" si="46"/>
        <v>#DIV/0!</v>
      </c>
      <c r="AB486" s="272" t="e">
        <f t="shared" si="47"/>
        <v>#DIV/0!</v>
      </c>
      <c r="AC486" s="272" t="e">
        <f t="shared" si="48"/>
        <v>#DIV/0!</v>
      </c>
    </row>
    <row r="487" spans="1:29" x14ac:dyDescent="0.2">
      <c r="A487" s="106">
        <f>Cadastro!A491</f>
        <v>0</v>
      </c>
      <c r="B487" s="27">
        <f>Cadastro!E489</f>
        <v>0</v>
      </c>
      <c r="C487">
        <f>pH_água!C487</f>
        <v>0</v>
      </c>
      <c r="D487">
        <f>pH_KCl!B488</f>
        <v>0</v>
      </c>
      <c r="E487">
        <f>'pH CaCl2'!C487</f>
        <v>0</v>
      </c>
      <c r="F487" s="104">
        <f>P_Mehlich1!H472</f>
        <v>0</v>
      </c>
      <c r="G487" s="123">
        <f>P_resina!H492</f>
        <v>0</v>
      </c>
      <c r="H487" s="272">
        <f>K!G457</f>
        <v>0</v>
      </c>
      <c r="I487" s="125">
        <v>0</v>
      </c>
      <c r="J487" s="272">
        <f>'Ca2+'!G488</f>
        <v>0</v>
      </c>
      <c r="K487" s="272">
        <f>Mg²!G490</f>
        <v>0</v>
      </c>
      <c r="L487" s="279">
        <f>Al³!C489</f>
        <v>0</v>
      </c>
      <c r="M487" s="279">
        <f>'H + Al'!D489</f>
        <v>0</v>
      </c>
      <c r="N487" s="272">
        <f t="shared" si="41"/>
        <v>0</v>
      </c>
      <c r="O487" s="272">
        <f t="shared" si="42"/>
        <v>0</v>
      </c>
      <c r="P487" s="272">
        <f t="shared" si="43"/>
        <v>0</v>
      </c>
      <c r="Q487" s="293" t="e">
        <f t="shared" si="44"/>
        <v>#DIV/0!</v>
      </c>
      <c r="R487" s="293" t="e">
        <f t="shared" si="45"/>
        <v>#DIV/0!</v>
      </c>
      <c r="S487">
        <f>Prem!H489</f>
        <v>0</v>
      </c>
      <c r="T487" s="281">
        <f>S!H493</f>
        <v>0</v>
      </c>
      <c r="U487" s="274">
        <f>B!H488</f>
        <v>0</v>
      </c>
      <c r="V487" s="272">
        <f>Zn!G489</f>
        <v>0</v>
      </c>
      <c r="W487" s="272">
        <f>Cu!G489</f>
        <v>0</v>
      </c>
      <c r="X487" s="272">
        <f>Mn!G489</f>
        <v>0</v>
      </c>
      <c r="Y487" s="272">
        <f>Fe!G489</f>
        <v>0</v>
      </c>
      <c r="Z487" s="274">
        <f>M.O!H489</f>
        <v>0</v>
      </c>
      <c r="AA487" s="272" t="e">
        <f t="shared" si="46"/>
        <v>#DIV/0!</v>
      </c>
      <c r="AB487" s="272" t="e">
        <f t="shared" si="47"/>
        <v>#DIV/0!</v>
      </c>
      <c r="AC487" s="272" t="e">
        <f t="shared" si="48"/>
        <v>#DIV/0!</v>
      </c>
    </row>
    <row r="488" spans="1:29" x14ac:dyDescent="0.2">
      <c r="A488" s="106">
        <f>Cadastro!A492</f>
        <v>0</v>
      </c>
      <c r="B488" s="27">
        <f>Cadastro!E490</f>
        <v>0</v>
      </c>
      <c r="C488">
        <f>pH_água!C488</f>
        <v>0</v>
      </c>
      <c r="D488">
        <f>pH_KCl!B489</f>
        <v>0</v>
      </c>
      <c r="E488">
        <f>'pH CaCl2'!C488</f>
        <v>0</v>
      </c>
      <c r="F488" s="104">
        <f>P_Mehlich1!H473</f>
        <v>0</v>
      </c>
      <c r="G488" s="123">
        <f>P_resina!H493</f>
        <v>0</v>
      </c>
      <c r="H488" s="272">
        <f>K!G458</f>
        <v>0</v>
      </c>
      <c r="I488" s="125">
        <v>0</v>
      </c>
      <c r="J488" s="272">
        <f>'Ca2+'!G489</f>
        <v>0</v>
      </c>
      <c r="K488" s="272">
        <f>Mg²!G491</f>
        <v>0</v>
      </c>
      <c r="L488" s="279">
        <f>Al³!C490</f>
        <v>0</v>
      </c>
      <c r="M488" s="279">
        <f>'H + Al'!D490</f>
        <v>0</v>
      </c>
      <c r="N488" s="272">
        <f t="shared" si="41"/>
        <v>0</v>
      </c>
      <c r="O488" s="272">
        <f t="shared" si="42"/>
        <v>0</v>
      </c>
      <c r="P488" s="272">
        <f t="shared" si="43"/>
        <v>0</v>
      </c>
      <c r="Q488" s="293" t="e">
        <f t="shared" si="44"/>
        <v>#DIV/0!</v>
      </c>
      <c r="R488" s="293" t="e">
        <f t="shared" si="45"/>
        <v>#DIV/0!</v>
      </c>
      <c r="S488">
        <f>Prem!H490</f>
        <v>0</v>
      </c>
      <c r="T488" s="281">
        <f>S!H494</f>
        <v>0</v>
      </c>
      <c r="U488" s="274">
        <f>B!H489</f>
        <v>0</v>
      </c>
      <c r="V488" s="272">
        <f>Zn!G490</f>
        <v>0</v>
      </c>
      <c r="W488" s="272">
        <f>Cu!G490</f>
        <v>0</v>
      </c>
      <c r="X488" s="272">
        <f>Mn!G490</f>
        <v>0</v>
      </c>
      <c r="Y488" s="272">
        <f>Fe!G490</f>
        <v>0</v>
      </c>
      <c r="Z488" s="274">
        <f>M.O!H490</f>
        <v>0</v>
      </c>
      <c r="AA488" s="272" t="e">
        <f t="shared" si="46"/>
        <v>#DIV/0!</v>
      </c>
      <c r="AB488" s="272" t="e">
        <f t="shared" si="47"/>
        <v>#DIV/0!</v>
      </c>
      <c r="AC488" s="272" t="e">
        <f t="shared" si="48"/>
        <v>#DIV/0!</v>
      </c>
    </row>
    <row r="489" spans="1:29" x14ac:dyDescent="0.2">
      <c r="A489" s="106">
        <f>Cadastro!A493</f>
        <v>0</v>
      </c>
      <c r="B489" s="27">
        <f>Cadastro!E491</f>
        <v>0</v>
      </c>
      <c r="C489">
        <f>pH_água!C489</f>
        <v>0</v>
      </c>
      <c r="D489">
        <f>pH_KCl!B490</f>
        <v>0</v>
      </c>
      <c r="E489">
        <f>'pH CaCl2'!C489</f>
        <v>0</v>
      </c>
      <c r="F489" s="104">
        <f>P_Mehlich1!H474</f>
        <v>0</v>
      </c>
      <c r="G489" s="123">
        <f>P_resina!H494</f>
        <v>0</v>
      </c>
      <c r="H489" s="272">
        <f>K!G459</f>
        <v>0</v>
      </c>
      <c r="I489" s="125">
        <v>0</v>
      </c>
      <c r="J489" s="272">
        <f>'Ca2+'!G490</f>
        <v>0</v>
      </c>
      <c r="K489" s="272">
        <f>Mg²!G492</f>
        <v>0</v>
      </c>
      <c r="L489" s="279">
        <f>Al³!C491</f>
        <v>0</v>
      </c>
      <c r="M489" s="279">
        <f>'H + Al'!D491</f>
        <v>0</v>
      </c>
      <c r="N489" s="272">
        <f t="shared" si="41"/>
        <v>0</v>
      </c>
      <c r="O489" s="272">
        <f t="shared" si="42"/>
        <v>0</v>
      </c>
      <c r="P489" s="272">
        <f t="shared" si="43"/>
        <v>0</v>
      </c>
      <c r="Q489" s="293" t="e">
        <f t="shared" si="44"/>
        <v>#DIV/0!</v>
      </c>
      <c r="R489" s="293" t="e">
        <f t="shared" si="45"/>
        <v>#DIV/0!</v>
      </c>
      <c r="S489">
        <f>Prem!H491</f>
        <v>0</v>
      </c>
      <c r="T489" s="281">
        <f>S!H495</f>
        <v>0</v>
      </c>
      <c r="U489" s="274">
        <f>B!H490</f>
        <v>0</v>
      </c>
      <c r="V489" s="272">
        <f>Zn!G491</f>
        <v>0</v>
      </c>
      <c r="W489" s="272">
        <f>Cu!G491</f>
        <v>0</v>
      </c>
      <c r="X489" s="272">
        <f>Mn!G491</f>
        <v>0</v>
      </c>
      <c r="Y489" s="272">
        <f>Fe!G491</f>
        <v>0</v>
      </c>
      <c r="Z489" s="274">
        <f>M.O!H491</f>
        <v>0</v>
      </c>
      <c r="AA489" s="272" t="e">
        <f t="shared" si="46"/>
        <v>#DIV/0!</v>
      </c>
      <c r="AB489" s="272" t="e">
        <f t="shared" si="47"/>
        <v>#DIV/0!</v>
      </c>
      <c r="AC489" s="272" t="e">
        <f t="shared" si="48"/>
        <v>#DIV/0!</v>
      </c>
    </row>
    <row r="490" spans="1:29" x14ac:dyDescent="0.2">
      <c r="A490" s="106">
        <f>Cadastro!A494</f>
        <v>0</v>
      </c>
      <c r="B490" s="27">
        <f>Cadastro!E492</f>
        <v>0</v>
      </c>
      <c r="C490">
        <f>pH_água!C490</f>
        <v>0</v>
      </c>
      <c r="D490">
        <f>pH_KCl!B491</f>
        <v>0</v>
      </c>
      <c r="E490">
        <f>'pH CaCl2'!C490</f>
        <v>0</v>
      </c>
      <c r="F490" s="104">
        <f>P_Mehlich1!H475</f>
        <v>0</v>
      </c>
      <c r="G490" s="123">
        <f>P_resina!H495</f>
        <v>0</v>
      </c>
      <c r="H490" s="272">
        <f>K!G460</f>
        <v>0</v>
      </c>
      <c r="I490" s="125">
        <v>0</v>
      </c>
      <c r="J490" s="272">
        <f>'Ca2+'!G491</f>
        <v>0</v>
      </c>
      <c r="K490" s="272">
        <f>Mg²!G493</f>
        <v>0</v>
      </c>
      <c r="L490" s="279">
        <f>Al³!C492</f>
        <v>0</v>
      </c>
      <c r="M490" s="279">
        <f>'H + Al'!D492</f>
        <v>0</v>
      </c>
      <c r="N490" s="272">
        <f t="shared" si="41"/>
        <v>0</v>
      </c>
      <c r="O490" s="272">
        <f t="shared" si="42"/>
        <v>0</v>
      </c>
      <c r="P490" s="272">
        <f t="shared" si="43"/>
        <v>0</v>
      </c>
      <c r="Q490" s="293" t="e">
        <f t="shared" si="44"/>
        <v>#DIV/0!</v>
      </c>
      <c r="R490" s="293" t="e">
        <f t="shared" si="45"/>
        <v>#DIV/0!</v>
      </c>
      <c r="S490">
        <f>Prem!H492</f>
        <v>0</v>
      </c>
      <c r="T490" s="281">
        <f>S!H496</f>
        <v>0</v>
      </c>
      <c r="U490" s="274">
        <f>B!H491</f>
        <v>0</v>
      </c>
      <c r="V490" s="272">
        <f>Zn!G492</f>
        <v>0</v>
      </c>
      <c r="W490" s="272">
        <f>Cu!G492</f>
        <v>0</v>
      </c>
      <c r="X490" s="272">
        <f>Mn!G492</f>
        <v>0</v>
      </c>
      <c r="Y490" s="272">
        <f>Fe!G492</f>
        <v>0</v>
      </c>
      <c r="Z490" s="274">
        <f>M.O!H492</f>
        <v>0</v>
      </c>
      <c r="AA490" s="272" t="e">
        <f t="shared" si="46"/>
        <v>#DIV/0!</v>
      </c>
      <c r="AB490" s="272" t="e">
        <f t="shared" si="47"/>
        <v>#DIV/0!</v>
      </c>
      <c r="AC490" s="272" t="e">
        <f t="shared" si="48"/>
        <v>#DIV/0!</v>
      </c>
    </row>
    <row r="491" spans="1:29" x14ac:dyDescent="0.2">
      <c r="A491" s="106">
        <f>Cadastro!A495</f>
        <v>0</v>
      </c>
      <c r="B491" s="27">
        <f>Cadastro!E493</f>
        <v>0</v>
      </c>
      <c r="C491">
        <f>pH_água!C491</f>
        <v>0</v>
      </c>
      <c r="D491">
        <f>pH_KCl!B492</f>
        <v>0</v>
      </c>
      <c r="E491">
        <f>'pH CaCl2'!C491</f>
        <v>0</v>
      </c>
      <c r="F491" s="104">
        <f>P_Mehlich1!H476</f>
        <v>0</v>
      </c>
      <c r="G491" s="123">
        <f>P_resina!H496</f>
        <v>0</v>
      </c>
      <c r="H491" s="272">
        <f>K!G461</f>
        <v>0</v>
      </c>
      <c r="I491" s="125">
        <v>0</v>
      </c>
      <c r="J491" s="272">
        <f>'Ca2+'!G492</f>
        <v>0</v>
      </c>
      <c r="K491" s="272">
        <f>Mg²!G494</f>
        <v>0</v>
      </c>
      <c r="L491" s="279">
        <f>Al³!C493</f>
        <v>0</v>
      </c>
      <c r="M491" s="279">
        <f>'H + Al'!D493</f>
        <v>0</v>
      </c>
      <c r="N491" s="272">
        <f t="shared" si="41"/>
        <v>0</v>
      </c>
      <c r="O491" s="272">
        <f t="shared" si="42"/>
        <v>0</v>
      </c>
      <c r="P491" s="272">
        <f t="shared" si="43"/>
        <v>0</v>
      </c>
      <c r="Q491" s="293" t="e">
        <f t="shared" si="44"/>
        <v>#DIV/0!</v>
      </c>
      <c r="R491" s="293" t="e">
        <f t="shared" si="45"/>
        <v>#DIV/0!</v>
      </c>
      <c r="S491">
        <f>Prem!H493</f>
        <v>0</v>
      </c>
      <c r="T491" s="281">
        <f>S!H497</f>
        <v>0</v>
      </c>
      <c r="U491" s="274">
        <f>B!H492</f>
        <v>0</v>
      </c>
      <c r="V491" s="272">
        <f>Zn!G493</f>
        <v>0</v>
      </c>
      <c r="W491" s="272">
        <f>Cu!G493</f>
        <v>0</v>
      </c>
      <c r="X491" s="272">
        <f>Mn!G493</f>
        <v>0</v>
      </c>
      <c r="Y491" s="272">
        <f>Fe!G493</f>
        <v>0</v>
      </c>
      <c r="Z491" s="274">
        <f>M.O!H493</f>
        <v>0</v>
      </c>
      <c r="AA491" s="272" t="e">
        <f t="shared" si="46"/>
        <v>#DIV/0!</v>
      </c>
      <c r="AB491" s="272" t="e">
        <f t="shared" si="47"/>
        <v>#DIV/0!</v>
      </c>
      <c r="AC491" s="272" t="e">
        <f t="shared" si="48"/>
        <v>#DIV/0!</v>
      </c>
    </row>
    <row r="492" spans="1:29" x14ac:dyDescent="0.2">
      <c r="A492" s="106">
        <f>Cadastro!A496</f>
        <v>0</v>
      </c>
      <c r="B492" s="27">
        <f>Cadastro!E494</f>
        <v>0</v>
      </c>
      <c r="C492">
        <f>pH_água!C492</f>
        <v>0</v>
      </c>
      <c r="D492">
        <f>pH_KCl!B493</f>
        <v>0</v>
      </c>
      <c r="E492">
        <f>'pH CaCl2'!C492</f>
        <v>0</v>
      </c>
      <c r="F492" s="104">
        <f>P_Mehlich1!H477</f>
        <v>0</v>
      </c>
      <c r="G492" s="123">
        <f>P_resina!H497</f>
        <v>0</v>
      </c>
      <c r="H492" s="272">
        <f>K!G462</f>
        <v>0</v>
      </c>
      <c r="I492" s="125">
        <v>0</v>
      </c>
      <c r="J492" s="272">
        <f>'Ca2+'!G493</f>
        <v>0</v>
      </c>
      <c r="K492" s="272">
        <f>Mg²!G495</f>
        <v>0</v>
      </c>
      <c r="L492" s="279">
        <f>Al³!C494</f>
        <v>0</v>
      </c>
      <c r="M492" s="279">
        <f>'H + Al'!D494</f>
        <v>0</v>
      </c>
      <c r="N492" s="272">
        <f t="shared" si="41"/>
        <v>0</v>
      </c>
      <c r="O492" s="272">
        <f t="shared" si="42"/>
        <v>0</v>
      </c>
      <c r="P492" s="272">
        <f t="shared" si="43"/>
        <v>0</v>
      </c>
      <c r="Q492" s="293" t="e">
        <f t="shared" si="44"/>
        <v>#DIV/0!</v>
      </c>
      <c r="R492" s="293" t="e">
        <f t="shared" si="45"/>
        <v>#DIV/0!</v>
      </c>
      <c r="S492">
        <f>Prem!H494</f>
        <v>0</v>
      </c>
      <c r="T492" s="281">
        <f>S!H498</f>
        <v>0</v>
      </c>
      <c r="U492" s="274">
        <f>B!H493</f>
        <v>0</v>
      </c>
      <c r="V492" s="272">
        <f>Zn!G494</f>
        <v>0</v>
      </c>
      <c r="W492" s="272">
        <f>Cu!G494</f>
        <v>0</v>
      </c>
      <c r="X492" s="272">
        <f>Mn!G494</f>
        <v>0</v>
      </c>
      <c r="Y492" s="272">
        <f>Fe!G494</f>
        <v>0</v>
      </c>
      <c r="Z492" s="274">
        <f>M.O!H494</f>
        <v>0</v>
      </c>
      <c r="AA492" s="272" t="e">
        <f t="shared" si="46"/>
        <v>#DIV/0!</v>
      </c>
      <c r="AB492" s="272" t="e">
        <f t="shared" si="47"/>
        <v>#DIV/0!</v>
      </c>
      <c r="AC492" s="272" t="e">
        <f t="shared" si="48"/>
        <v>#DIV/0!</v>
      </c>
    </row>
    <row r="493" spans="1:29" x14ac:dyDescent="0.2">
      <c r="A493" s="106">
        <f>Cadastro!A497</f>
        <v>0</v>
      </c>
      <c r="B493" s="27">
        <f>Cadastro!E495</f>
        <v>0</v>
      </c>
      <c r="C493">
        <f>pH_água!C493</f>
        <v>0</v>
      </c>
      <c r="D493">
        <f>pH_KCl!B494</f>
        <v>0</v>
      </c>
      <c r="E493">
        <f>'pH CaCl2'!C493</f>
        <v>0</v>
      </c>
      <c r="F493" s="104">
        <f>P_Mehlich1!H478</f>
        <v>0</v>
      </c>
      <c r="G493" s="123">
        <f>P_resina!H498</f>
        <v>0</v>
      </c>
      <c r="H493" s="272">
        <f>K!G463</f>
        <v>0</v>
      </c>
      <c r="I493" s="125">
        <v>0</v>
      </c>
      <c r="J493" s="272">
        <f>'Ca2+'!G494</f>
        <v>0</v>
      </c>
      <c r="K493" s="272">
        <f>Mg²!G496</f>
        <v>0</v>
      </c>
      <c r="L493" s="279">
        <f>Al³!C495</f>
        <v>0</v>
      </c>
      <c r="M493" s="279">
        <f>'H + Al'!D495</f>
        <v>0</v>
      </c>
      <c r="N493" s="272">
        <f t="shared" si="41"/>
        <v>0</v>
      </c>
      <c r="O493" s="272">
        <f t="shared" si="42"/>
        <v>0</v>
      </c>
      <c r="P493" s="272">
        <f t="shared" si="43"/>
        <v>0</v>
      </c>
      <c r="Q493" s="293" t="e">
        <f t="shared" si="44"/>
        <v>#DIV/0!</v>
      </c>
      <c r="R493" s="293" t="e">
        <f t="shared" si="45"/>
        <v>#DIV/0!</v>
      </c>
      <c r="S493">
        <f>Prem!H495</f>
        <v>0</v>
      </c>
      <c r="T493" s="281">
        <f>S!H499</f>
        <v>0</v>
      </c>
      <c r="U493" s="274">
        <f>B!H494</f>
        <v>0</v>
      </c>
      <c r="V493" s="272">
        <f>Zn!G495</f>
        <v>0</v>
      </c>
      <c r="W493" s="272">
        <f>Cu!G495</f>
        <v>0</v>
      </c>
      <c r="X493" s="272">
        <f>Mn!G495</f>
        <v>0</v>
      </c>
      <c r="Y493" s="272">
        <f>Fe!G495</f>
        <v>0</v>
      </c>
      <c r="Z493" s="274">
        <f>M.O!H495</f>
        <v>0</v>
      </c>
      <c r="AA493" s="272" t="e">
        <f t="shared" si="46"/>
        <v>#DIV/0!</v>
      </c>
      <c r="AB493" s="272" t="e">
        <f t="shared" si="47"/>
        <v>#DIV/0!</v>
      </c>
      <c r="AC493" s="272" t="e">
        <f t="shared" si="48"/>
        <v>#DIV/0!</v>
      </c>
    </row>
    <row r="494" spans="1:29" x14ac:dyDescent="0.2">
      <c r="A494" s="106">
        <f>Cadastro!A498</f>
        <v>0</v>
      </c>
      <c r="B494" s="27">
        <f>Cadastro!E496</f>
        <v>0</v>
      </c>
      <c r="C494">
        <f>pH_água!C494</f>
        <v>0</v>
      </c>
      <c r="D494">
        <f>pH_KCl!B495</f>
        <v>0</v>
      </c>
      <c r="E494">
        <f>'pH CaCl2'!C494</f>
        <v>0</v>
      </c>
      <c r="F494" s="104">
        <f>P_Mehlich1!H479</f>
        <v>0</v>
      </c>
      <c r="G494" s="123">
        <f>P_resina!H499</f>
        <v>0</v>
      </c>
      <c r="H494" s="272">
        <f>K!G464</f>
        <v>0</v>
      </c>
      <c r="I494" s="125">
        <v>0</v>
      </c>
      <c r="J494" s="272">
        <f>'Ca2+'!G495</f>
        <v>0</v>
      </c>
      <c r="K494" s="272">
        <f>Mg²!G497</f>
        <v>0</v>
      </c>
      <c r="L494" s="279">
        <f>Al³!C496</f>
        <v>0</v>
      </c>
      <c r="M494" s="279">
        <f>'H + Al'!D496</f>
        <v>0</v>
      </c>
      <c r="N494" s="272">
        <f t="shared" si="41"/>
        <v>0</v>
      </c>
      <c r="O494" s="272">
        <f t="shared" si="42"/>
        <v>0</v>
      </c>
      <c r="P494" s="272">
        <f t="shared" si="43"/>
        <v>0</v>
      </c>
      <c r="Q494" s="293" t="e">
        <f t="shared" si="44"/>
        <v>#DIV/0!</v>
      </c>
      <c r="R494" s="293" t="e">
        <f t="shared" si="45"/>
        <v>#DIV/0!</v>
      </c>
      <c r="S494">
        <f>Prem!H496</f>
        <v>0</v>
      </c>
      <c r="T494" s="281">
        <f>S!H500</f>
        <v>0</v>
      </c>
      <c r="U494" s="274">
        <f>B!H495</f>
        <v>0</v>
      </c>
      <c r="V494" s="272">
        <f>Zn!G496</f>
        <v>0</v>
      </c>
      <c r="W494" s="272">
        <f>Cu!G496</f>
        <v>0</v>
      </c>
      <c r="X494" s="272">
        <f>Mn!G496</f>
        <v>0</v>
      </c>
      <c r="Y494" s="272">
        <f>Fe!G496</f>
        <v>0</v>
      </c>
      <c r="Z494" s="274">
        <f>M.O!H496</f>
        <v>0</v>
      </c>
      <c r="AA494" s="272" t="e">
        <f t="shared" si="46"/>
        <v>#DIV/0!</v>
      </c>
      <c r="AB494" s="272" t="e">
        <f t="shared" si="47"/>
        <v>#DIV/0!</v>
      </c>
      <c r="AC494" s="272" t="e">
        <f t="shared" si="48"/>
        <v>#DIV/0!</v>
      </c>
    </row>
    <row r="495" spans="1:29" x14ac:dyDescent="0.2">
      <c r="A495" s="106">
        <f>Cadastro!A499</f>
        <v>0</v>
      </c>
      <c r="B495" s="27">
        <f>Cadastro!E497</f>
        <v>0</v>
      </c>
      <c r="C495">
        <f>pH_água!C495</f>
        <v>0</v>
      </c>
      <c r="D495">
        <f>pH_KCl!B496</f>
        <v>0</v>
      </c>
      <c r="E495">
        <f>'pH CaCl2'!C495</f>
        <v>0</v>
      </c>
      <c r="F495" s="104">
        <f>P_Mehlich1!H480</f>
        <v>0</v>
      </c>
      <c r="G495" s="123">
        <f>P_resina!H500</f>
        <v>0</v>
      </c>
      <c r="H495" s="272">
        <f>K!G465</f>
        <v>0</v>
      </c>
      <c r="I495" s="125">
        <v>0</v>
      </c>
      <c r="J495" s="272">
        <f>'Ca2+'!G496</f>
        <v>0</v>
      </c>
      <c r="K495" s="272">
        <f>Mg²!G498</f>
        <v>0</v>
      </c>
      <c r="L495" s="279">
        <f>Al³!C497</f>
        <v>0</v>
      </c>
      <c r="M495" s="279">
        <f>'H + Al'!D497</f>
        <v>0</v>
      </c>
      <c r="N495" s="272">
        <f t="shared" si="41"/>
        <v>0</v>
      </c>
      <c r="O495" s="272">
        <f t="shared" si="42"/>
        <v>0</v>
      </c>
      <c r="P495" s="272">
        <f t="shared" si="43"/>
        <v>0</v>
      </c>
      <c r="Q495" s="293" t="e">
        <f t="shared" si="44"/>
        <v>#DIV/0!</v>
      </c>
      <c r="R495" s="293" t="e">
        <f t="shared" si="45"/>
        <v>#DIV/0!</v>
      </c>
      <c r="S495">
        <f>Prem!H497</f>
        <v>0</v>
      </c>
      <c r="T495" s="281">
        <f>S!H501</f>
        <v>0</v>
      </c>
      <c r="U495" s="274">
        <f>B!H496</f>
        <v>0</v>
      </c>
      <c r="V495" s="272">
        <f>Zn!G497</f>
        <v>0</v>
      </c>
      <c r="W495" s="272">
        <f>Cu!G497</f>
        <v>0</v>
      </c>
      <c r="X495" s="272">
        <f>Mn!G497</f>
        <v>0</v>
      </c>
      <c r="Y495" s="272">
        <f>Fe!G497</f>
        <v>0</v>
      </c>
      <c r="Z495" s="274">
        <f>M.O!H497</f>
        <v>0</v>
      </c>
      <c r="AA495" s="272" t="e">
        <f t="shared" si="46"/>
        <v>#DIV/0!</v>
      </c>
      <c r="AB495" s="272" t="e">
        <f t="shared" si="47"/>
        <v>#DIV/0!</v>
      </c>
      <c r="AC495" s="272" t="e">
        <f t="shared" si="48"/>
        <v>#DIV/0!</v>
      </c>
    </row>
    <row r="496" spans="1:29" x14ac:dyDescent="0.2">
      <c r="A496" s="106">
        <f>Cadastro!A500</f>
        <v>0</v>
      </c>
      <c r="B496" s="27">
        <f>Cadastro!E498</f>
        <v>0</v>
      </c>
      <c r="C496">
        <f>pH_água!C496</f>
        <v>0</v>
      </c>
      <c r="D496">
        <f>pH_KCl!B497</f>
        <v>0</v>
      </c>
      <c r="E496">
        <f>'pH CaCl2'!C496</f>
        <v>0</v>
      </c>
      <c r="F496" s="104">
        <f>P_Mehlich1!H481</f>
        <v>0</v>
      </c>
      <c r="G496" s="123">
        <f>P_resina!H501</f>
        <v>0</v>
      </c>
      <c r="H496" s="272">
        <f>K!G466</f>
        <v>0</v>
      </c>
      <c r="I496" s="125">
        <v>0</v>
      </c>
      <c r="J496" s="272">
        <f>'Ca2+'!G497</f>
        <v>0</v>
      </c>
      <c r="K496" s="272">
        <f>Mg²!G499</f>
        <v>0</v>
      </c>
      <c r="L496" s="279">
        <f>Al³!C498</f>
        <v>0</v>
      </c>
      <c r="M496" s="279">
        <f>'H + Al'!D498</f>
        <v>0</v>
      </c>
      <c r="N496" s="272">
        <f t="shared" si="41"/>
        <v>0</v>
      </c>
      <c r="O496" s="272">
        <f t="shared" si="42"/>
        <v>0</v>
      </c>
      <c r="P496" s="272">
        <f t="shared" si="43"/>
        <v>0</v>
      </c>
      <c r="Q496" s="293" t="e">
        <f t="shared" si="44"/>
        <v>#DIV/0!</v>
      </c>
      <c r="R496" s="293" t="e">
        <f t="shared" si="45"/>
        <v>#DIV/0!</v>
      </c>
      <c r="S496">
        <f>Prem!H498</f>
        <v>0</v>
      </c>
      <c r="T496" s="281">
        <f>S!H502</f>
        <v>0</v>
      </c>
      <c r="U496" s="274">
        <f>B!H497</f>
        <v>0</v>
      </c>
      <c r="V496" s="272">
        <f>Zn!G498</f>
        <v>0</v>
      </c>
      <c r="W496" s="272">
        <f>Cu!G498</f>
        <v>0</v>
      </c>
      <c r="X496" s="272">
        <f>Mn!G498</f>
        <v>0</v>
      </c>
      <c r="Y496" s="272">
        <f>Fe!G498</f>
        <v>0</v>
      </c>
      <c r="Z496" s="274">
        <f>M.O!H498</f>
        <v>0</v>
      </c>
      <c r="AA496" s="272" t="e">
        <f t="shared" si="46"/>
        <v>#DIV/0!</v>
      </c>
      <c r="AB496" s="272" t="e">
        <f t="shared" si="47"/>
        <v>#DIV/0!</v>
      </c>
      <c r="AC496" s="272" t="e">
        <f t="shared" si="48"/>
        <v>#DIV/0!</v>
      </c>
    </row>
    <row r="497" spans="1:29" x14ac:dyDescent="0.2">
      <c r="A497" s="106">
        <f>Cadastro!A501</f>
        <v>0</v>
      </c>
      <c r="B497" s="27">
        <f>Cadastro!E499</f>
        <v>0</v>
      </c>
      <c r="C497">
        <f>pH_água!C497</f>
        <v>0</v>
      </c>
      <c r="D497">
        <f>pH_KCl!B498</f>
        <v>0</v>
      </c>
      <c r="E497">
        <f>'pH CaCl2'!C497</f>
        <v>0</v>
      </c>
      <c r="F497" s="104">
        <f>P_Mehlich1!H482</f>
        <v>0</v>
      </c>
      <c r="G497" s="123">
        <f>P_resina!H502</f>
        <v>0</v>
      </c>
      <c r="H497" s="272">
        <f>K!G467</f>
        <v>0</v>
      </c>
      <c r="I497" s="125">
        <v>0</v>
      </c>
      <c r="J497" s="272">
        <f>'Ca2+'!G498</f>
        <v>0</v>
      </c>
      <c r="K497" s="272">
        <f>Mg²!G500</f>
        <v>0</v>
      </c>
      <c r="L497" s="279">
        <f>Al³!C499</f>
        <v>0</v>
      </c>
      <c r="M497" s="279">
        <f>'H + Al'!D499</f>
        <v>0</v>
      </c>
      <c r="N497" s="272">
        <f t="shared" si="41"/>
        <v>0</v>
      </c>
      <c r="O497" s="272">
        <f t="shared" si="42"/>
        <v>0</v>
      </c>
      <c r="P497" s="272">
        <f t="shared" si="43"/>
        <v>0</v>
      </c>
      <c r="Q497" s="293" t="e">
        <f t="shared" si="44"/>
        <v>#DIV/0!</v>
      </c>
      <c r="R497" s="293" t="e">
        <f t="shared" si="45"/>
        <v>#DIV/0!</v>
      </c>
      <c r="S497">
        <f>Prem!H499</f>
        <v>0</v>
      </c>
      <c r="T497" s="281">
        <f>S!H503</f>
        <v>0</v>
      </c>
      <c r="U497" s="274">
        <f>B!H498</f>
        <v>0</v>
      </c>
      <c r="V497" s="272">
        <f>Zn!G499</f>
        <v>0</v>
      </c>
      <c r="W497" s="272">
        <f>Cu!G499</f>
        <v>0</v>
      </c>
      <c r="X497" s="272">
        <f>Mn!G499</f>
        <v>0</v>
      </c>
      <c r="Y497" s="272">
        <f>Fe!G499</f>
        <v>0</v>
      </c>
      <c r="Z497" s="274">
        <f>M.O!H499</f>
        <v>0</v>
      </c>
      <c r="AA497" s="272" t="e">
        <f t="shared" si="46"/>
        <v>#DIV/0!</v>
      </c>
      <c r="AB497" s="272" t="e">
        <f t="shared" si="47"/>
        <v>#DIV/0!</v>
      </c>
      <c r="AC497" s="272" t="e">
        <f t="shared" si="48"/>
        <v>#DIV/0!</v>
      </c>
    </row>
    <row r="498" spans="1:29" x14ac:dyDescent="0.2">
      <c r="A498" s="106">
        <f>Cadastro!A502</f>
        <v>0</v>
      </c>
      <c r="B498" s="27">
        <f>Cadastro!E500</f>
        <v>0</v>
      </c>
      <c r="C498">
        <f>pH_água!C498</f>
        <v>0</v>
      </c>
      <c r="D498">
        <f>pH_KCl!B499</f>
        <v>0</v>
      </c>
      <c r="E498">
        <f>'pH CaCl2'!C498</f>
        <v>0</v>
      </c>
      <c r="F498" s="104">
        <f>P_Mehlich1!H483</f>
        <v>0</v>
      </c>
      <c r="G498" s="123">
        <f>P_resina!H503</f>
        <v>0</v>
      </c>
      <c r="H498" s="272">
        <f>K!G468</f>
        <v>0</v>
      </c>
      <c r="I498" s="125">
        <v>0</v>
      </c>
      <c r="J498" s="272">
        <f>'Ca2+'!G499</f>
        <v>0</v>
      </c>
      <c r="K498" s="272">
        <f>Mg²!G501</f>
        <v>0</v>
      </c>
      <c r="L498" s="279">
        <f>Al³!C500</f>
        <v>0</v>
      </c>
      <c r="M498" s="279">
        <f>'H + Al'!D500</f>
        <v>0</v>
      </c>
      <c r="N498" s="272">
        <f t="shared" si="41"/>
        <v>0</v>
      </c>
      <c r="O498" s="272">
        <f t="shared" si="42"/>
        <v>0</v>
      </c>
      <c r="P498" s="272">
        <f t="shared" si="43"/>
        <v>0</v>
      </c>
      <c r="Q498" s="293" t="e">
        <f t="shared" si="44"/>
        <v>#DIV/0!</v>
      </c>
      <c r="R498" s="293" t="e">
        <f t="shared" si="45"/>
        <v>#DIV/0!</v>
      </c>
      <c r="S498">
        <f>Prem!H500</f>
        <v>0</v>
      </c>
      <c r="T498" s="281">
        <f>S!H504</f>
        <v>0</v>
      </c>
      <c r="U498" s="274">
        <f>B!H499</f>
        <v>0</v>
      </c>
      <c r="V498" s="272">
        <f>Zn!G500</f>
        <v>0</v>
      </c>
      <c r="W498" s="272">
        <f>Cu!G500</f>
        <v>0</v>
      </c>
      <c r="X498" s="272">
        <f>Mn!G500</f>
        <v>0</v>
      </c>
      <c r="Y498" s="272">
        <f>Fe!G500</f>
        <v>0</v>
      </c>
      <c r="Z498" s="274">
        <f>M.O!H500</f>
        <v>0</v>
      </c>
      <c r="AA498" s="272" t="e">
        <f t="shared" si="46"/>
        <v>#DIV/0!</v>
      </c>
      <c r="AB498" s="272" t="e">
        <f t="shared" si="47"/>
        <v>#DIV/0!</v>
      </c>
      <c r="AC498" s="272" t="e">
        <f t="shared" si="48"/>
        <v>#DIV/0!</v>
      </c>
    </row>
    <row r="499" spans="1:29" x14ac:dyDescent="0.2">
      <c r="A499" s="106">
        <f>Cadastro!A503</f>
        <v>0</v>
      </c>
      <c r="B499" s="27">
        <f>Cadastro!E501</f>
        <v>0</v>
      </c>
      <c r="C499">
        <f>pH_água!C499</f>
        <v>0</v>
      </c>
      <c r="D499">
        <f>pH_KCl!B500</f>
        <v>0</v>
      </c>
      <c r="E499">
        <f>'pH CaCl2'!C499</f>
        <v>0</v>
      </c>
      <c r="F499" s="104">
        <f>P_Mehlich1!H484</f>
        <v>0</v>
      </c>
      <c r="G499" s="123">
        <f>P_resina!H504</f>
        <v>0</v>
      </c>
      <c r="H499" s="272">
        <f>K!G469</f>
        <v>0</v>
      </c>
      <c r="I499" s="125">
        <v>0</v>
      </c>
      <c r="J499" s="272">
        <f>'Ca2+'!G500</f>
        <v>0</v>
      </c>
      <c r="K499" s="272">
        <f>Mg²!G502</f>
        <v>0</v>
      </c>
      <c r="L499" s="279">
        <f>Al³!C501</f>
        <v>0</v>
      </c>
      <c r="M499" s="279">
        <f>'H + Al'!D501</f>
        <v>0</v>
      </c>
      <c r="N499" s="272">
        <f t="shared" si="41"/>
        <v>0</v>
      </c>
      <c r="O499" s="272">
        <f t="shared" si="42"/>
        <v>0</v>
      </c>
      <c r="P499" s="272">
        <f t="shared" si="43"/>
        <v>0</v>
      </c>
      <c r="Q499" s="293" t="e">
        <f t="shared" si="44"/>
        <v>#DIV/0!</v>
      </c>
      <c r="R499" s="293" t="e">
        <f t="shared" si="45"/>
        <v>#DIV/0!</v>
      </c>
      <c r="S499">
        <f>Prem!H501</f>
        <v>0</v>
      </c>
      <c r="T499" s="281">
        <f>S!H505</f>
        <v>0</v>
      </c>
      <c r="U499" s="274">
        <f>B!H500</f>
        <v>0</v>
      </c>
      <c r="V499" s="272">
        <f>Zn!G501</f>
        <v>0</v>
      </c>
      <c r="W499" s="272">
        <f>Cu!G501</f>
        <v>0</v>
      </c>
      <c r="X499" s="272">
        <f>Mn!G501</f>
        <v>0</v>
      </c>
      <c r="Y499" s="272">
        <f>Fe!G501</f>
        <v>0</v>
      </c>
      <c r="Z499" s="274">
        <f>M.O!H501</f>
        <v>0</v>
      </c>
      <c r="AA499" s="272" t="e">
        <f t="shared" si="46"/>
        <v>#DIV/0!</v>
      </c>
      <c r="AB499" s="272" t="e">
        <f t="shared" si="47"/>
        <v>#DIV/0!</v>
      </c>
      <c r="AC499" s="272" t="e">
        <f t="shared" si="48"/>
        <v>#DIV/0!</v>
      </c>
    </row>
    <row r="500" spans="1:29" x14ac:dyDescent="0.2">
      <c r="A500" s="106">
        <f>Cadastro!A504</f>
        <v>0</v>
      </c>
      <c r="B500" s="27">
        <f>Cadastro!E502</f>
        <v>0</v>
      </c>
      <c r="C500">
        <f>pH_água!C500</f>
        <v>0</v>
      </c>
      <c r="D500">
        <f>pH_KCl!B501</f>
        <v>0</v>
      </c>
      <c r="E500">
        <f>'pH CaCl2'!C500</f>
        <v>0</v>
      </c>
      <c r="F500" s="104">
        <f>P_Mehlich1!H485</f>
        <v>0</v>
      </c>
      <c r="G500" s="123">
        <f>P_resina!H505</f>
        <v>0</v>
      </c>
      <c r="H500" s="272">
        <f>K!G470</f>
        <v>0</v>
      </c>
      <c r="I500" s="125">
        <v>0</v>
      </c>
      <c r="J500" s="272">
        <f>'Ca2+'!G501</f>
        <v>0</v>
      </c>
      <c r="K500" s="272">
        <f>Mg²!G503</f>
        <v>0</v>
      </c>
      <c r="L500" s="279">
        <f>Al³!C502</f>
        <v>0</v>
      </c>
      <c r="M500" s="279">
        <f>'H + Al'!D502</f>
        <v>0</v>
      </c>
      <c r="N500" s="272">
        <f t="shared" ref="N500:N563" si="49">(H500/390)+(I500/230)+J500+K500</f>
        <v>0</v>
      </c>
      <c r="O500" s="272">
        <f t="shared" ref="O500:O563" si="50">N500+L500</f>
        <v>0</v>
      </c>
      <c r="P500" s="272">
        <f t="shared" ref="P500:P563" si="51">N500+M500</f>
        <v>0</v>
      </c>
      <c r="Q500" s="293" t="e">
        <f t="shared" ref="Q500:Q563" si="52">(N500/P500)*100</f>
        <v>#DIV/0!</v>
      </c>
      <c r="R500" s="293" t="e">
        <f t="shared" ref="R500:R563" si="53">(L500/O500)*100</f>
        <v>#DIV/0!</v>
      </c>
      <c r="S500">
        <f>Prem!H502</f>
        <v>0</v>
      </c>
      <c r="T500" s="281">
        <f>S!H506</f>
        <v>0</v>
      </c>
      <c r="U500" s="274">
        <f>B!H501</f>
        <v>0</v>
      </c>
      <c r="V500" s="272">
        <f>Zn!G502</f>
        <v>0</v>
      </c>
      <c r="W500" s="272">
        <f>Cu!G502</f>
        <v>0</v>
      </c>
      <c r="X500" s="272">
        <f>Mn!G502</f>
        <v>0</v>
      </c>
      <c r="Y500" s="272">
        <f>Fe!G502</f>
        <v>0</v>
      </c>
      <c r="Z500" s="274">
        <f>M.O!H502</f>
        <v>0</v>
      </c>
      <c r="AA500" s="272" t="e">
        <f t="shared" ref="AA500:AA563" si="54">J500/K500</f>
        <v>#DIV/0!</v>
      </c>
      <c r="AB500" s="272" t="e">
        <f t="shared" ref="AB500:AB563" si="55">J500/(H500/390)</f>
        <v>#DIV/0!</v>
      </c>
      <c r="AC500" s="272" t="e">
        <f t="shared" ref="AC500:AC563" si="56">K500/(H500/390)</f>
        <v>#DIV/0!</v>
      </c>
    </row>
    <row r="501" spans="1:29" x14ac:dyDescent="0.2">
      <c r="A501" s="106">
        <f>Cadastro!A505</f>
        <v>0</v>
      </c>
      <c r="B501" s="27">
        <f>Cadastro!E503</f>
        <v>0</v>
      </c>
      <c r="C501">
        <f>pH_água!C501</f>
        <v>0</v>
      </c>
      <c r="D501">
        <f>pH_KCl!B502</f>
        <v>0</v>
      </c>
      <c r="E501">
        <f>'pH CaCl2'!C501</f>
        <v>0</v>
      </c>
      <c r="F501" s="104">
        <f>P_Mehlich1!H486</f>
        <v>0</v>
      </c>
      <c r="G501" s="123">
        <f>P_resina!H506</f>
        <v>0</v>
      </c>
      <c r="H501" s="272">
        <f>K!G471</f>
        <v>0</v>
      </c>
      <c r="I501" s="125">
        <v>0</v>
      </c>
      <c r="J501" s="272">
        <f>'Ca2+'!G502</f>
        <v>0</v>
      </c>
      <c r="K501" s="272">
        <f>Mg²!G504</f>
        <v>0</v>
      </c>
      <c r="L501" s="279">
        <f>Al³!C503</f>
        <v>0</v>
      </c>
      <c r="M501" s="279">
        <f>'H + Al'!D503</f>
        <v>0</v>
      </c>
      <c r="N501" s="272">
        <f t="shared" si="49"/>
        <v>0</v>
      </c>
      <c r="O501" s="272">
        <f t="shared" si="50"/>
        <v>0</v>
      </c>
      <c r="P501" s="272">
        <f t="shared" si="51"/>
        <v>0</v>
      </c>
      <c r="Q501" s="293" t="e">
        <f t="shared" si="52"/>
        <v>#DIV/0!</v>
      </c>
      <c r="R501" s="293" t="e">
        <f t="shared" si="53"/>
        <v>#DIV/0!</v>
      </c>
      <c r="S501">
        <f>Prem!H503</f>
        <v>0</v>
      </c>
      <c r="T501" s="281">
        <f>S!H507</f>
        <v>0</v>
      </c>
      <c r="U501" s="274">
        <f>B!H502</f>
        <v>0</v>
      </c>
      <c r="V501" s="272">
        <f>Zn!G503</f>
        <v>0</v>
      </c>
      <c r="W501" s="272">
        <f>Cu!G503</f>
        <v>0</v>
      </c>
      <c r="X501" s="272">
        <f>Mn!G503</f>
        <v>0</v>
      </c>
      <c r="Y501" s="272">
        <f>Fe!G503</f>
        <v>0</v>
      </c>
      <c r="Z501" s="274">
        <f>M.O!H503</f>
        <v>0</v>
      </c>
      <c r="AA501" s="272" t="e">
        <f t="shared" si="54"/>
        <v>#DIV/0!</v>
      </c>
      <c r="AB501" s="272" t="e">
        <f t="shared" si="55"/>
        <v>#DIV/0!</v>
      </c>
      <c r="AC501" s="272" t="e">
        <f t="shared" si="56"/>
        <v>#DIV/0!</v>
      </c>
    </row>
    <row r="502" spans="1:29" x14ac:dyDescent="0.2">
      <c r="A502" s="106">
        <f>Cadastro!A506</f>
        <v>0</v>
      </c>
      <c r="B502" s="27">
        <f>Cadastro!E504</f>
        <v>0</v>
      </c>
      <c r="C502">
        <f>pH_água!C502</f>
        <v>0</v>
      </c>
      <c r="D502">
        <f>pH_KCl!B503</f>
        <v>0</v>
      </c>
      <c r="E502">
        <f>'pH CaCl2'!C502</f>
        <v>0</v>
      </c>
      <c r="F502" s="104">
        <f>P_Mehlich1!H487</f>
        <v>0</v>
      </c>
      <c r="G502" s="123">
        <f>P_resina!H507</f>
        <v>0</v>
      </c>
      <c r="H502" s="272">
        <f>K!G472</f>
        <v>0</v>
      </c>
      <c r="I502" s="125">
        <v>0</v>
      </c>
      <c r="J502" s="272">
        <f>'Ca2+'!G503</f>
        <v>0</v>
      </c>
      <c r="K502" s="272">
        <f>Mg²!G505</f>
        <v>0</v>
      </c>
      <c r="L502" s="279">
        <f>Al³!C504</f>
        <v>0</v>
      </c>
      <c r="M502" s="279">
        <f>'H + Al'!D504</f>
        <v>0</v>
      </c>
      <c r="N502" s="272">
        <f t="shared" si="49"/>
        <v>0</v>
      </c>
      <c r="O502" s="272">
        <f t="shared" si="50"/>
        <v>0</v>
      </c>
      <c r="P502" s="272">
        <f t="shared" si="51"/>
        <v>0</v>
      </c>
      <c r="Q502" s="293" t="e">
        <f t="shared" si="52"/>
        <v>#DIV/0!</v>
      </c>
      <c r="R502" s="293" t="e">
        <f t="shared" si="53"/>
        <v>#DIV/0!</v>
      </c>
      <c r="S502">
        <f>Prem!H504</f>
        <v>0</v>
      </c>
      <c r="T502" s="281">
        <f>S!H508</f>
        <v>0</v>
      </c>
      <c r="U502" s="274">
        <f>B!H503</f>
        <v>0</v>
      </c>
      <c r="V502" s="272">
        <f>Zn!G504</f>
        <v>0</v>
      </c>
      <c r="W502" s="272">
        <f>Cu!G504</f>
        <v>0</v>
      </c>
      <c r="X502" s="272">
        <f>Mn!G504</f>
        <v>0</v>
      </c>
      <c r="Y502" s="272">
        <f>Fe!G504</f>
        <v>0</v>
      </c>
      <c r="Z502" s="274">
        <f>M.O!H504</f>
        <v>0</v>
      </c>
      <c r="AA502" s="272" t="e">
        <f t="shared" si="54"/>
        <v>#DIV/0!</v>
      </c>
      <c r="AB502" s="272" t="e">
        <f t="shared" si="55"/>
        <v>#DIV/0!</v>
      </c>
      <c r="AC502" s="272" t="e">
        <f t="shared" si="56"/>
        <v>#DIV/0!</v>
      </c>
    </row>
    <row r="503" spans="1:29" x14ac:dyDescent="0.2">
      <c r="A503" s="106">
        <f>Cadastro!A507</f>
        <v>0</v>
      </c>
      <c r="B503" s="27">
        <f>Cadastro!E505</f>
        <v>0</v>
      </c>
      <c r="C503">
        <f>pH_água!C503</f>
        <v>0</v>
      </c>
      <c r="D503">
        <f>pH_KCl!B504</f>
        <v>0</v>
      </c>
      <c r="E503">
        <f>'pH CaCl2'!C503</f>
        <v>0</v>
      </c>
      <c r="F503" s="104">
        <f>P_Mehlich1!H488</f>
        <v>0</v>
      </c>
      <c r="G503" s="123">
        <f>P_resina!H508</f>
        <v>0</v>
      </c>
      <c r="H503" s="272">
        <f>K!G473</f>
        <v>0</v>
      </c>
      <c r="I503" s="125">
        <v>0</v>
      </c>
      <c r="J503" s="272">
        <f>'Ca2+'!G504</f>
        <v>0</v>
      </c>
      <c r="K503" s="272">
        <f>Mg²!G506</f>
        <v>0</v>
      </c>
      <c r="L503" s="279">
        <f>Al³!C505</f>
        <v>0</v>
      </c>
      <c r="M503" s="279">
        <f>'H + Al'!D505</f>
        <v>0</v>
      </c>
      <c r="N503" s="272">
        <f t="shared" si="49"/>
        <v>0</v>
      </c>
      <c r="O503" s="272">
        <f t="shared" si="50"/>
        <v>0</v>
      </c>
      <c r="P503" s="272">
        <f t="shared" si="51"/>
        <v>0</v>
      </c>
      <c r="Q503" s="293" t="e">
        <f t="shared" si="52"/>
        <v>#DIV/0!</v>
      </c>
      <c r="R503" s="293" t="e">
        <f t="shared" si="53"/>
        <v>#DIV/0!</v>
      </c>
      <c r="S503">
        <f>Prem!H505</f>
        <v>0</v>
      </c>
      <c r="T503" s="281">
        <f>S!H509</f>
        <v>0</v>
      </c>
      <c r="U503" s="274">
        <f>B!H504</f>
        <v>0</v>
      </c>
      <c r="V503" s="272">
        <f>Zn!G505</f>
        <v>0</v>
      </c>
      <c r="W503" s="272">
        <f>Cu!G505</f>
        <v>0</v>
      </c>
      <c r="X503" s="272">
        <f>Mn!G505</f>
        <v>0</v>
      </c>
      <c r="Y503" s="272">
        <f>Fe!G505</f>
        <v>0</v>
      </c>
      <c r="Z503" s="274">
        <f>M.O!H505</f>
        <v>0</v>
      </c>
      <c r="AA503" s="272" t="e">
        <f t="shared" si="54"/>
        <v>#DIV/0!</v>
      </c>
      <c r="AB503" s="272" t="e">
        <f t="shared" si="55"/>
        <v>#DIV/0!</v>
      </c>
      <c r="AC503" s="272" t="e">
        <f t="shared" si="56"/>
        <v>#DIV/0!</v>
      </c>
    </row>
    <row r="504" spans="1:29" x14ac:dyDescent="0.2">
      <c r="A504" s="106">
        <f>Cadastro!A508</f>
        <v>0</v>
      </c>
      <c r="B504" s="27">
        <f>Cadastro!E506</f>
        <v>0</v>
      </c>
      <c r="C504">
        <f>pH_água!C504</f>
        <v>0</v>
      </c>
      <c r="D504">
        <f>pH_KCl!B505</f>
        <v>0</v>
      </c>
      <c r="E504">
        <f>'pH CaCl2'!C504</f>
        <v>0</v>
      </c>
      <c r="F504" s="104">
        <f>P_Mehlich1!H489</f>
        <v>0</v>
      </c>
      <c r="G504" s="123">
        <f>P_resina!H509</f>
        <v>0</v>
      </c>
      <c r="H504" s="272">
        <f>K!G474</f>
        <v>0</v>
      </c>
      <c r="I504" s="125">
        <v>0</v>
      </c>
      <c r="J504" s="272">
        <f>'Ca2+'!G505</f>
        <v>0</v>
      </c>
      <c r="K504" s="272">
        <f>Mg²!G507</f>
        <v>0</v>
      </c>
      <c r="L504" s="279">
        <f>Al³!C506</f>
        <v>0</v>
      </c>
      <c r="M504" s="279">
        <f>'H + Al'!D506</f>
        <v>0</v>
      </c>
      <c r="N504" s="272">
        <f t="shared" si="49"/>
        <v>0</v>
      </c>
      <c r="O504" s="272">
        <f t="shared" si="50"/>
        <v>0</v>
      </c>
      <c r="P504" s="272">
        <f t="shared" si="51"/>
        <v>0</v>
      </c>
      <c r="Q504" s="293" t="e">
        <f t="shared" si="52"/>
        <v>#DIV/0!</v>
      </c>
      <c r="R504" s="293" t="e">
        <f t="shared" si="53"/>
        <v>#DIV/0!</v>
      </c>
      <c r="S504">
        <f>Prem!H506</f>
        <v>0</v>
      </c>
      <c r="T504" s="281">
        <f>S!H510</f>
        <v>0</v>
      </c>
      <c r="U504" s="274">
        <f>B!H505</f>
        <v>0</v>
      </c>
      <c r="V504" s="272">
        <f>Zn!G506</f>
        <v>0</v>
      </c>
      <c r="W504" s="272">
        <f>Cu!G506</f>
        <v>0</v>
      </c>
      <c r="X504" s="272">
        <f>Mn!G506</f>
        <v>0</v>
      </c>
      <c r="Y504" s="272">
        <f>Fe!G506</f>
        <v>0</v>
      </c>
      <c r="Z504" s="274">
        <f>M.O!H506</f>
        <v>0</v>
      </c>
      <c r="AA504" s="272" t="e">
        <f t="shared" si="54"/>
        <v>#DIV/0!</v>
      </c>
      <c r="AB504" s="272" t="e">
        <f t="shared" si="55"/>
        <v>#DIV/0!</v>
      </c>
      <c r="AC504" s="272" t="e">
        <f t="shared" si="56"/>
        <v>#DIV/0!</v>
      </c>
    </row>
    <row r="505" spans="1:29" x14ac:dyDescent="0.2">
      <c r="A505" s="106">
        <f>Cadastro!A509</f>
        <v>0</v>
      </c>
      <c r="B505" s="27">
        <f>Cadastro!E507</f>
        <v>0</v>
      </c>
      <c r="C505">
        <f>pH_água!C505</f>
        <v>0</v>
      </c>
      <c r="D505">
        <f>pH_KCl!B506</f>
        <v>0</v>
      </c>
      <c r="E505">
        <f>'pH CaCl2'!C505</f>
        <v>0</v>
      </c>
      <c r="F505" s="104">
        <f>P_Mehlich1!H490</f>
        <v>0</v>
      </c>
      <c r="G505" s="123">
        <f>P_resina!H510</f>
        <v>0</v>
      </c>
      <c r="H505" s="272">
        <f>K!G475</f>
        <v>0</v>
      </c>
      <c r="I505" s="125">
        <v>0</v>
      </c>
      <c r="J505" s="272">
        <f>'Ca2+'!G506</f>
        <v>0</v>
      </c>
      <c r="K505" s="272">
        <f>Mg²!G508</f>
        <v>0</v>
      </c>
      <c r="L505" s="279">
        <f>Al³!C507</f>
        <v>0</v>
      </c>
      <c r="M505" s="279">
        <f>'H + Al'!D507</f>
        <v>0</v>
      </c>
      <c r="N505" s="272">
        <f t="shared" si="49"/>
        <v>0</v>
      </c>
      <c r="O505" s="272">
        <f t="shared" si="50"/>
        <v>0</v>
      </c>
      <c r="P505" s="272">
        <f t="shared" si="51"/>
        <v>0</v>
      </c>
      <c r="Q505" s="293" t="e">
        <f t="shared" si="52"/>
        <v>#DIV/0!</v>
      </c>
      <c r="R505" s="293" t="e">
        <f t="shared" si="53"/>
        <v>#DIV/0!</v>
      </c>
      <c r="S505">
        <f>Prem!H507</f>
        <v>0</v>
      </c>
      <c r="T505" s="281">
        <f>S!H511</f>
        <v>0</v>
      </c>
      <c r="U505" s="274">
        <f>B!H506</f>
        <v>0</v>
      </c>
      <c r="V505" s="272">
        <f>Zn!G507</f>
        <v>0</v>
      </c>
      <c r="W505" s="272">
        <f>Cu!G507</f>
        <v>0</v>
      </c>
      <c r="X505" s="272">
        <f>Mn!G507</f>
        <v>0</v>
      </c>
      <c r="Y505" s="272">
        <f>Fe!G507</f>
        <v>0</v>
      </c>
      <c r="Z505" s="274">
        <f>M.O!H507</f>
        <v>0</v>
      </c>
      <c r="AA505" s="272" t="e">
        <f t="shared" si="54"/>
        <v>#DIV/0!</v>
      </c>
      <c r="AB505" s="272" t="e">
        <f t="shared" si="55"/>
        <v>#DIV/0!</v>
      </c>
      <c r="AC505" s="272" t="e">
        <f t="shared" si="56"/>
        <v>#DIV/0!</v>
      </c>
    </row>
    <row r="506" spans="1:29" x14ac:dyDescent="0.2">
      <c r="A506" s="106">
        <f>Cadastro!A510</f>
        <v>0</v>
      </c>
      <c r="B506" s="27">
        <f>Cadastro!E508</f>
        <v>0</v>
      </c>
      <c r="C506">
        <f>pH_água!C506</f>
        <v>0</v>
      </c>
      <c r="D506">
        <f>pH_KCl!B507</f>
        <v>0</v>
      </c>
      <c r="E506">
        <f>'pH CaCl2'!C506</f>
        <v>0</v>
      </c>
      <c r="F506" s="104">
        <f>P_Mehlich1!H491</f>
        <v>0</v>
      </c>
      <c r="G506" s="123">
        <f>P_resina!H511</f>
        <v>0</v>
      </c>
      <c r="H506" s="272">
        <f>K!G476</f>
        <v>0</v>
      </c>
      <c r="I506" s="125">
        <v>0</v>
      </c>
      <c r="J506" s="272">
        <f>'Ca2+'!G507</f>
        <v>0</v>
      </c>
      <c r="K506" s="272">
        <f>Mg²!G509</f>
        <v>0</v>
      </c>
      <c r="L506" s="279">
        <f>Al³!C508</f>
        <v>0</v>
      </c>
      <c r="M506" s="279">
        <f>'H + Al'!D508</f>
        <v>0</v>
      </c>
      <c r="N506" s="272">
        <f t="shared" si="49"/>
        <v>0</v>
      </c>
      <c r="O506" s="272">
        <f t="shared" si="50"/>
        <v>0</v>
      </c>
      <c r="P506" s="272">
        <f t="shared" si="51"/>
        <v>0</v>
      </c>
      <c r="Q506" s="293" t="e">
        <f t="shared" si="52"/>
        <v>#DIV/0!</v>
      </c>
      <c r="R506" s="293" t="e">
        <f t="shared" si="53"/>
        <v>#DIV/0!</v>
      </c>
      <c r="S506">
        <f>Prem!H508</f>
        <v>0</v>
      </c>
      <c r="T506" s="281">
        <f>S!H512</f>
        <v>0</v>
      </c>
      <c r="U506" s="274">
        <f>B!H507</f>
        <v>0</v>
      </c>
      <c r="V506" s="272">
        <f>Zn!G508</f>
        <v>0</v>
      </c>
      <c r="W506" s="272">
        <f>Cu!G508</f>
        <v>0</v>
      </c>
      <c r="X506" s="272">
        <f>Mn!G508</f>
        <v>0</v>
      </c>
      <c r="Y506" s="272">
        <f>Fe!G508</f>
        <v>0</v>
      </c>
      <c r="Z506" s="274">
        <f>M.O!H508</f>
        <v>0</v>
      </c>
      <c r="AA506" s="272" t="e">
        <f t="shared" si="54"/>
        <v>#DIV/0!</v>
      </c>
      <c r="AB506" s="272" t="e">
        <f t="shared" si="55"/>
        <v>#DIV/0!</v>
      </c>
      <c r="AC506" s="272" t="e">
        <f t="shared" si="56"/>
        <v>#DIV/0!</v>
      </c>
    </row>
    <row r="507" spans="1:29" x14ac:dyDescent="0.2">
      <c r="A507" s="106">
        <f>Cadastro!A511</f>
        <v>0</v>
      </c>
      <c r="B507" s="27">
        <f>Cadastro!E509</f>
        <v>0</v>
      </c>
      <c r="C507">
        <f>pH_água!C507</f>
        <v>0</v>
      </c>
      <c r="D507">
        <f>pH_KCl!B508</f>
        <v>0</v>
      </c>
      <c r="E507">
        <f>'pH CaCl2'!C507</f>
        <v>0</v>
      </c>
      <c r="F507" s="104">
        <f>P_Mehlich1!H492</f>
        <v>0</v>
      </c>
      <c r="G507" s="123">
        <f>P_resina!H512</f>
        <v>0</v>
      </c>
      <c r="H507" s="272">
        <f>K!G477</f>
        <v>0</v>
      </c>
      <c r="I507" s="125">
        <v>0</v>
      </c>
      <c r="J507" s="272">
        <f>'Ca2+'!G508</f>
        <v>0</v>
      </c>
      <c r="K507" s="272">
        <f>Mg²!G510</f>
        <v>0</v>
      </c>
      <c r="L507" s="279">
        <f>Al³!C509</f>
        <v>0</v>
      </c>
      <c r="M507" s="279">
        <f>'H + Al'!D509</f>
        <v>0</v>
      </c>
      <c r="N507" s="272">
        <f t="shared" si="49"/>
        <v>0</v>
      </c>
      <c r="O507" s="272">
        <f t="shared" si="50"/>
        <v>0</v>
      </c>
      <c r="P507" s="272">
        <f t="shared" si="51"/>
        <v>0</v>
      </c>
      <c r="Q507" s="293" t="e">
        <f t="shared" si="52"/>
        <v>#DIV/0!</v>
      </c>
      <c r="R507" s="293" t="e">
        <f t="shared" si="53"/>
        <v>#DIV/0!</v>
      </c>
      <c r="S507">
        <f>Prem!H509</f>
        <v>0</v>
      </c>
      <c r="T507" s="281">
        <f>S!H513</f>
        <v>0</v>
      </c>
      <c r="U507" s="274">
        <f>B!H508</f>
        <v>0</v>
      </c>
      <c r="V507" s="272">
        <f>Zn!G509</f>
        <v>0</v>
      </c>
      <c r="W507" s="272">
        <f>Cu!G509</f>
        <v>0</v>
      </c>
      <c r="X507" s="272">
        <f>Mn!G509</f>
        <v>0</v>
      </c>
      <c r="Y507" s="272">
        <f>Fe!G509</f>
        <v>0</v>
      </c>
      <c r="Z507" s="274">
        <f>M.O!H509</f>
        <v>0</v>
      </c>
      <c r="AA507" s="272" t="e">
        <f t="shared" si="54"/>
        <v>#DIV/0!</v>
      </c>
      <c r="AB507" s="272" t="e">
        <f t="shared" si="55"/>
        <v>#DIV/0!</v>
      </c>
      <c r="AC507" s="272" t="e">
        <f t="shared" si="56"/>
        <v>#DIV/0!</v>
      </c>
    </row>
    <row r="508" spans="1:29" x14ac:dyDescent="0.2">
      <c r="A508" s="106">
        <f>Cadastro!A512</f>
        <v>0</v>
      </c>
      <c r="B508" s="27">
        <f>Cadastro!E510</f>
        <v>0</v>
      </c>
      <c r="C508">
        <f>pH_água!C508</f>
        <v>0</v>
      </c>
      <c r="D508">
        <f>pH_KCl!B509</f>
        <v>0</v>
      </c>
      <c r="E508">
        <f>'pH CaCl2'!C508</f>
        <v>0</v>
      </c>
      <c r="F508" s="104">
        <f>P_Mehlich1!H493</f>
        <v>0</v>
      </c>
      <c r="G508" s="123">
        <f>P_resina!H513</f>
        <v>0</v>
      </c>
      <c r="H508" s="272">
        <f>K!G478</f>
        <v>0</v>
      </c>
      <c r="I508" s="125">
        <v>0</v>
      </c>
      <c r="J508" s="272">
        <f>'Ca2+'!G509</f>
        <v>0</v>
      </c>
      <c r="K508" s="272">
        <f>Mg²!G511</f>
        <v>0</v>
      </c>
      <c r="L508" s="279">
        <f>Al³!C510</f>
        <v>0</v>
      </c>
      <c r="M508" s="279">
        <f>'H + Al'!D510</f>
        <v>0</v>
      </c>
      <c r="N508" s="272">
        <f t="shared" si="49"/>
        <v>0</v>
      </c>
      <c r="O508" s="272">
        <f t="shared" si="50"/>
        <v>0</v>
      </c>
      <c r="P508" s="272">
        <f t="shared" si="51"/>
        <v>0</v>
      </c>
      <c r="Q508" s="293" t="e">
        <f t="shared" si="52"/>
        <v>#DIV/0!</v>
      </c>
      <c r="R508" s="293" t="e">
        <f t="shared" si="53"/>
        <v>#DIV/0!</v>
      </c>
      <c r="S508">
        <f>Prem!H510</f>
        <v>0</v>
      </c>
      <c r="T508" s="281">
        <f>S!H514</f>
        <v>0</v>
      </c>
      <c r="U508" s="274">
        <f>B!H509</f>
        <v>0</v>
      </c>
      <c r="V508" s="272">
        <f>Zn!G510</f>
        <v>0</v>
      </c>
      <c r="W508" s="272">
        <f>Cu!G510</f>
        <v>0</v>
      </c>
      <c r="X508" s="272">
        <f>Mn!G510</f>
        <v>0</v>
      </c>
      <c r="Y508" s="272">
        <f>Fe!G510</f>
        <v>0</v>
      </c>
      <c r="Z508" s="274">
        <f>M.O!H510</f>
        <v>0</v>
      </c>
      <c r="AA508" s="272" t="e">
        <f t="shared" si="54"/>
        <v>#DIV/0!</v>
      </c>
      <c r="AB508" s="272" t="e">
        <f t="shared" si="55"/>
        <v>#DIV/0!</v>
      </c>
      <c r="AC508" s="272" t="e">
        <f t="shared" si="56"/>
        <v>#DIV/0!</v>
      </c>
    </row>
    <row r="509" spans="1:29" x14ac:dyDescent="0.2">
      <c r="A509" s="106">
        <f>Cadastro!A513</f>
        <v>0</v>
      </c>
      <c r="B509" s="27">
        <f>Cadastro!E511</f>
        <v>0</v>
      </c>
      <c r="C509">
        <f>pH_água!C509</f>
        <v>0</v>
      </c>
      <c r="D509">
        <f>pH_KCl!B510</f>
        <v>0</v>
      </c>
      <c r="E509">
        <f>'pH CaCl2'!C509</f>
        <v>0</v>
      </c>
      <c r="F509" s="104">
        <f>P_Mehlich1!H494</f>
        <v>0</v>
      </c>
      <c r="G509" s="123">
        <f>P_resina!H514</f>
        <v>0</v>
      </c>
      <c r="H509" s="272">
        <f>K!G479</f>
        <v>0</v>
      </c>
      <c r="I509" s="125">
        <v>0</v>
      </c>
      <c r="J509" s="272">
        <f>'Ca2+'!G510</f>
        <v>0</v>
      </c>
      <c r="K509" s="272">
        <f>Mg²!G512</f>
        <v>0</v>
      </c>
      <c r="L509" s="279">
        <f>Al³!C511</f>
        <v>0</v>
      </c>
      <c r="M509" s="279">
        <f>'H + Al'!D511</f>
        <v>0</v>
      </c>
      <c r="N509" s="272">
        <f t="shared" si="49"/>
        <v>0</v>
      </c>
      <c r="O509" s="272">
        <f t="shared" si="50"/>
        <v>0</v>
      </c>
      <c r="P509" s="272">
        <f t="shared" si="51"/>
        <v>0</v>
      </c>
      <c r="Q509" s="293" t="e">
        <f t="shared" si="52"/>
        <v>#DIV/0!</v>
      </c>
      <c r="R509" s="293" t="e">
        <f t="shared" si="53"/>
        <v>#DIV/0!</v>
      </c>
      <c r="S509">
        <f>Prem!H511</f>
        <v>0</v>
      </c>
      <c r="T509" s="281">
        <f>S!H515</f>
        <v>0</v>
      </c>
      <c r="U509" s="274">
        <f>B!H510</f>
        <v>0</v>
      </c>
      <c r="V509" s="272">
        <f>Zn!G511</f>
        <v>0</v>
      </c>
      <c r="W509" s="272">
        <f>Cu!G511</f>
        <v>0</v>
      </c>
      <c r="X509" s="272">
        <f>Mn!G511</f>
        <v>0</v>
      </c>
      <c r="Y509" s="272">
        <f>Fe!G511</f>
        <v>0</v>
      </c>
      <c r="Z509" s="274">
        <f>M.O!H511</f>
        <v>0</v>
      </c>
      <c r="AA509" s="272" t="e">
        <f t="shared" si="54"/>
        <v>#DIV/0!</v>
      </c>
      <c r="AB509" s="272" t="e">
        <f t="shared" si="55"/>
        <v>#DIV/0!</v>
      </c>
      <c r="AC509" s="272" t="e">
        <f t="shared" si="56"/>
        <v>#DIV/0!</v>
      </c>
    </row>
    <row r="510" spans="1:29" x14ac:dyDescent="0.2">
      <c r="A510" s="106">
        <f>Cadastro!A514</f>
        <v>0</v>
      </c>
      <c r="B510" s="27">
        <f>Cadastro!E512</f>
        <v>0</v>
      </c>
      <c r="C510">
        <f>pH_água!C510</f>
        <v>0</v>
      </c>
      <c r="D510">
        <f>pH_KCl!B511</f>
        <v>0</v>
      </c>
      <c r="E510">
        <f>'pH CaCl2'!C510</f>
        <v>0</v>
      </c>
      <c r="F510" s="104">
        <f>P_Mehlich1!H495</f>
        <v>0</v>
      </c>
      <c r="G510" s="123">
        <f>P_resina!H515</f>
        <v>0</v>
      </c>
      <c r="H510" s="272">
        <f>K!G480</f>
        <v>0</v>
      </c>
      <c r="I510" s="125">
        <v>0</v>
      </c>
      <c r="J510" s="272">
        <f>'Ca2+'!G511</f>
        <v>0</v>
      </c>
      <c r="K510" s="272">
        <f>Mg²!G513</f>
        <v>0</v>
      </c>
      <c r="L510" s="279">
        <f>Al³!C512</f>
        <v>0</v>
      </c>
      <c r="M510" s="279">
        <f>'H + Al'!D512</f>
        <v>0</v>
      </c>
      <c r="N510" s="272">
        <f t="shared" si="49"/>
        <v>0</v>
      </c>
      <c r="O510" s="272">
        <f t="shared" si="50"/>
        <v>0</v>
      </c>
      <c r="P510" s="272">
        <f t="shared" si="51"/>
        <v>0</v>
      </c>
      <c r="Q510" s="293" t="e">
        <f t="shared" si="52"/>
        <v>#DIV/0!</v>
      </c>
      <c r="R510" s="293" t="e">
        <f t="shared" si="53"/>
        <v>#DIV/0!</v>
      </c>
      <c r="S510">
        <f>Prem!H512</f>
        <v>0</v>
      </c>
      <c r="T510" s="281">
        <f>S!H516</f>
        <v>0</v>
      </c>
      <c r="U510" s="274">
        <f>B!H511</f>
        <v>0</v>
      </c>
      <c r="V510" s="272">
        <f>Zn!G512</f>
        <v>0</v>
      </c>
      <c r="W510" s="272">
        <f>Cu!G512</f>
        <v>0</v>
      </c>
      <c r="X510" s="272">
        <f>Mn!G512</f>
        <v>0</v>
      </c>
      <c r="Y510" s="272">
        <f>Fe!G512</f>
        <v>0</v>
      </c>
      <c r="Z510" s="274">
        <f>M.O!H512</f>
        <v>0</v>
      </c>
      <c r="AA510" s="272" t="e">
        <f t="shared" si="54"/>
        <v>#DIV/0!</v>
      </c>
      <c r="AB510" s="272" t="e">
        <f t="shared" si="55"/>
        <v>#DIV/0!</v>
      </c>
      <c r="AC510" s="272" t="e">
        <f t="shared" si="56"/>
        <v>#DIV/0!</v>
      </c>
    </row>
    <row r="511" spans="1:29" x14ac:dyDescent="0.2">
      <c r="A511" s="106">
        <f>Cadastro!A515</f>
        <v>0</v>
      </c>
      <c r="B511" s="27">
        <f>Cadastro!E513</f>
        <v>0</v>
      </c>
      <c r="C511">
        <f>pH_água!C511</f>
        <v>0</v>
      </c>
      <c r="D511">
        <f>pH_KCl!B512</f>
        <v>0</v>
      </c>
      <c r="E511">
        <f>'pH CaCl2'!C511</f>
        <v>0</v>
      </c>
      <c r="F511" s="104">
        <f>P_Mehlich1!H496</f>
        <v>0</v>
      </c>
      <c r="G511" s="123">
        <f>P_resina!H516</f>
        <v>0</v>
      </c>
      <c r="H511" s="272">
        <f>K!G481</f>
        <v>0</v>
      </c>
      <c r="I511" s="125">
        <v>0</v>
      </c>
      <c r="J511" s="272">
        <f>'Ca2+'!G512</f>
        <v>0</v>
      </c>
      <c r="K511" s="272">
        <f>Mg²!G514</f>
        <v>0</v>
      </c>
      <c r="L511" s="279">
        <f>Al³!C513</f>
        <v>0</v>
      </c>
      <c r="M511" s="279">
        <f>'H + Al'!D513</f>
        <v>0</v>
      </c>
      <c r="N511" s="272">
        <f t="shared" si="49"/>
        <v>0</v>
      </c>
      <c r="O511" s="272">
        <f t="shared" si="50"/>
        <v>0</v>
      </c>
      <c r="P511" s="272">
        <f t="shared" si="51"/>
        <v>0</v>
      </c>
      <c r="Q511" s="293" t="e">
        <f t="shared" si="52"/>
        <v>#DIV/0!</v>
      </c>
      <c r="R511" s="293" t="e">
        <f t="shared" si="53"/>
        <v>#DIV/0!</v>
      </c>
      <c r="S511">
        <f>Prem!H513</f>
        <v>0</v>
      </c>
      <c r="T511" s="281">
        <f>S!H517</f>
        <v>0</v>
      </c>
      <c r="U511" s="274">
        <f>B!H512</f>
        <v>0</v>
      </c>
      <c r="V511" s="272">
        <f>Zn!G513</f>
        <v>0</v>
      </c>
      <c r="W511" s="272">
        <f>Cu!G513</f>
        <v>0</v>
      </c>
      <c r="X511" s="272">
        <f>Mn!G513</f>
        <v>0</v>
      </c>
      <c r="Y511" s="272">
        <f>Fe!G513</f>
        <v>0</v>
      </c>
      <c r="Z511" s="274">
        <f>M.O!H513</f>
        <v>0</v>
      </c>
      <c r="AA511" s="272" t="e">
        <f t="shared" si="54"/>
        <v>#DIV/0!</v>
      </c>
      <c r="AB511" s="272" t="e">
        <f t="shared" si="55"/>
        <v>#DIV/0!</v>
      </c>
      <c r="AC511" s="272" t="e">
        <f t="shared" si="56"/>
        <v>#DIV/0!</v>
      </c>
    </row>
    <row r="512" spans="1:29" x14ac:dyDescent="0.2">
      <c r="A512" s="106">
        <f>Cadastro!A516</f>
        <v>0</v>
      </c>
      <c r="B512" s="27">
        <f>Cadastro!E514</f>
        <v>0</v>
      </c>
      <c r="C512">
        <f>pH_água!C512</f>
        <v>0</v>
      </c>
      <c r="D512">
        <f>pH_KCl!B513</f>
        <v>0</v>
      </c>
      <c r="E512">
        <f>'pH CaCl2'!C512</f>
        <v>0</v>
      </c>
      <c r="F512" s="104">
        <f>P_Mehlich1!H497</f>
        <v>0</v>
      </c>
      <c r="G512" s="123">
        <f>P_resina!H517</f>
        <v>0</v>
      </c>
      <c r="H512" s="272">
        <f>K!G482</f>
        <v>0</v>
      </c>
      <c r="I512" s="125">
        <v>0</v>
      </c>
      <c r="J512" s="272">
        <f>'Ca2+'!G513</f>
        <v>0</v>
      </c>
      <c r="K512" s="272">
        <f>Mg²!G515</f>
        <v>0</v>
      </c>
      <c r="L512" s="279">
        <f>Al³!C514</f>
        <v>0</v>
      </c>
      <c r="M512" s="279">
        <f>'H + Al'!D514</f>
        <v>0</v>
      </c>
      <c r="N512" s="272">
        <f t="shared" si="49"/>
        <v>0</v>
      </c>
      <c r="O512" s="272">
        <f t="shared" si="50"/>
        <v>0</v>
      </c>
      <c r="P512" s="272">
        <f t="shared" si="51"/>
        <v>0</v>
      </c>
      <c r="Q512" s="293" t="e">
        <f t="shared" si="52"/>
        <v>#DIV/0!</v>
      </c>
      <c r="R512" s="293" t="e">
        <f t="shared" si="53"/>
        <v>#DIV/0!</v>
      </c>
      <c r="S512">
        <f>Prem!H514</f>
        <v>0</v>
      </c>
      <c r="T512" s="281">
        <f>S!H518</f>
        <v>0</v>
      </c>
      <c r="U512" s="274">
        <f>B!H513</f>
        <v>0</v>
      </c>
      <c r="V512" s="272">
        <f>Zn!G514</f>
        <v>0</v>
      </c>
      <c r="W512" s="272">
        <f>Cu!G514</f>
        <v>0</v>
      </c>
      <c r="X512" s="272">
        <f>Mn!G514</f>
        <v>0</v>
      </c>
      <c r="Y512" s="272">
        <f>Fe!G514</f>
        <v>0</v>
      </c>
      <c r="Z512" s="274">
        <f>M.O!H514</f>
        <v>0</v>
      </c>
      <c r="AA512" s="272" t="e">
        <f t="shared" si="54"/>
        <v>#DIV/0!</v>
      </c>
      <c r="AB512" s="272" t="e">
        <f t="shared" si="55"/>
        <v>#DIV/0!</v>
      </c>
      <c r="AC512" s="272" t="e">
        <f t="shared" si="56"/>
        <v>#DIV/0!</v>
      </c>
    </row>
    <row r="513" spans="1:29" x14ac:dyDescent="0.2">
      <c r="A513" s="106">
        <f>Cadastro!A517</f>
        <v>0</v>
      </c>
      <c r="B513" s="27">
        <f>Cadastro!E515</f>
        <v>0</v>
      </c>
      <c r="C513">
        <f>pH_água!C513</f>
        <v>0</v>
      </c>
      <c r="D513">
        <f>pH_KCl!B514</f>
        <v>0</v>
      </c>
      <c r="E513">
        <f>'pH CaCl2'!C513</f>
        <v>0</v>
      </c>
      <c r="F513" s="104">
        <f>P_Mehlich1!H498</f>
        <v>0</v>
      </c>
      <c r="G513" s="123">
        <f>P_resina!H518</f>
        <v>0</v>
      </c>
      <c r="H513" s="272">
        <f>K!G483</f>
        <v>0</v>
      </c>
      <c r="I513" s="125">
        <v>0</v>
      </c>
      <c r="J513" s="272">
        <f>'Ca2+'!G514</f>
        <v>0</v>
      </c>
      <c r="K513" s="272">
        <f>Mg²!G516</f>
        <v>0</v>
      </c>
      <c r="L513" s="279">
        <f>Al³!C515</f>
        <v>0</v>
      </c>
      <c r="M513" s="279">
        <f>'H + Al'!D515</f>
        <v>0</v>
      </c>
      <c r="N513" s="272">
        <f t="shared" si="49"/>
        <v>0</v>
      </c>
      <c r="O513" s="272">
        <f t="shared" si="50"/>
        <v>0</v>
      </c>
      <c r="P513" s="272">
        <f t="shared" si="51"/>
        <v>0</v>
      </c>
      <c r="Q513" s="293" t="e">
        <f t="shared" si="52"/>
        <v>#DIV/0!</v>
      </c>
      <c r="R513" s="293" t="e">
        <f t="shared" si="53"/>
        <v>#DIV/0!</v>
      </c>
      <c r="S513">
        <f>Prem!H515</f>
        <v>0</v>
      </c>
      <c r="T513" s="281">
        <f>S!H519</f>
        <v>0</v>
      </c>
      <c r="U513" s="274">
        <f>B!H514</f>
        <v>0</v>
      </c>
      <c r="V513" s="272">
        <f>Zn!G515</f>
        <v>0</v>
      </c>
      <c r="W513" s="272">
        <f>Cu!G515</f>
        <v>0</v>
      </c>
      <c r="X513" s="272">
        <f>Mn!G515</f>
        <v>0</v>
      </c>
      <c r="Y513" s="272">
        <f>Fe!G515</f>
        <v>0</v>
      </c>
      <c r="Z513" s="274">
        <f>M.O!H515</f>
        <v>0</v>
      </c>
      <c r="AA513" s="272" t="e">
        <f t="shared" si="54"/>
        <v>#DIV/0!</v>
      </c>
      <c r="AB513" s="272" t="e">
        <f t="shared" si="55"/>
        <v>#DIV/0!</v>
      </c>
      <c r="AC513" s="272" t="e">
        <f t="shared" si="56"/>
        <v>#DIV/0!</v>
      </c>
    </row>
    <row r="514" spans="1:29" x14ac:dyDescent="0.2">
      <c r="A514" s="106">
        <f>Cadastro!A518</f>
        <v>0</v>
      </c>
      <c r="B514" s="27">
        <f>Cadastro!E516</f>
        <v>0</v>
      </c>
      <c r="C514">
        <f>pH_água!C514</f>
        <v>0</v>
      </c>
      <c r="D514">
        <f>pH_KCl!B515</f>
        <v>0</v>
      </c>
      <c r="E514">
        <f>'pH CaCl2'!C514</f>
        <v>0</v>
      </c>
      <c r="F514" s="104">
        <f>P_Mehlich1!H499</f>
        <v>0</v>
      </c>
      <c r="G514" s="123">
        <f>P_resina!H519</f>
        <v>0</v>
      </c>
      <c r="H514" s="272">
        <f>K!G484</f>
        <v>0</v>
      </c>
      <c r="I514" s="125">
        <v>0</v>
      </c>
      <c r="J514" s="272">
        <f>'Ca2+'!G515</f>
        <v>0</v>
      </c>
      <c r="K514" s="272">
        <f>Mg²!G517</f>
        <v>0</v>
      </c>
      <c r="L514" s="279">
        <f>Al³!C516</f>
        <v>0</v>
      </c>
      <c r="M514" s="279">
        <f>'H + Al'!D516</f>
        <v>0</v>
      </c>
      <c r="N514" s="272">
        <f t="shared" si="49"/>
        <v>0</v>
      </c>
      <c r="O514" s="272">
        <f t="shared" si="50"/>
        <v>0</v>
      </c>
      <c r="P514" s="272">
        <f t="shared" si="51"/>
        <v>0</v>
      </c>
      <c r="Q514" s="293" t="e">
        <f t="shared" si="52"/>
        <v>#DIV/0!</v>
      </c>
      <c r="R514" s="293" t="e">
        <f t="shared" si="53"/>
        <v>#DIV/0!</v>
      </c>
      <c r="S514">
        <f>Prem!H516</f>
        <v>0</v>
      </c>
      <c r="T514" s="281">
        <f>S!H520</f>
        <v>0</v>
      </c>
      <c r="U514" s="274">
        <f>B!H515</f>
        <v>0</v>
      </c>
      <c r="V514" s="272">
        <f>Zn!G516</f>
        <v>0</v>
      </c>
      <c r="W514" s="272">
        <f>Cu!G516</f>
        <v>0</v>
      </c>
      <c r="X514" s="272">
        <f>Mn!G516</f>
        <v>0</v>
      </c>
      <c r="Y514" s="272">
        <f>Fe!G516</f>
        <v>0</v>
      </c>
      <c r="Z514" s="274">
        <f>M.O!H516</f>
        <v>0</v>
      </c>
      <c r="AA514" s="272" t="e">
        <f t="shared" si="54"/>
        <v>#DIV/0!</v>
      </c>
      <c r="AB514" s="272" t="e">
        <f t="shared" si="55"/>
        <v>#DIV/0!</v>
      </c>
      <c r="AC514" s="272" t="e">
        <f t="shared" si="56"/>
        <v>#DIV/0!</v>
      </c>
    </row>
    <row r="515" spans="1:29" x14ac:dyDescent="0.2">
      <c r="A515" s="106">
        <f>Cadastro!A519</f>
        <v>0</v>
      </c>
      <c r="B515" s="27">
        <f>Cadastro!E517</f>
        <v>0</v>
      </c>
      <c r="C515">
        <f>pH_água!C515</f>
        <v>0</v>
      </c>
      <c r="D515">
        <f>pH_KCl!B516</f>
        <v>0</v>
      </c>
      <c r="E515">
        <f>'pH CaCl2'!C515</f>
        <v>0</v>
      </c>
      <c r="F515" s="104">
        <f>P_Mehlich1!H500</f>
        <v>0</v>
      </c>
      <c r="G515" s="123">
        <f>P_resina!H520</f>
        <v>0</v>
      </c>
      <c r="H515" s="272">
        <f>K!G485</f>
        <v>0</v>
      </c>
      <c r="I515" s="125">
        <v>0</v>
      </c>
      <c r="J515" s="272">
        <f>'Ca2+'!G516</f>
        <v>0</v>
      </c>
      <c r="K515" s="272">
        <f>Mg²!G518</f>
        <v>0</v>
      </c>
      <c r="L515" s="279">
        <f>Al³!C517</f>
        <v>0</v>
      </c>
      <c r="M515" s="279">
        <f>'H + Al'!D517</f>
        <v>0</v>
      </c>
      <c r="N515" s="272">
        <f t="shared" si="49"/>
        <v>0</v>
      </c>
      <c r="O515" s="272">
        <f t="shared" si="50"/>
        <v>0</v>
      </c>
      <c r="P515" s="272">
        <f t="shared" si="51"/>
        <v>0</v>
      </c>
      <c r="Q515" s="293" t="e">
        <f t="shared" si="52"/>
        <v>#DIV/0!</v>
      </c>
      <c r="R515" s="293" t="e">
        <f t="shared" si="53"/>
        <v>#DIV/0!</v>
      </c>
      <c r="S515">
        <f>Prem!H517</f>
        <v>0</v>
      </c>
      <c r="T515" s="281">
        <f>S!H521</f>
        <v>0</v>
      </c>
      <c r="U515" s="274">
        <f>B!H516</f>
        <v>0</v>
      </c>
      <c r="V515" s="272">
        <f>Zn!G517</f>
        <v>0</v>
      </c>
      <c r="W515" s="272">
        <f>Cu!G517</f>
        <v>0</v>
      </c>
      <c r="X515" s="272">
        <f>Mn!G517</f>
        <v>0</v>
      </c>
      <c r="Y515" s="272">
        <f>Fe!G517</f>
        <v>0</v>
      </c>
      <c r="Z515" s="274">
        <f>M.O!H517</f>
        <v>0</v>
      </c>
      <c r="AA515" s="272" t="e">
        <f t="shared" si="54"/>
        <v>#DIV/0!</v>
      </c>
      <c r="AB515" s="272" t="e">
        <f t="shared" si="55"/>
        <v>#DIV/0!</v>
      </c>
      <c r="AC515" s="272" t="e">
        <f t="shared" si="56"/>
        <v>#DIV/0!</v>
      </c>
    </row>
    <row r="516" spans="1:29" x14ac:dyDescent="0.2">
      <c r="A516" s="106">
        <f>Cadastro!A520</f>
        <v>0</v>
      </c>
      <c r="B516" s="27">
        <f>Cadastro!E518</f>
        <v>0</v>
      </c>
      <c r="C516">
        <f>pH_água!C516</f>
        <v>0</v>
      </c>
      <c r="D516">
        <f>pH_KCl!B517</f>
        <v>0</v>
      </c>
      <c r="E516">
        <f>'pH CaCl2'!C516</f>
        <v>0</v>
      </c>
      <c r="F516" s="104">
        <f>P_Mehlich1!H501</f>
        <v>0</v>
      </c>
      <c r="G516" s="123">
        <f>P_resina!H521</f>
        <v>0</v>
      </c>
      <c r="H516" s="272">
        <f>K!G486</f>
        <v>0</v>
      </c>
      <c r="I516" s="125">
        <v>0</v>
      </c>
      <c r="J516" s="272">
        <f>'Ca2+'!G517</f>
        <v>0</v>
      </c>
      <c r="K516" s="272">
        <f>Mg²!G519</f>
        <v>0</v>
      </c>
      <c r="L516" s="279">
        <f>Al³!C518</f>
        <v>0</v>
      </c>
      <c r="M516" s="279">
        <f>'H + Al'!D518</f>
        <v>0</v>
      </c>
      <c r="N516" s="272">
        <f t="shared" si="49"/>
        <v>0</v>
      </c>
      <c r="O516" s="272">
        <f t="shared" si="50"/>
        <v>0</v>
      </c>
      <c r="P516" s="272">
        <f t="shared" si="51"/>
        <v>0</v>
      </c>
      <c r="Q516" s="293" t="e">
        <f t="shared" si="52"/>
        <v>#DIV/0!</v>
      </c>
      <c r="R516" s="293" t="e">
        <f t="shared" si="53"/>
        <v>#DIV/0!</v>
      </c>
      <c r="S516">
        <f>Prem!H518</f>
        <v>0</v>
      </c>
      <c r="T516" s="281">
        <f>S!H522</f>
        <v>0</v>
      </c>
      <c r="U516" s="274">
        <f>B!H517</f>
        <v>0</v>
      </c>
      <c r="V516" s="272">
        <f>Zn!G518</f>
        <v>0</v>
      </c>
      <c r="W516" s="272">
        <f>Cu!G518</f>
        <v>0</v>
      </c>
      <c r="X516" s="272">
        <f>Mn!G518</f>
        <v>0</v>
      </c>
      <c r="Y516" s="272">
        <f>Fe!G518</f>
        <v>0</v>
      </c>
      <c r="Z516" s="274">
        <f>M.O!H518</f>
        <v>0</v>
      </c>
      <c r="AA516" s="272" t="e">
        <f t="shared" si="54"/>
        <v>#DIV/0!</v>
      </c>
      <c r="AB516" s="272" t="e">
        <f t="shared" si="55"/>
        <v>#DIV/0!</v>
      </c>
      <c r="AC516" s="272" t="e">
        <f t="shared" si="56"/>
        <v>#DIV/0!</v>
      </c>
    </row>
    <row r="517" spans="1:29" x14ac:dyDescent="0.2">
      <c r="A517" s="106">
        <f>Cadastro!A521</f>
        <v>0</v>
      </c>
      <c r="B517" s="27">
        <f>Cadastro!E519</f>
        <v>0</v>
      </c>
      <c r="C517">
        <f>pH_água!C517</f>
        <v>0</v>
      </c>
      <c r="D517">
        <f>pH_KCl!B518</f>
        <v>0</v>
      </c>
      <c r="E517">
        <f>'pH CaCl2'!C517</f>
        <v>0</v>
      </c>
      <c r="F517" s="104">
        <f>P_Mehlich1!H502</f>
        <v>0</v>
      </c>
      <c r="G517" s="123">
        <f>P_resina!H522</f>
        <v>0</v>
      </c>
      <c r="H517" s="272">
        <f>K!G487</f>
        <v>0</v>
      </c>
      <c r="I517" s="125">
        <v>0</v>
      </c>
      <c r="J517" s="272">
        <f>'Ca2+'!G518</f>
        <v>0</v>
      </c>
      <c r="K517" s="272">
        <f>Mg²!G520</f>
        <v>0</v>
      </c>
      <c r="L517" s="279">
        <f>Al³!C519</f>
        <v>0</v>
      </c>
      <c r="M517" s="279">
        <f>'H + Al'!D519</f>
        <v>0</v>
      </c>
      <c r="N517" s="272">
        <f t="shared" si="49"/>
        <v>0</v>
      </c>
      <c r="O517" s="272">
        <f t="shared" si="50"/>
        <v>0</v>
      </c>
      <c r="P517" s="272">
        <f t="shared" si="51"/>
        <v>0</v>
      </c>
      <c r="Q517" s="293" t="e">
        <f t="shared" si="52"/>
        <v>#DIV/0!</v>
      </c>
      <c r="R517" s="293" t="e">
        <f t="shared" si="53"/>
        <v>#DIV/0!</v>
      </c>
      <c r="S517">
        <f>Prem!H519</f>
        <v>0</v>
      </c>
      <c r="T517" s="281">
        <f>S!H523</f>
        <v>0</v>
      </c>
      <c r="U517" s="274">
        <f>B!H518</f>
        <v>0</v>
      </c>
      <c r="V517" s="272">
        <f>Zn!G519</f>
        <v>0</v>
      </c>
      <c r="W517" s="272">
        <f>Cu!G519</f>
        <v>0</v>
      </c>
      <c r="X517" s="272">
        <f>Mn!G519</f>
        <v>0</v>
      </c>
      <c r="Y517" s="272">
        <f>Fe!G519</f>
        <v>0</v>
      </c>
      <c r="Z517" s="274">
        <f>M.O!H519</f>
        <v>0</v>
      </c>
      <c r="AA517" s="272" t="e">
        <f t="shared" si="54"/>
        <v>#DIV/0!</v>
      </c>
      <c r="AB517" s="272" t="e">
        <f t="shared" si="55"/>
        <v>#DIV/0!</v>
      </c>
      <c r="AC517" s="272" t="e">
        <f t="shared" si="56"/>
        <v>#DIV/0!</v>
      </c>
    </row>
    <row r="518" spans="1:29" x14ac:dyDescent="0.2">
      <c r="A518" s="106">
        <f>Cadastro!A522</f>
        <v>0</v>
      </c>
      <c r="B518" s="27">
        <f>Cadastro!E520</f>
        <v>0</v>
      </c>
      <c r="C518">
        <f>pH_água!C518</f>
        <v>0</v>
      </c>
      <c r="D518">
        <f>pH_KCl!B519</f>
        <v>0</v>
      </c>
      <c r="E518">
        <f>'pH CaCl2'!C518</f>
        <v>0</v>
      </c>
      <c r="F518" s="104">
        <f>P_Mehlich1!H503</f>
        <v>0</v>
      </c>
      <c r="G518" s="123">
        <f>P_resina!H523</f>
        <v>0</v>
      </c>
      <c r="H518" s="272">
        <f>K!G488</f>
        <v>0</v>
      </c>
      <c r="I518" s="125">
        <v>0</v>
      </c>
      <c r="J518" s="272">
        <f>'Ca2+'!G519</f>
        <v>0</v>
      </c>
      <c r="K518" s="272">
        <f>Mg²!G521</f>
        <v>0</v>
      </c>
      <c r="L518" s="279">
        <f>Al³!C520</f>
        <v>0</v>
      </c>
      <c r="M518" s="279">
        <f>'H + Al'!D520</f>
        <v>0</v>
      </c>
      <c r="N518" s="272">
        <f t="shared" si="49"/>
        <v>0</v>
      </c>
      <c r="O518" s="272">
        <f t="shared" si="50"/>
        <v>0</v>
      </c>
      <c r="P518" s="272">
        <f t="shared" si="51"/>
        <v>0</v>
      </c>
      <c r="Q518" s="293" t="e">
        <f t="shared" si="52"/>
        <v>#DIV/0!</v>
      </c>
      <c r="R518" s="293" t="e">
        <f t="shared" si="53"/>
        <v>#DIV/0!</v>
      </c>
      <c r="S518">
        <f>Prem!H520</f>
        <v>0</v>
      </c>
      <c r="T518" s="281">
        <f>S!H524</f>
        <v>0</v>
      </c>
      <c r="U518" s="274">
        <f>B!H519</f>
        <v>0</v>
      </c>
      <c r="V518" s="272">
        <f>Zn!G520</f>
        <v>0</v>
      </c>
      <c r="W518" s="272">
        <f>Cu!G520</f>
        <v>0</v>
      </c>
      <c r="X518" s="272">
        <f>Mn!G520</f>
        <v>0</v>
      </c>
      <c r="Y518" s="272">
        <f>Fe!G520</f>
        <v>0</v>
      </c>
      <c r="Z518" s="274">
        <f>M.O!H520</f>
        <v>0</v>
      </c>
      <c r="AA518" s="272" t="e">
        <f t="shared" si="54"/>
        <v>#DIV/0!</v>
      </c>
      <c r="AB518" s="272" t="e">
        <f t="shared" si="55"/>
        <v>#DIV/0!</v>
      </c>
      <c r="AC518" s="272" t="e">
        <f t="shared" si="56"/>
        <v>#DIV/0!</v>
      </c>
    </row>
    <row r="519" spans="1:29" x14ac:dyDescent="0.2">
      <c r="A519" s="106">
        <f>Cadastro!A523</f>
        <v>0</v>
      </c>
      <c r="B519" s="27">
        <f>Cadastro!E521</f>
        <v>0</v>
      </c>
      <c r="C519">
        <f>pH_água!C519</f>
        <v>0</v>
      </c>
      <c r="D519">
        <f>pH_KCl!B520</f>
        <v>0</v>
      </c>
      <c r="E519">
        <f>'pH CaCl2'!C519</f>
        <v>0</v>
      </c>
      <c r="F519" s="104">
        <f>P_Mehlich1!H504</f>
        <v>0</v>
      </c>
      <c r="G519" s="123">
        <f>P_resina!H524</f>
        <v>0</v>
      </c>
      <c r="H519" s="272">
        <f>K!G489</f>
        <v>0</v>
      </c>
      <c r="I519" s="125">
        <v>0</v>
      </c>
      <c r="J519" s="272">
        <f>'Ca2+'!G520</f>
        <v>0</v>
      </c>
      <c r="K519" s="272">
        <f>Mg²!G522</f>
        <v>0</v>
      </c>
      <c r="L519" s="279">
        <f>Al³!C521</f>
        <v>0</v>
      </c>
      <c r="M519" s="279">
        <f>'H + Al'!D521</f>
        <v>0</v>
      </c>
      <c r="N519" s="272">
        <f t="shared" si="49"/>
        <v>0</v>
      </c>
      <c r="O519" s="272">
        <f t="shared" si="50"/>
        <v>0</v>
      </c>
      <c r="P519" s="272">
        <f t="shared" si="51"/>
        <v>0</v>
      </c>
      <c r="Q519" s="293" t="e">
        <f t="shared" si="52"/>
        <v>#DIV/0!</v>
      </c>
      <c r="R519" s="293" t="e">
        <f t="shared" si="53"/>
        <v>#DIV/0!</v>
      </c>
      <c r="S519">
        <f>Prem!H521</f>
        <v>0</v>
      </c>
      <c r="T519" s="281">
        <f>S!H525</f>
        <v>0</v>
      </c>
      <c r="U519" s="274">
        <f>B!H520</f>
        <v>0</v>
      </c>
      <c r="V519" s="272">
        <f>Zn!G521</f>
        <v>0</v>
      </c>
      <c r="W519" s="272">
        <f>Cu!G521</f>
        <v>0</v>
      </c>
      <c r="X519" s="272">
        <f>Mn!G521</f>
        <v>0</v>
      </c>
      <c r="Y519" s="272">
        <f>Fe!G521</f>
        <v>0</v>
      </c>
      <c r="Z519" s="274">
        <f>M.O!H521</f>
        <v>0</v>
      </c>
      <c r="AA519" s="272" t="e">
        <f t="shared" si="54"/>
        <v>#DIV/0!</v>
      </c>
      <c r="AB519" s="272" t="e">
        <f t="shared" si="55"/>
        <v>#DIV/0!</v>
      </c>
      <c r="AC519" s="272" t="e">
        <f t="shared" si="56"/>
        <v>#DIV/0!</v>
      </c>
    </row>
    <row r="520" spans="1:29" x14ac:dyDescent="0.2">
      <c r="A520" s="106">
        <f>Cadastro!A524</f>
        <v>0</v>
      </c>
      <c r="B520" s="27">
        <f>Cadastro!E522</f>
        <v>0</v>
      </c>
      <c r="C520">
        <f>pH_água!C520</f>
        <v>0</v>
      </c>
      <c r="D520">
        <f>pH_KCl!B521</f>
        <v>0</v>
      </c>
      <c r="E520">
        <f>'pH CaCl2'!C520</f>
        <v>0</v>
      </c>
      <c r="F520" s="104">
        <f>P_Mehlich1!H505</f>
        <v>0</v>
      </c>
      <c r="G520" s="123">
        <f>P_resina!H525</f>
        <v>0</v>
      </c>
      <c r="H520" s="272">
        <f>K!G490</f>
        <v>0</v>
      </c>
      <c r="I520" s="125">
        <v>0</v>
      </c>
      <c r="J520" s="272">
        <f>'Ca2+'!G521</f>
        <v>0</v>
      </c>
      <c r="K520" s="272">
        <f>Mg²!G523</f>
        <v>0</v>
      </c>
      <c r="L520" s="279">
        <f>Al³!C522</f>
        <v>0</v>
      </c>
      <c r="M520" s="279">
        <f>'H + Al'!D522</f>
        <v>0</v>
      </c>
      <c r="N520" s="272">
        <f t="shared" si="49"/>
        <v>0</v>
      </c>
      <c r="O520" s="272">
        <f t="shared" si="50"/>
        <v>0</v>
      </c>
      <c r="P520" s="272">
        <f t="shared" si="51"/>
        <v>0</v>
      </c>
      <c r="Q520" s="293" t="e">
        <f t="shared" si="52"/>
        <v>#DIV/0!</v>
      </c>
      <c r="R520" s="293" t="e">
        <f t="shared" si="53"/>
        <v>#DIV/0!</v>
      </c>
      <c r="S520">
        <f>Prem!H522</f>
        <v>0</v>
      </c>
      <c r="T520" s="281">
        <f>S!H526</f>
        <v>0</v>
      </c>
      <c r="U520" s="274">
        <f>B!H521</f>
        <v>0</v>
      </c>
      <c r="V520" s="272">
        <f>Zn!G522</f>
        <v>0</v>
      </c>
      <c r="W520" s="272">
        <f>Cu!G522</f>
        <v>0</v>
      </c>
      <c r="X520" s="272">
        <f>Mn!G522</f>
        <v>0</v>
      </c>
      <c r="Y520" s="272">
        <f>Fe!G522</f>
        <v>0</v>
      </c>
      <c r="Z520" s="274">
        <f>M.O!H522</f>
        <v>0</v>
      </c>
      <c r="AA520" s="272" t="e">
        <f t="shared" si="54"/>
        <v>#DIV/0!</v>
      </c>
      <c r="AB520" s="272" t="e">
        <f t="shared" si="55"/>
        <v>#DIV/0!</v>
      </c>
      <c r="AC520" s="272" t="e">
        <f t="shared" si="56"/>
        <v>#DIV/0!</v>
      </c>
    </row>
    <row r="521" spans="1:29" x14ac:dyDescent="0.2">
      <c r="A521" s="106">
        <f>Cadastro!A525</f>
        <v>0</v>
      </c>
      <c r="B521" s="27">
        <f>Cadastro!E523</f>
        <v>0</v>
      </c>
      <c r="C521">
        <f>pH_água!C521</f>
        <v>0</v>
      </c>
      <c r="D521">
        <f>pH_KCl!B522</f>
        <v>0</v>
      </c>
      <c r="E521">
        <f>'pH CaCl2'!C521</f>
        <v>0</v>
      </c>
      <c r="F521" s="104">
        <f>P_Mehlich1!H506</f>
        <v>0</v>
      </c>
      <c r="G521" s="123">
        <f>P_resina!H526</f>
        <v>0</v>
      </c>
      <c r="H521" s="272">
        <f>K!G491</f>
        <v>0</v>
      </c>
      <c r="I521" s="125">
        <v>0</v>
      </c>
      <c r="J521" s="272">
        <f>'Ca2+'!G522</f>
        <v>0</v>
      </c>
      <c r="K521" s="272">
        <f>Mg²!G524</f>
        <v>0</v>
      </c>
      <c r="L521" s="279">
        <f>Al³!C523</f>
        <v>0</v>
      </c>
      <c r="M521" s="279">
        <f>'H + Al'!D523</f>
        <v>0</v>
      </c>
      <c r="N521" s="272">
        <f t="shared" si="49"/>
        <v>0</v>
      </c>
      <c r="O521" s="272">
        <f t="shared" si="50"/>
        <v>0</v>
      </c>
      <c r="P521" s="272">
        <f t="shared" si="51"/>
        <v>0</v>
      </c>
      <c r="Q521" s="293" t="e">
        <f t="shared" si="52"/>
        <v>#DIV/0!</v>
      </c>
      <c r="R521" s="293" t="e">
        <f t="shared" si="53"/>
        <v>#DIV/0!</v>
      </c>
      <c r="S521">
        <f>Prem!H523</f>
        <v>0</v>
      </c>
      <c r="T521" s="281">
        <f>S!H527</f>
        <v>0</v>
      </c>
      <c r="U521" s="274">
        <f>B!H522</f>
        <v>0</v>
      </c>
      <c r="V521" s="272">
        <f>Zn!G523</f>
        <v>0</v>
      </c>
      <c r="W521" s="272">
        <f>Cu!G523</f>
        <v>0</v>
      </c>
      <c r="X521" s="272">
        <f>Mn!G523</f>
        <v>0</v>
      </c>
      <c r="Y521" s="272">
        <f>Fe!G523</f>
        <v>0</v>
      </c>
      <c r="Z521" s="274">
        <f>M.O!H523</f>
        <v>0</v>
      </c>
      <c r="AA521" s="272" t="e">
        <f t="shared" si="54"/>
        <v>#DIV/0!</v>
      </c>
      <c r="AB521" s="272" t="e">
        <f t="shared" si="55"/>
        <v>#DIV/0!</v>
      </c>
      <c r="AC521" s="272" t="e">
        <f t="shared" si="56"/>
        <v>#DIV/0!</v>
      </c>
    </row>
    <row r="522" spans="1:29" x14ac:dyDescent="0.2">
      <c r="A522" s="106">
        <f>Cadastro!A526</f>
        <v>0</v>
      </c>
      <c r="B522" s="27">
        <f>Cadastro!E524</f>
        <v>0</v>
      </c>
      <c r="C522">
        <f>pH_água!C522</f>
        <v>0</v>
      </c>
      <c r="D522">
        <f>pH_KCl!B523</f>
        <v>0</v>
      </c>
      <c r="E522">
        <f>'pH CaCl2'!C522</f>
        <v>0</v>
      </c>
      <c r="F522" s="104">
        <f>P_Mehlich1!H507</f>
        <v>0</v>
      </c>
      <c r="G522" s="123">
        <f>P_resina!H527</f>
        <v>0</v>
      </c>
      <c r="H522" s="272">
        <f>K!G492</f>
        <v>0</v>
      </c>
      <c r="I522" s="125">
        <v>0</v>
      </c>
      <c r="J522" s="272">
        <f>'Ca2+'!G523</f>
        <v>0</v>
      </c>
      <c r="K522" s="272">
        <f>Mg²!G525</f>
        <v>0</v>
      </c>
      <c r="L522" s="279">
        <f>Al³!C524</f>
        <v>0</v>
      </c>
      <c r="M522" s="279">
        <f>'H + Al'!D524</f>
        <v>0</v>
      </c>
      <c r="N522" s="272">
        <f t="shared" si="49"/>
        <v>0</v>
      </c>
      <c r="O522" s="272">
        <f t="shared" si="50"/>
        <v>0</v>
      </c>
      <c r="P522" s="272">
        <f t="shared" si="51"/>
        <v>0</v>
      </c>
      <c r="Q522" s="293" t="e">
        <f t="shared" si="52"/>
        <v>#DIV/0!</v>
      </c>
      <c r="R522" s="293" t="e">
        <f t="shared" si="53"/>
        <v>#DIV/0!</v>
      </c>
      <c r="S522">
        <f>Prem!H524</f>
        <v>0</v>
      </c>
      <c r="T522" s="281">
        <f>S!H528</f>
        <v>0</v>
      </c>
      <c r="U522" s="274">
        <f>B!H523</f>
        <v>0</v>
      </c>
      <c r="V522" s="272">
        <f>Zn!G524</f>
        <v>0</v>
      </c>
      <c r="W522" s="272">
        <f>Cu!G524</f>
        <v>0</v>
      </c>
      <c r="X522" s="272">
        <f>Mn!G524</f>
        <v>0</v>
      </c>
      <c r="Y522" s="272">
        <f>Fe!G524</f>
        <v>0</v>
      </c>
      <c r="Z522" s="274">
        <f>M.O!H524</f>
        <v>0</v>
      </c>
      <c r="AA522" s="272" t="e">
        <f t="shared" si="54"/>
        <v>#DIV/0!</v>
      </c>
      <c r="AB522" s="272" t="e">
        <f t="shared" si="55"/>
        <v>#DIV/0!</v>
      </c>
      <c r="AC522" s="272" t="e">
        <f t="shared" si="56"/>
        <v>#DIV/0!</v>
      </c>
    </row>
    <row r="523" spans="1:29" x14ac:dyDescent="0.2">
      <c r="A523" s="106">
        <f>Cadastro!A527</f>
        <v>0</v>
      </c>
      <c r="B523" s="27">
        <f>Cadastro!E525</f>
        <v>0</v>
      </c>
      <c r="C523">
        <f>pH_água!C523</f>
        <v>0</v>
      </c>
      <c r="D523">
        <f>pH_KCl!B524</f>
        <v>0</v>
      </c>
      <c r="E523">
        <f>'pH CaCl2'!C523</f>
        <v>0</v>
      </c>
      <c r="F523" s="104">
        <f>P_Mehlich1!H508</f>
        <v>0</v>
      </c>
      <c r="G523" s="123">
        <f>P_resina!H528</f>
        <v>0</v>
      </c>
      <c r="H523" s="272">
        <f>K!G493</f>
        <v>0</v>
      </c>
      <c r="I523" s="125">
        <v>0</v>
      </c>
      <c r="J523" s="272">
        <f>'Ca2+'!G524</f>
        <v>0</v>
      </c>
      <c r="K523" s="272">
        <f>Mg²!G526</f>
        <v>0</v>
      </c>
      <c r="L523" s="279">
        <f>Al³!C525</f>
        <v>0</v>
      </c>
      <c r="M523" s="279">
        <f>'H + Al'!D525</f>
        <v>0</v>
      </c>
      <c r="N523" s="272">
        <f t="shared" si="49"/>
        <v>0</v>
      </c>
      <c r="O523" s="272">
        <f t="shared" si="50"/>
        <v>0</v>
      </c>
      <c r="P523" s="272">
        <f t="shared" si="51"/>
        <v>0</v>
      </c>
      <c r="Q523" s="293" t="e">
        <f t="shared" si="52"/>
        <v>#DIV/0!</v>
      </c>
      <c r="R523" s="293" t="e">
        <f t="shared" si="53"/>
        <v>#DIV/0!</v>
      </c>
      <c r="S523">
        <f>Prem!H525</f>
        <v>0</v>
      </c>
      <c r="T523" s="281">
        <f>S!H529</f>
        <v>0</v>
      </c>
      <c r="U523" s="274">
        <f>B!H524</f>
        <v>0</v>
      </c>
      <c r="V523" s="272">
        <f>Zn!G525</f>
        <v>0</v>
      </c>
      <c r="W523" s="272">
        <f>Cu!G525</f>
        <v>0</v>
      </c>
      <c r="X523" s="272">
        <f>Mn!G525</f>
        <v>0</v>
      </c>
      <c r="Y523" s="272">
        <f>Fe!G525</f>
        <v>0</v>
      </c>
      <c r="Z523" s="274">
        <f>M.O!H525</f>
        <v>0</v>
      </c>
      <c r="AA523" s="272" t="e">
        <f t="shared" si="54"/>
        <v>#DIV/0!</v>
      </c>
      <c r="AB523" s="272" t="e">
        <f t="shared" si="55"/>
        <v>#DIV/0!</v>
      </c>
      <c r="AC523" s="272" t="e">
        <f t="shared" si="56"/>
        <v>#DIV/0!</v>
      </c>
    </row>
    <row r="524" spans="1:29" x14ac:dyDescent="0.2">
      <c r="A524" s="106">
        <f>Cadastro!A528</f>
        <v>0</v>
      </c>
      <c r="B524" s="27">
        <f>Cadastro!E526</f>
        <v>0</v>
      </c>
      <c r="C524">
        <f>pH_água!C524</f>
        <v>0</v>
      </c>
      <c r="D524">
        <f>pH_KCl!B525</f>
        <v>0</v>
      </c>
      <c r="E524">
        <f>'pH CaCl2'!C524</f>
        <v>0</v>
      </c>
      <c r="F524" s="104">
        <f>P_Mehlich1!H509</f>
        <v>0</v>
      </c>
      <c r="G524" s="123">
        <f>P_resina!H529</f>
        <v>0</v>
      </c>
      <c r="H524" s="272">
        <f>K!G494</f>
        <v>0</v>
      </c>
      <c r="I524" s="125">
        <v>0</v>
      </c>
      <c r="J524" s="272">
        <f>'Ca2+'!G525</f>
        <v>0</v>
      </c>
      <c r="K524" s="272">
        <f>Mg²!G527</f>
        <v>0</v>
      </c>
      <c r="L524" s="279">
        <f>Al³!C526</f>
        <v>0</v>
      </c>
      <c r="M524" s="279">
        <f>'H + Al'!D526</f>
        <v>0</v>
      </c>
      <c r="N524" s="272">
        <f t="shared" si="49"/>
        <v>0</v>
      </c>
      <c r="O524" s="272">
        <f t="shared" si="50"/>
        <v>0</v>
      </c>
      <c r="P524" s="272">
        <f t="shared" si="51"/>
        <v>0</v>
      </c>
      <c r="Q524" s="293" t="e">
        <f t="shared" si="52"/>
        <v>#DIV/0!</v>
      </c>
      <c r="R524" s="293" t="e">
        <f t="shared" si="53"/>
        <v>#DIV/0!</v>
      </c>
      <c r="S524">
        <f>Prem!H526</f>
        <v>0</v>
      </c>
      <c r="T524" s="281">
        <f>S!H530</f>
        <v>0</v>
      </c>
      <c r="U524" s="274">
        <f>B!H525</f>
        <v>0</v>
      </c>
      <c r="V524" s="272">
        <f>Zn!G526</f>
        <v>0</v>
      </c>
      <c r="W524" s="272">
        <f>Cu!G526</f>
        <v>0</v>
      </c>
      <c r="X524" s="272">
        <f>Mn!G526</f>
        <v>0</v>
      </c>
      <c r="Y524" s="272">
        <f>Fe!G526</f>
        <v>0</v>
      </c>
      <c r="Z524" s="274">
        <f>M.O!H526</f>
        <v>0</v>
      </c>
      <c r="AA524" s="272" t="e">
        <f t="shared" si="54"/>
        <v>#DIV/0!</v>
      </c>
      <c r="AB524" s="272" t="e">
        <f t="shared" si="55"/>
        <v>#DIV/0!</v>
      </c>
      <c r="AC524" s="272" t="e">
        <f t="shared" si="56"/>
        <v>#DIV/0!</v>
      </c>
    </row>
    <row r="525" spans="1:29" x14ac:dyDescent="0.2">
      <c r="A525" s="106">
        <f>Cadastro!A529</f>
        <v>0</v>
      </c>
      <c r="B525" s="27">
        <f>Cadastro!E527</f>
        <v>0</v>
      </c>
      <c r="C525">
        <f>pH_água!C525</f>
        <v>0</v>
      </c>
      <c r="D525">
        <f>pH_KCl!B526</f>
        <v>0</v>
      </c>
      <c r="E525">
        <f>'pH CaCl2'!C525</f>
        <v>0</v>
      </c>
      <c r="F525" s="104">
        <f>P_Mehlich1!H510</f>
        <v>0</v>
      </c>
      <c r="G525" s="123">
        <f>P_resina!H530</f>
        <v>0</v>
      </c>
      <c r="H525" s="272">
        <f>K!G495</f>
        <v>0</v>
      </c>
      <c r="I525" s="125">
        <v>0</v>
      </c>
      <c r="J525" s="272">
        <f>'Ca2+'!G526</f>
        <v>0</v>
      </c>
      <c r="K525" s="272">
        <f>Mg²!G528</f>
        <v>0</v>
      </c>
      <c r="L525" s="279">
        <f>Al³!C527</f>
        <v>0</v>
      </c>
      <c r="M525" s="279">
        <f>'H + Al'!D527</f>
        <v>0</v>
      </c>
      <c r="N525" s="272">
        <f t="shared" si="49"/>
        <v>0</v>
      </c>
      <c r="O525" s="272">
        <f t="shared" si="50"/>
        <v>0</v>
      </c>
      <c r="P525" s="272">
        <f t="shared" si="51"/>
        <v>0</v>
      </c>
      <c r="Q525" s="293" t="e">
        <f t="shared" si="52"/>
        <v>#DIV/0!</v>
      </c>
      <c r="R525" s="293" t="e">
        <f t="shared" si="53"/>
        <v>#DIV/0!</v>
      </c>
      <c r="S525">
        <f>Prem!H527</f>
        <v>0</v>
      </c>
      <c r="T525" s="281">
        <f>S!H531</f>
        <v>0</v>
      </c>
      <c r="U525" s="274">
        <f>B!H526</f>
        <v>0</v>
      </c>
      <c r="V525" s="272">
        <f>Zn!G527</f>
        <v>0</v>
      </c>
      <c r="W525" s="272">
        <f>Cu!G527</f>
        <v>0</v>
      </c>
      <c r="X525" s="272">
        <f>Mn!G527</f>
        <v>0</v>
      </c>
      <c r="Y525" s="272">
        <f>Fe!G527</f>
        <v>0</v>
      </c>
      <c r="Z525" s="274">
        <f>M.O!H527</f>
        <v>0</v>
      </c>
      <c r="AA525" s="272" t="e">
        <f t="shared" si="54"/>
        <v>#DIV/0!</v>
      </c>
      <c r="AB525" s="272" t="e">
        <f t="shared" si="55"/>
        <v>#DIV/0!</v>
      </c>
      <c r="AC525" s="272" t="e">
        <f t="shared" si="56"/>
        <v>#DIV/0!</v>
      </c>
    </row>
    <row r="526" spans="1:29" x14ac:dyDescent="0.2">
      <c r="A526" s="106">
        <f>Cadastro!A530</f>
        <v>0</v>
      </c>
      <c r="B526" s="27">
        <f>Cadastro!E528</f>
        <v>0</v>
      </c>
      <c r="C526">
        <f>pH_água!C526</f>
        <v>0</v>
      </c>
      <c r="D526">
        <f>pH_KCl!B527</f>
        <v>0</v>
      </c>
      <c r="E526">
        <f>'pH CaCl2'!C526</f>
        <v>0</v>
      </c>
      <c r="F526" s="104">
        <f>P_Mehlich1!H511</f>
        <v>0</v>
      </c>
      <c r="G526" s="123">
        <f>P_resina!H531</f>
        <v>0</v>
      </c>
      <c r="H526" s="272">
        <f>K!G496</f>
        <v>0</v>
      </c>
      <c r="I526" s="125">
        <v>0</v>
      </c>
      <c r="J526" s="272">
        <f>'Ca2+'!G527</f>
        <v>0</v>
      </c>
      <c r="K526" s="272">
        <f>Mg²!G529</f>
        <v>0</v>
      </c>
      <c r="L526" s="279">
        <f>Al³!C528</f>
        <v>0</v>
      </c>
      <c r="M526" s="279">
        <f>'H + Al'!D528</f>
        <v>0</v>
      </c>
      <c r="N526" s="272">
        <f t="shared" si="49"/>
        <v>0</v>
      </c>
      <c r="O526" s="272">
        <f t="shared" si="50"/>
        <v>0</v>
      </c>
      <c r="P526" s="272">
        <f t="shared" si="51"/>
        <v>0</v>
      </c>
      <c r="Q526" s="293" t="e">
        <f t="shared" si="52"/>
        <v>#DIV/0!</v>
      </c>
      <c r="R526" s="293" t="e">
        <f t="shared" si="53"/>
        <v>#DIV/0!</v>
      </c>
      <c r="S526">
        <f>Prem!H528</f>
        <v>0</v>
      </c>
      <c r="T526" s="281">
        <f>S!H532</f>
        <v>0</v>
      </c>
      <c r="U526" s="274">
        <f>B!H527</f>
        <v>0</v>
      </c>
      <c r="V526" s="272">
        <f>Zn!G528</f>
        <v>0</v>
      </c>
      <c r="W526" s="272">
        <f>Cu!G528</f>
        <v>0</v>
      </c>
      <c r="X526" s="272">
        <f>Mn!G528</f>
        <v>0</v>
      </c>
      <c r="Y526" s="272">
        <f>Fe!G528</f>
        <v>0</v>
      </c>
      <c r="Z526" s="274">
        <f>M.O!H528</f>
        <v>0</v>
      </c>
      <c r="AA526" s="272" t="e">
        <f t="shared" si="54"/>
        <v>#DIV/0!</v>
      </c>
      <c r="AB526" s="272" t="e">
        <f t="shared" si="55"/>
        <v>#DIV/0!</v>
      </c>
      <c r="AC526" s="272" t="e">
        <f t="shared" si="56"/>
        <v>#DIV/0!</v>
      </c>
    </row>
    <row r="527" spans="1:29" x14ac:dyDescent="0.2">
      <c r="A527" s="106">
        <f>Cadastro!A531</f>
        <v>0</v>
      </c>
      <c r="B527" s="27">
        <f>Cadastro!E529</f>
        <v>0</v>
      </c>
      <c r="C527">
        <f>pH_água!C527</f>
        <v>0</v>
      </c>
      <c r="D527">
        <f>pH_KCl!B528</f>
        <v>0</v>
      </c>
      <c r="E527">
        <f>'pH CaCl2'!C527</f>
        <v>0</v>
      </c>
      <c r="F527" s="104">
        <f>P_Mehlich1!H512</f>
        <v>0</v>
      </c>
      <c r="G527" s="123">
        <f>P_resina!H532</f>
        <v>0</v>
      </c>
      <c r="H527" s="272">
        <f>K!G497</f>
        <v>0</v>
      </c>
      <c r="I527" s="125">
        <v>0</v>
      </c>
      <c r="J527" s="272">
        <f>'Ca2+'!G528</f>
        <v>0</v>
      </c>
      <c r="K527" s="272">
        <f>Mg²!G530</f>
        <v>0</v>
      </c>
      <c r="L527" s="279">
        <f>Al³!C529</f>
        <v>0</v>
      </c>
      <c r="M527" s="279">
        <f>'H + Al'!D529</f>
        <v>0</v>
      </c>
      <c r="N527" s="272">
        <f t="shared" si="49"/>
        <v>0</v>
      </c>
      <c r="O527" s="272">
        <f t="shared" si="50"/>
        <v>0</v>
      </c>
      <c r="P527" s="272">
        <f t="shared" si="51"/>
        <v>0</v>
      </c>
      <c r="Q527" s="293" t="e">
        <f t="shared" si="52"/>
        <v>#DIV/0!</v>
      </c>
      <c r="R527" s="293" t="e">
        <f t="shared" si="53"/>
        <v>#DIV/0!</v>
      </c>
      <c r="S527">
        <f>Prem!H529</f>
        <v>0</v>
      </c>
      <c r="T527" s="281">
        <f>S!H533</f>
        <v>0</v>
      </c>
      <c r="U527" s="274">
        <f>B!H528</f>
        <v>0</v>
      </c>
      <c r="V527" s="272">
        <f>Zn!G529</f>
        <v>0</v>
      </c>
      <c r="W527" s="272">
        <f>Cu!G529</f>
        <v>0</v>
      </c>
      <c r="X527" s="272">
        <f>Mn!G529</f>
        <v>0</v>
      </c>
      <c r="Y527" s="272">
        <f>Fe!G529</f>
        <v>0</v>
      </c>
      <c r="Z527" s="274">
        <f>M.O!H529</f>
        <v>0</v>
      </c>
      <c r="AA527" s="272" t="e">
        <f t="shared" si="54"/>
        <v>#DIV/0!</v>
      </c>
      <c r="AB527" s="272" t="e">
        <f t="shared" si="55"/>
        <v>#DIV/0!</v>
      </c>
      <c r="AC527" s="272" t="e">
        <f t="shared" si="56"/>
        <v>#DIV/0!</v>
      </c>
    </row>
    <row r="528" spans="1:29" x14ac:dyDescent="0.2">
      <c r="A528" s="106">
        <f>Cadastro!A532</f>
        <v>0</v>
      </c>
      <c r="B528" s="27">
        <f>Cadastro!E530</f>
        <v>0</v>
      </c>
      <c r="C528">
        <f>pH_água!C528</f>
        <v>0</v>
      </c>
      <c r="D528">
        <f>pH_KCl!B529</f>
        <v>0</v>
      </c>
      <c r="E528">
        <f>'pH CaCl2'!C528</f>
        <v>0</v>
      </c>
      <c r="F528" s="104">
        <f>P_Mehlich1!H513</f>
        <v>0</v>
      </c>
      <c r="G528" s="123">
        <f>P_resina!H533</f>
        <v>0</v>
      </c>
      <c r="H528" s="272">
        <f>K!G498</f>
        <v>0</v>
      </c>
      <c r="I528" s="125">
        <v>0</v>
      </c>
      <c r="J528" s="272">
        <f>'Ca2+'!G529</f>
        <v>0</v>
      </c>
      <c r="K528" s="272">
        <f>Mg²!G531</f>
        <v>0</v>
      </c>
      <c r="L528" s="279">
        <f>Al³!C530</f>
        <v>0</v>
      </c>
      <c r="M528" s="279">
        <f>'H + Al'!D530</f>
        <v>0</v>
      </c>
      <c r="N528" s="272">
        <f t="shared" si="49"/>
        <v>0</v>
      </c>
      <c r="O528" s="272">
        <f t="shared" si="50"/>
        <v>0</v>
      </c>
      <c r="P528" s="272">
        <f t="shared" si="51"/>
        <v>0</v>
      </c>
      <c r="Q528" s="293" t="e">
        <f t="shared" si="52"/>
        <v>#DIV/0!</v>
      </c>
      <c r="R528" s="293" t="e">
        <f t="shared" si="53"/>
        <v>#DIV/0!</v>
      </c>
      <c r="S528">
        <f>Prem!H530</f>
        <v>0</v>
      </c>
      <c r="T528" s="281">
        <f>S!H534</f>
        <v>0</v>
      </c>
      <c r="U528" s="274">
        <f>B!H529</f>
        <v>0</v>
      </c>
      <c r="V528" s="272">
        <f>Zn!G530</f>
        <v>0</v>
      </c>
      <c r="W528" s="272">
        <f>Cu!G530</f>
        <v>0</v>
      </c>
      <c r="X528" s="272">
        <f>Mn!G530</f>
        <v>0</v>
      </c>
      <c r="Y528" s="272">
        <f>Fe!G530</f>
        <v>0</v>
      </c>
      <c r="Z528" s="274">
        <f>M.O!H530</f>
        <v>0</v>
      </c>
      <c r="AA528" s="272" t="e">
        <f t="shared" si="54"/>
        <v>#DIV/0!</v>
      </c>
      <c r="AB528" s="272" t="e">
        <f t="shared" si="55"/>
        <v>#DIV/0!</v>
      </c>
      <c r="AC528" s="272" t="e">
        <f t="shared" si="56"/>
        <v>#DIV/0!</v>
      </c>
    </row>
    <row r="529" spans="1:29" x14ac:dyDescent="0.2">
      <c r="A529" s="106">
        <f>Cadastro!A533</f>
        <v>0</v>
      </c>
      <c r="B529" s="27">
        <f>Cadastro!E531</f>
        <v>0</v>
      </c>
      <c r="C529">
        <f>pH_água!C529</f>
        <v>0</v>
      </c>
      <c r="D529">
        <f>pH_KCl!B530</f>
        <v>0</v>
      </c>
      <c r="E529">
        <f>'pH CaCl2'!C529</f>
        <v>0</v>
      </c>
      <c r="F529" s="104">
        <f>P_Mehlich1!H514</f>
        <v>0</v>
      </c>
      <c r="G529" s="123">
        <f>P_resina!H534</f>
        <v>0</v>
      </c>
      <c r="H529" s="272">
        <f>K!G499</f>
        <v>0</v>
      </c>
      <c r="I529" s="125">
        <v>0</v>
      </c>
      <c r="J529" s="272">
        <f>'Ca2+'!G530</f>
        <v>0</v>
      </c>
      <c r="K529" s="272">
        <f>Mg²!G532</f>
        <v>0</v>
      </c>
      <c r="L529" s="279">
        <f>Al³!C531</f>
        <v>0</v>
      </c>
      <c r="M529" s="279">
        <f>'H + Al'!D531</f>
        <v>0</v>
      </c>
      <c r="N529" s="272">
        <f t="shared" si="49"/>
        <v>0</v>
      </c>
      <c r="O529" s="272">
        <f t="shared" si="50"/>
        <v>0</v>
      </c>
      <c r="P529" s="272">
        <f t="shared" si="51"/>
        <v>0</v>
      </c>
      <c r="Q529" s="293" t="e">
        <f t="shared" si="52"/>
        <v>#DIV/0!</v>
      </c>
      <c r="R529" s="293" t="e">
        <f t="shared" si="53"/>
        <v>#DIV/0!</v>
      </c>
      <c r="S529">
        <f>Prem!H531</f>
        <v>0</v>
      </c>
      <c r="T529" s="281">
        <f>S!H535</f>
        <v>0</v>
      </c>
      <c r="U529" s="274">
        <f>B!H530</f>
        <v>0</v>
      </c>
      <c r="V529" s="272">
        <f>Zn!G531</f>
        <v>0</v>
      </c>
      <c r="W529" s="272">
        <f>Cu!G531</f>
        <v>0</v>
      </c>
      <c r="X529" s="272">
        <f>Mn!G531</f>
        <v>0</v>
      </c>
      <c r="Y529" s="272">
        <f>Fe!G531</f>
        <v>0</v>
      </c>
      <c r="Z529" s="274">
        <f>M.O!H531</f>
        <v>0</v>
      </c>
      <c r="AA529" s="272" t="e">
        <f t="shared" si="54"/>
        <v>#DIV/0!</v>
      </c>
      <c r="AB529" s="272" t="e">
        <f t="shared" si="55"/>
        <v>#DIV/0!</v>
      </c>
      <c r="AC529" s="272" t="e">
        <f t="shared" si="56"/>
        <v>#DIV/0!</v>
      </c>
    </row>
    <row r="530" spans="1:29" x14ac:dyDescent="0.2">
      <c r="A530" s="106">
        <f>Cadastro!A534</f>
        <v>0</v>
      </c>
      <c r="B530" s="27">
        <f>Cadastro!E532</f>
        <v>0</v>
      </c>
      <c r="C530">
        <f>pH_água!C530</f>
        <v>0</v>
      </c>
      <c r="D530">
        <f>pH_KCl!B531</f>
        <v>0</v>
      </c>
      <c r="E530">
        <f>'pH CaCl2'!C530</f>
        <v>0</v>
      </c>
      <c r="F530" s="104">
        <f>P_Mehlich1!H515</f>
        <v>0</v>
      </c>
      <c r="G530" s="123">
        <f>P_resina!H535</f>
        <v>0</v>
      </c>
      <c r="H530" s="272">
        <f>K!G500</f>
        <v>0</v>
      </c>
      <c r="I530" s="125">
        <v>0</v>
      </c>
      <c r="J530" s="272">
        <f>'Ca2+'!G531</f>
        <v>0</v>
      </c>
      <c r="K530" s="272">
        <f>Mg²!G533</f>
        <v>0</v>
      </c>
      <c r="L530" s="279">
        <f>Al³!C532</f>
        <v>0</v>
      </c>
      <c r="M530" s="279">
        <f>'H + Al'!D532</f>
        <v>0</v>
      </c>
      <c r="N530" s="272">
        <f t="shared" si="49"/>
        <v>0</v>
      </c>
      <c r="O530" s="272">
        <f t="shared" si="50"/>
        <v>0</v>
      </c>
      <c r="P530" s="272">
        <f t="shared" si="51"/>
        <v>0</v>
      </c>
      <c r="Q530" s="293" t="e">
        <f t="shared" si="52"/>
        <v>#DIV/0!</v>
      </c>
      <c r="R530" s="293" t="e">
        <f t="shared" si="53"/>
        <v>#DIV/0!</v>
      </c>
      <c r="S530">
        <f>Prem!H532</f>
        <v>0</v>
      </c>
      <c r="T530" s="281">
        <f>S!H536</f>
        <v>0</v>
      </c>
      <c r="U530" s="274">
        <f>B!H531</f>
        <v>0</v>
      </c>
      <c r="V530" s="272">
        <f>Zn!G532</f>
        <v>0</v>
      </c>
      <c r="W530" s="272">
        <f>Cu!G532</f>
        <v>0</v>
      </c>
      <c r="X530" s="272">
        <f>Mn!G532</f>
        <v>0</v>
      </c>
      <c r="Y530" s="272">
        <f>Fe!G532</f>
        <v>0</v>
      </c>
      <c r="Z530" s="274">
        <f>M.O!H532</f>
        <v>0</v>
      </c>
      <c r="AA530" s="272" t="e">
        <f t="shared" si="54"/>
        <v>#DIV/0!</v>
      </c>
      <c r="AB530" s="272" t="e">
        <f t="shared" si="55"/>
        <v>#DIV/0!</v>
      </c>
      <c r="AC530" s="272" t="e">
        <f t="shared" si="56"/>
        <v>#DIV/0!</v>
      </c>
    </row>
    <row r="531" spans="1:29" x14ac:dyDescent="0.2">
      <c r="A531" s="106">
        <f>Cadastro!A535</f>
        <v>0</v>
      </c>
      <c r="B531" s="27">
        <f>Cadastro!E533</f>
        <v>0</v>
      </c>
      <c r="C531">
        <f>pH_água!C531</f>
        <v>0</v>
      </c>
      <c r="D531">
        <f>pH_KCl!B532</f>
        <v>0</v>
      </c>
      <c r="E531">
        <f>'pH CaCl2'!C531</f>
        <v>0</v>
      </c>
      <c r="F531" s="104">
        <f>P_Mehlich1!H516</f>
        <v>0</v>
      </c>
      <c r="G531" s="123">
        <f>P_resina!H536</f>
        <v>0</v>
      </c>
      <c r="H531" s="272">
        <f>K!G501</f>
        <v>0</v>
      </c>
      <c r="I531" s="125">
        <v>0</v>
      </c>
      <c r="J531" s="272">
        <f>'Ca2+'!G532</f>
        <v>0</v>
      </c>
      <c r="K531" s="272">
        <f>Mg²!G534</f>
        <v>0</v>
      </c>
      <c r="L531" s="279">
        <f>Al³!C533</f>
        <v>0</v>
      </c>
      <c r="M531" s="279">
        <f>'H + Al'!D533</f>
        <v>0</v>
      </c>
      <c r="N531" s="272">
        <f t="shared" si="49"/>
        <v>0</v>
      </c>
      <c r="O531" s="272">
        <f t="shared" si="50"/>
        <v>0</v>
      </c>
      <c r="P531" s="272">
        <f t="shared" si="51"/>
        <v>0</v>
      </c>
      <c r="Q531" s="293" t="e">
        <f t="shared" si="52"/>
        <v>#DIV/0!</v>
      </c>
      <c r="R531" s="293" t="e">
        <f t="shared" si="53"/>
        <v>#DIV/0!</v>
      </c>
      <c r="S531">
        <f>Prem!H533</f>
        <v>0</v>
      </c>
      <c r="T531" s="281">
        <f>S!H537</f>
        <v>0</v>
      </c>
      <c r="U531" s="274">
        <f>B!H532</f>
        <v>0</v>
      </c>
      <c r="V531" s="272">
        <f>Zn!G533</f>
        <v>0</v>
      </c>
      <c r="W531" s="272">
        <f>Cu!G533</f>
        <v>0</v>
      </c>
      <c r="X531" s="272">
        <f>Mn!G533</f>
        <v>0</v>
      </c>
      <c r="Y531" s="272">
        <f>Fe!G533</f>
        <v>0</v>
      </c>
      <c r="Z531" s="274">
        <f>M.O!H533</f>
        <v>0</v>
      </c>
      <c r="AA531" s="272" t="e">
        <f t="shared" si="54"/>
        <v>#DIV/0!</v>
      </c>
      <c r="AB531" s="272" t="e">
        <f t="shared" si="55"/>
        <v>#DIV/0!</v>
      </c>
      <c r="AC531" s="272" t="e">
        <f t="shared" si="56"/>
        <v>#DIV/0!</v>
      </c>
    </row>
    <row r="532" spans="1:29" x14ac:dyDescent="0.2">
      <c r="A532" s="106">
        <f>Cadastro!A536</f>
        <v>0</v>
      </c>
      <c r="B532" s="27">
        <f>Cadastro!E534</f>
        <v>0</v>
      </c>
      <c r="C532">
        <f>pH_água!C532</f>
        <v>0</v>
      </c>
      <c r="D532">
        <f>pH_KCl!B533</f>
        <v>0</v>
      </c>
      <c r="E532">
        <f>'pH CaCl2'!C532</f>
        <v>0</v>
      </c>
      <c r="F532" s="104">
        <f>P_Mehlich1!H517</f>
        <v>0</v>
      </c>
      <c r="G532" s="123">
        <f>P_resina!H537</f>
        <v>0</v>
      </c>
      <c r="H532" s="272">
        <f>K!G502</f>
        <v>0</v>
      </c>
      <c r="I532" s="125">
        <v>0</v>
      </c>
      <c r="J532" s="272">
        <f>'Ca2+'!G533</f>
        <v>0</v>
      </c>
      <c r="K532" s="272">
        <f>Mg²!G535</f>
        <v>0</v>
      </c>
      <c r="L532" s="279">
        <f>Al³!C534</f>
        <v>0</v>
      </c>
      <c r="M532" s="279">
        <f>'H + Al'!D534</f>
        <v>0</v>
      </c>
      <c r="N532" s="272">
        <f t="shared" si="49"/>
        <v>0</v>
      </c>
      <c r="O532" s="272">
        <f t="shared" si="50"/>
        <v>0</v>
      </c>
      <c r="P532" s="272">
        <f t="shared" si="51"/>
        <v>0</v>
      </c>
      <c r="Q532" s="293" t="e">
        <f t="shared" si="52"/>
        <v>#DIV/0!</v>
      </c>
      <c r="R532" s="293" t="e">
        <f t="shared" si="53"/>
        <v>#DIV/0!</v>
      </c>
      <c r="S532">
        <f>Prem!H534</f>
        <v>0</v>
      </c>
      <c r="T532" s="281">
        <f>S!H538</f>
        <v>0</v>
      </c>
      <c r="U532" s="274">
        <f>B!H533</f>
        <v>0</v>
      </c>
      <c r="V532" s="272">
        <f>Zn!G534</f>
        <v>0</v>
      </c>
      <c r="W532" s="272">
        <f>Cu!G534</f>
        <v>0</v>
      </c>
      <c r="X532" s="272">
        <f>Mn!G534</f>
        <v>0</v>
      </c>
      <c r="Y532" s="272">
        <f>Fe!G534</f>
        <v>0</v>
      </c>
      <c r="Z532" s="274">
        <f>M.O!H534</f>
        <v>0</v>
      </c>
      <c r="AA532" s="272" t="e">
        <f t="shared" si="54"/>
        <v>#DIV/0!</v>
      </c>
      <c r="AB532" s="272" t="e">
        <f t="shared" si="55"/>
        <v>#DIV/0!</v>
      </c>
      <c r="AC532" s="272" t="e">
        <f t="shared" si="56"/>
        <v>#DIV/0!</v>
      </c>
    </row>
    <row r="533" spans="1:29" x14ac:dyDescent="0.2">
      <c r="A533" s="106">
        <f>Cadastro!A537</f>
        <v>0</v>
      </c>
      <c r="B533" s="27">
        <f>Cadastro!E535</f>
        <v>0</v>
      </c>
      <c r="C533">
        <f>pH_água!C533</f>
        <v>0</v>
      </c>
      <c r="D533">
        <f>pH_KCl!B534</f>
        <v>0</v>
      </c>
      <c r="E533">
        <f>'pH CaCl2'!C533</f>
        <v>0</v>
      </c>
      <c r="F533" s="104">
        <f>P_Mehlich1!H518</f>
        <v>0</v>
      </c>
      <c r="G533" s="123">
        <f>P_resina!H538</f>
        <v>0</v>
      </c>
      <c r="H533" s="272">
        <f>K!G503</f>
        <v>0</v>
      </c>
      <c r="I533" s="125">
        <v>0</v>
      </c>
      <c r="J533" s="272">
        <f>'Ca2+'!G534</f>
        <v>0</v>
      </c>
      <c r="K533" s="272">
        <f>Mg²!G536</f>
        <v>0</v>
      </c>
      <c r="L533" s="279">
        <f>Al³!C535</f>
        <v>0</v>
      </c>
      <c r="M533" s="279">
        <f>'H + Al'!D535</f>
        <v>0</v>
      </c>
      <c r="N533" s="272">
        <f t="shared" si="49"/>
        <v>0</v>
      </c>
      <c r="O533" s="272">
        <f t="shared" si="50"/>
        <v>0</v>
      </c>
      <c r="P533" s="272">
        <f t="shared" si="51"/>
        <v>0</v>
      </c>
      <c r="Q533" s="293" t="e">
        <f t="shared" si="52"/>
        <v>#DIV/0!</v>
      </c>
      <c r="R533" s="293" t="e">
        <f t="shared" si="53"/>
        <v>#DIV/0!</v>
      </c>
      <c r="S533">
        <f>Prem!H535</f>
        <v>0</v>
      </c>
      <c r="T533" s="281">
        <f>S!H539</f>
        <v>0</v>
      </c>
      <c r="U533" s="274">
        <f>B!H534</f>
        <v>0</v>
      </c>
      <c r="V533" s="272">
        <f>Zn!G535</f>
        <v>0</v>
      </c>
      <c r="W533" s="272">
        <f>Cu!G535</f>
        <v>0</v>
      </c>
      <c r="X533" s="272">
        <f>Mn!G535</f>
        <v>0</v>
      </c>
      <c r="Y533" s="272">
        <f>Fe!G535</f>
        <v>0</v>
      </c>
      <c r="Z533" s="274">
        <f>M.O!H535</f>
        <v>0</v>
      </c>
      <c r="AA533" s="272" t="e">
        <f t="shared" si="54"/>
        <v>#DIV/0!</v>
      </c>
      <c r="AB533" s="272" t="e">
        <f t="shared" si="55"/>
        <v>#DIV/0!</v>
      </c>
      <c r="AC533" s="272" t="e">
        <f t="shared" si="56"/>
        <v>#DIV/0!</v>
      </c>
    </row>
    <row r="534" spans="1:29" x14ac:dyDescent="0.2">
      <c r="A534" s="106">
        <f>Cadastro!A538</f>
        <v>0</v>
      </c>
      <c r="B534" s="27">
        <f>Cadastro!E536</f>
        <v>0</v>
      </c>
      <c r="C534">
        <f>pH_água!C534</f>
        <v>0</v>
      </c>
      <c r="D534">
        <f>pH_KCl!B535</f>
        <v>0</v>
      </c>
      <c r="E534">
        <f>'pH CaCl2'!C534</f>
        <v>0</v>
      </c>
      <c r="F534" s="104">
        <f>P_Mehlich1!H519</f>
        <v>0</v>
      </c>
      <c r="G534" s="123">
        <f>P_resina!H539</f>
        <v>0</v>
      </c>
      <c r="H534" s="272">
        <f>K!G504</f>
        <v>0</v>
      </c>
      <c r="I534" s="125">
        <v>0</v>
      </c>
      <c r="J534" s="272">
        <f>'Ca2+'!G535</f>
        <v>0</v>
      </c>
      <c r="K534" s="272">
        <f>Mg²!G537</f>
        <v>0</v>
      </c>
      <c r="L534" s="279">
        <f>Al³!C536</f>
        <v>0</v>
      </c>
      <c r="M534" s="279">
        <f>'H + Al'!D536</f>
        <v>0</v>
      </c>
      <c r="N534" s="272">
        <f t="shared" si="49"/>
        <v>0</v>
      </c>
      <c r="O534" s="272">
        <f t="shared" si="50"/>
        <v>0</v>
      </c>
      <c r="P534" s="272">
        <f t="shared" si="51"/>
        <v>0</v>
      </c>
      <c r="Q534" s="293" t="e">
        <f t="shared" si="52"/>
        <v>#DIV/0!</v>
      </c>
      <c r="R534" s="293" t="e">
        <f t="shared" si="53"/>
        <v>#DIV/0!</v>
      </c>
      <c r="S534">
        <f>Prem!H536</f>
        <v>0</v>
      </c>
      <c r="T534" s="281">
        <f>S!H540</f>
        <v>0</v>
      </c>
      <c r="U534" s="274">
        <f>B!H535</f>
        <v>0</v>
      </c>
      <c r="V534" s="272">
        <f>Zn!G536</f>
        <v>0</v>
      </c>
      <c r="W534" s="272">
        <f>Cu!G536</f>
        <v>0</v>
      </c>
      <c r="X534" s="272">
        <f>Mn!G536</f>
        <v>0</v>
      </c>
      <c r="Y534" s="272">
        <f>Fe!G536</f>
        <v>0</v>
      </c>
      <c r="Z534" s="274">
        <f>M.O!H536</f>
        <v>0</v>
      </c>
      <c r="AA534" s="272" t="e">
        <f t="shared" si="54"/>
        <v>#DIV/0!</v>
      </c>
      <c r="AB534" s="272" t="e">
        <f t="shared" si="55"/>
        <v>#DIV/0!</v>
      </c>
      <c r="AC534" s="272" t="e">
        <f t="shared" si="56"/>
        <v>#DIV/0!</v>
      </c>
    </row>
    <row r="535" spans="1:29" x14ac:dyDescent="0.2">
      <c r="A535" s="106">
        <f>Cadastro!A539</f>
        <v>0</v>
      </c>
      <c r="B535" s="27">
        <f>Cadastro!E537</f>
        <v>0</v>
      </c>
      <c r="C535">
        <f>pH_água!C535</f>
        <v>0</v>
      </c>
      <c r="D535">
        <f>pH_KCl!B536</f>
        <v>0</v>
      </c>
      <c r="E535">
        <f>'pH CaCl2'!C535</f>
        <v>0</v>
      </c>
      <c r="F535" s="104">
        <f>P_Mehlich1!H520</f>
        <v>0</v>
      </c>
      <c r="G535" s="123">
        <f>P_resina!H540</f>
        <v>0</v>
      </c>
      <c r="H535" s="272">
        <f>K!G505</f>
        <v>0</v>
      </c>
      <c r="I535" s="125">
        <v>0</v>
      </c>
      <c r="J535" s="272">
        <f>'Ca2+'!G536</f>
        <v>0</v>
      </c>
      <c r="K535" s="272">
        <f>Mg²!G538</f>
        <v>0</v>
      </c>
      <c r="L535" s="279">
        <f>Al³!C537</f>
        <v>0</v>
      </c>
      <c r="M535" s="279">
        <f>'H + Al'!D537</f>
        <v>0</v>
      </c>
      <c r="N535" s="272">
        <f t="shared" si="49"/>
        <v>0</v>
      </c>
      <c r="O535" s="272">
        <f t="shared" si="50"/>
        <v>0</v>
      </c>
      <c r="P535" s="272">
        <f t="shared" si="51"/>
        <v>0</v>
      </c>
      <c r="Q535" s="293" t="e">
        <f t="shared" si="52"/>
        <v>#DIV/0!</v>
      </c>
      <c r="R535" s="293" t="e">
        <f t="shared" si="53"/>
        <v>#DIV/0!</v>
      </c>
      <c r="S535">
        <f>Prem!H537</f>
        <v>0</v>
      </c>
      <c r="T535" s="281">
        <f>S!H541</f>
        <v>0</v>
      </c>
      <c r="U535" s="274">
        <f>B!H536</f>
        <v>0</v>
      </c>
      <c r="V535" s="272">
        <f>Zn!G537</f>
        <v>0</v>
      </c>
      <c r="W535" s="272">
        <f>Cu!G537</f>
        <v>0</v>
      </c>
      <c r="X535" s="272">
        <f>Mn!G537</f>
        <v>0</v>
      </c>
      <c r="Y535" s="272">
        <f>Fe!G537</f>
        <v>0</v>
      </c>
      <c r="Z535" s="274">
        <f>M.O!H537</f>
        <v>0</v>
      </c>
      <c r="AA535" s="272" t="e">
        <f t="shared" si="54"/>
        <v>#DIV/0!</v>
      </c>
      <c r="AB535" s="272" t="e">
        <f t="shared" si="55"/>
        <v>#DIV/0!</v>
      </c>
      <c r="AC535" s="272" t="e">
        <f t="shared" si="56"/>
        <v>#DIV/0!</v>
      </c>
    </row>
    <row r="536" spans="1:29" x14ac:dyDescent="0.2">
      <c r="A536" s="106">
        <f>Cadastro!A540</f>
        <v>0</v>
      </c>
      <c r="B536" s="27">
        <f>Cadastro!E538</f>
        <v>0</v>
      </c>
      <c r="C536">
        <f>pH_água!C536</f>
        <v>0</v>
      </c>
      <c r="D536">
        <f>pH_KCl!B537</f>
        <v>0</v>
      </c>
      <c r="E536">
        <f>'pH CaCl2'!C536</f>
        <v>0</v>
      </c>
      <c r="F536" s="104">
        <f>P_Mehlich1!H521</f>
        <v>0</v>
      </c>
      <c r="G536" s="123">
        <f>P_resina!H541</f>
        <v>0</v>
      </c>
      <c r="H536" s="272">
        <f>K!G506</f>
        <v>0</v>
      </c>
      <c r="I536" s="125">
        <v>0</v>
      </c>
      <c r="J536" s="272">
        <f>'Ca2+'!G537</f>
        <v>0</v>
      </c>
      <c r="K536" s="272">
        <f>Mg²!G539</f>
        <v>0</v>
      </c>
      <c r="L536" s="279">
        <f>Al³!C538</f>
        <v>0</v>
      </c>
      <c r="M536" s="279">
        <f>'H + Al'!D538</f>
        <v>0</v>
      </c>
      <c r="N536" s="272">
        <f t="shared" si="49"/>
        <v>0</v>
      </c>
      <c r="O536" s="272">
        <f t="shared" si="50"/>
        <v>0</v>
      </c>
      <c r="P536" s="272">
        <f t="shared" si="51"/>
        <v>0</v>
      </c>
      <c r="Q536" s="293" t="e">
        <f t="shared" si="52"/>
        <v>#DIV/0!</v>
      </c>
      <c r="R536" s="293" t="e">
        <f t="shared" si="53"/>
        <v>#DIV/0!</v>
      </c>
      <c r="S536">
        <f>Prem!H538</f>
        <v>0</v>
      </c>
      <c r="T536" s="281">
        <f>S!H542</f>
        <v>0</v>
      </c>
      <c r="U536" s="274">
        <f>B!H537</f>
        <v>0</v>
      </c>
      <c r="V536" s="272">
        <f>Zn!G538</f>
        <v>0</v>
      </c>
      <c r="W536" s="272">
        <f>Cu!G538</f>
        <v>0</v>
      </c>
      <c r="X536" s="272">
        <f>Mn!G538</f>
        <v>0</v>
      </c>
      <c r="Y536" s="272">
        <f>Fe!G538</f>
        <v>0</v>
      </c>
      <c r="Z536" s="274">
        <f>M.O!H538</f>
        <v>0</v>
      </c>
      <c r="AA536" s="272" t="e">
        <f t="shared" si="54"/>
        <v>#DIV/0!</v>
      </c>
      <c r="AB536" s="272" t="e">
        <f t="shared" si="55"/>
        <v>#DIV/0!</v>
      </c>
      <c r="AC536" s="272" t="e">
        <f t="shared" si="56"/>
        <v>#DIV/0!</v>
      </c>
    </row>
    <row r="537" spans="1:29" x14ac:dyDescent="0.2">
      <c r="A537" s="106">
        <f>Cadastro!A541</f>
        <v>0</v>
      </c>
      <c r="B537" s="27">
        <f>Cadastro!E539</f>
        <v>0</v>
      </c>
      <c r="C537">
        <f>pH_água!C537</f>
        <v>0</v>
      </c>
      <c r="D537">
        <f>pH_KCl!B538</f>
        <v>0</v>
      </c>
      <c r="E537">
        <f>'pH CaCl2'!C537</f>
        <v>0</v>
      </c>
      <c r="F537" s="104">
        <f>P_Mehlich1!H522</f>
        <v>0</v>
      </c>
      <c r="G537" s="123">
        <f>P_resina!H542</f>
        <v>0</v>
      </c>
      <c r="H537" s="272">
        <f>K!G507</f>
        <v>0</v>
      </c>
      <c r="I537" s="125">
        <v>0</v>
      </c>
      <c r="J537" s="272">
        <f>'Ca2+'!G538</f>
        <v>0</v>
      </c>
      <c r="K537" s="272">
        <f>Mg²!G540</f>
        <v>0</v>
      </c>
      <c r="L537" s="279">
        <f>Al³!C539</f>
        <v>0</v>
      </c>
      <c r="M537" s="279">
        <f>'H + Al'!D539</f>
        <v>0</v>
      </c>
      <c r="N537" s="272">
        <f t="shared" si="49"/>
        <v>0</v>
      </c>
      <c r="O537" s="272">
        <f t="shared" si="50"/>
        <v>0</v>
      </c>
      <c r="P537" s="272">
        <f t="shared" si="51"/>
        <v>0</v>
      </c>
      <c r="Q537" s="293" t="e">
        <f t="shared" si="52"/>
        <v>#DIV/0!</v>
      </c>
      <c r="R537" s="293" t="e">
        <f t="shared" si="53"/>
        <v>#DIV/0!</v>
      </c>
      <c r="S537">
        <f>Prem!H539</f>
        <v>0</v>
      </c>
      <c r="T537" s="281">
        <f>S!H543</f>
        <v>0</v>
      </c>
      <c r="U537" s="274">
        <f>B!H538</f>
        <v>0</v>
      </c>
      <c r="V537" s="272">
        <f>Zn!G539</f>
        <v>0</v>
      </c>
      <c r="W537" s="272">
        <f>Cu!G539</f>
        <v>0</v>
      </c>
      <c r="X537" s="272">
        <f>Mn!G539</f>
        <v>0</v>
      </c>
      <c r="Y537" s="272">
        <f>Fe!G539</f>
        <v>0</v>
      </c>
      <c r="Z537" s="274">
        <f>M.O!H539</f>
        <v>0</v>
      </c>
      <c r="AA537" s="272" t="e">
        <f t="shared" si="54"/>
        <v>#DIV/0!</v>
      </c>
      <c r="AB537" s="272" t="e">
        <f t="shared" si="55"/>
        <v>#DIV/0!</v>
      </c>
      <c r="AC537" s="272" t="e">
        <f t="shared" si="56"/>
        <v>#DIV/0!</v>
      </c>
    </row>
    <row r="538" spans="1:29" x14ac:dyDescent="0.2">
      <c r="A538" s="106">
        <f>Cadastro!A542</f>
        <v>0</v>
      </c>
      <c r="B538" s="27">
        <f>Cadastro!E540</f>
        <v>0</v>
      </c>
      <c r="C538">
        <f>pH_água!C538</f>
        <v>0</v>
      </c>
      <c r="D538">
        <f>pH_KCl!B539</f>
        <v>0</v>
      </c>
      <c r="E538">
        <f>'pH CaCl2'!C538</f>
        <v>0</v>
      </c>
      <c r="F538" s="104">
        <f>P_Mehlich1!H523</f>
        <v>0</v>
      </c>
      <c r="G538" s="123">
        <f>P_resina!H543</f>
        <v>0</v>
      </c>
      <c r="H538" s="272">
        <f>K!G508</f>
        <v>0</v>
      </c>
      <c r="I538" s="125">
        <v>0</v>
      </c>
      <c r="J538" s="272">
        <f>'Ca2+'!G539</f>
        <v>0</v>
      </c>
      <c r="K538" s="272">
        <f>Mg²!G541</f>
        <v>0</v>
      </c>
      <c r="L538" s="279">
        <f>Al³!C540</f>
        <v>0</v>
      </c>
      <c r="M538" s="279">
        <f>'H + Al'!D540</f>
        <v>0</v>
      </c>
      <c r="N538" s="272">
        <f t="shared" si="49"/>
        <v>0</v>
      </c>
      <c r="O538" s="272">
        <f t="shared" si="50"/>
        <v>0</v>
      </c>
      <c r="P538" s="272">
        <f t="shared" si="51"/>
        <v>0</v>
      </c>
      <c r="Q538" s="293" t="e">
        <f t="shared" si="52"/>
        <v>#DIV/0!</v>
      </c>
      <c r="R538" s="293" t="e">
        <f t="shared" si="53"/>
        <v>#DIV/0!</v>
      </c>
      <c r="S538">
        <f>Prem!H540</f>
        <v>0</v>
      </c>
      <c r="T538" s="281">
        <f>S!H544</f>
        <v>0</v>
      </c>
      <c r="U538" s="274">
        <f>B!H539</f>
        <v>0</v>
      </c>
      <c r="V538" s="272">
        <f>Zn!G540</f>
        <v>0</v>
      </c>
      <c r="W538" s="272">
        <f>Cu!G540</f>
        <v>0</v>
      </c>
      <c r="X538" s="272">
        <f>Mn!G540</f>
        <v>0</v>
      </c>
      <c r="Y538" s="272">
        <f>Fe!G540</f>
        <v>0</v>
      </c>
      <c r="Z538" s="274">
        <f>M.O!H540</f>
        <v>0</v>
      </c>
      <c r="AA538" s="272" t="e">
        <f t="shared" si="54"/>
        <v>#DIV/0!</v>
      </c>
      <c r="AB538" s="272" t="e">
        <f t="shared" si="55"/>
        <v>#DIV/0!</v>
      </c>
      <c r="AC538" s="272" t="e">
        <f t="shared" si="56"/>
        <v>#DIV/0!</v>
      </c>
    </row>
    <row r="539" spans="1:29" x14ac:dyDescent="0.2">
      <c r="A539" s="106">
        <f>Cadastro!A543</f>
        <v>0</v>
      </c>
      <c r="B539" s="27">
        <f>Cadastro!E541</f>
        <v>0</v>
      </c>
      <c r="C539">
        <f>pH_água!C539</f>
        <v>0</v>
      </c>
      <c r="D539">
        <f>pH_KCl!B540</f>
        <v>0</v>
      </c>
      <c r="E539">
        <f>'pH CaCl2'!C539</f>
        <v>0</v>
      </c>
      <c r="F539" s="104">
        <f>P_Mehlich1!H524</f>
        <v>0</v>
      </c>
      <c r="G539" s="123">
        <f>P_resina!H544</f>
        <v>0</v>
      </c>
      <c r="H539" s="272">
        <f>K!G509</f>
        <v>0</v>
      </c>
      <c r="I539" s="125">
        <v>0</v>
      </c>
      <c r="J539" s="272">
        <f>'Ca2+'!G540</f>
        <v>0</v>
      </c>
      <c r="K539" s="272">
        <f>Mg²!G542</f>
        <v>0</v>
      </c>
      <c r="L539" s="279">
        <f>Al³!C541</f>
        <v>0</v>
      </c>
      <c r="M539" s="279">
        <f>'H + Al'!D541</f>
        <v>0</v>
      </c>
      <c r="N539" s="272">
        <f t="shared" si="49"/>
        <v>0</v>
      </c>
      <c r="O539" s="272">
        <f t="shared" si="50"/>
        <v>0</v>
      </c>
      <c r="P539" s="272">
        <f t="shared" si="51"/>
        <v>0</v>
      </c>
      <c r="Q539" s="293" t="e">
        <f t="shared" si="52"/>
        <v>#DIV/0!</v>
      </c>
      <c r="R539" s="293" t="e">
        <f t="shared" si="53"/>
        <v>#DIV/0!</v>
      </c>
      <c r="S539">
        <f>Prem!H541</f>
        <v>0</v>
      </c>
      <c r="T539" s="281">
        <f>S!H545</f>
        <v>0</v>
      </c>
      <c r="U539" s="274">
        <f>B!H540</f>
        <v>0</v>
      </c>
      <c r="V539" s="272">
        <f>Zn!G541</f>
        <v>0</v>
      </c>
      <c r="W539" s="272">
        <f>Cu!G541</f>
        <v>0</v>
      </c>
      <c r="X539" s="272">
        <f>Mn!G541</f>
        <v>0</v>
      </c>
      <c r="Y539" s="272">
        <f>Fe!G541</f>
        <v>0</v>
      </c>
      <c r="Z539" s="274">
        <f>M.O!H541</f>
        <v>0</v>
      </c>
      <c r="AA539" s="272" t="e">
        <f t="shared" si="54"/>
        <v>#DIV/0!</v>
      </c>
      <c r="AB539" s="272" t="e">
        <f t="shared" si="55"/>
        <v>#DIV/0!</v>
      </c>
      <c r="AC539" s="272" t="e">
        <f t="shared" si="56"/>
        <v>#DIV/0!</v>
      </c>
    </row>
    <row r="540" spans="1:29" x14ac:dyDescent="0.2">
      <c r="A540" s="106">
        <f>Cadastro!A544</f>
        <v>0</v>
      </c>
      <c r="B540" s="27">
        <f>Cadastro!E542</f>
        <v>0</v>
      </c>
      <c r="C540">
        <f>pH_água!C540</f>
        <v>0</v>
      </c>
      <c r="D540">
        <f>pH_KCl!B541</f>
        <v>0</v>
      </c>
      <c r="E540">
        <f>'pH CaCl2'!C540</f>
        <v>0</v>
      </c>
      <c r="F540" s="104">
        <f>P_Mehlich1!H525</f>
        <v>0</v>
      </c>
      <c r="G540" s="123">
        <f>P_resina!H545</f>
        <v>0</v>
      </c>
      <c r="H540" s="272">
        <f>K!G510</f>
        <v>0</v>
      </c>
      <c r="I540" s="125">
        <v>0</v>
      </c>
      <c r="J540" s="272">
        <f>'Ca2+'!G541</f>
        <v>0</v>
      </c>
      <c r="K540" s="272">
        <f>Mg²!G543</f>
        <v>0</v>
      </c>
      <c r="L540" s="279">
        <f>Al³!C542</f>
        <v>0</v>
      </c>
      <c r="M540" s="279">
        <f>'H + Al'!D542</f>
        <v>0</v>
      </c>
      <c r="N540" s="272">
        <f t="shared" si="49"/>
        <v>0</v>
      </c>
      <c r="O540" s="272">
        <f t="shared" si="50"/>
        <v>0</v>
      </c>
      <c r="P540" s="272">
        <f t="shared" si="51"/>
        <v>0</v>
      </c>
      <c r="Q540" s="293" t="e">
        <f t="shared" si="52"/>
        <v>#DIV/0!</v>
      </c>
      <c r="R540" s="293" t="e">
        <f t="shared" si="53"/>
        <v>#DIV/0!</v>
      </c>
      <c r="S540">
        <f>Prem!H542</f>
        <v>0</v>
      </c>
      <c r="T540" s="281">
        <f>S!H546</f>
        <v>0</v>
      </c>
      <c r="U540" s="274">
        <f>B!H541</f>
        <v>0</v>
      </c>
      <c r="V540" s="272">
        <f>Zn!G542</f>
        <v>0</v>
      </c>
      <c r="W540" s="272">
        <f>Cu!G542</f>
        <v>0</v>
      </c>
      <c r="X540" s="272">
        <f>Mn!G542</f>
        <v>0</v>
      </c>
      <c r="Y540" s="272">
        <f>Fe!G542</f>
        <v>0</v>
      </c>
      <c r="Z540" s="274">
        <f>M.O!H542</f>
        <v>0</v>
      </c>
      <c r="AA540" s="272" t="e">
        <f t="shared" si="54"/>
        <v>#DIV/0!</v>
      </c>
      <c r="AB540" s="272" t="e">
        <f t="shared" si="55"/>
        <v>#DIV/0!</v>
      </c>
      <c r="AC540" s="272" t="e">
        <f t="shared" si="56"/>
        <v>#DIV/0!</v>
      </c>
    </row>
    <row r="541" spans="1:29" x14ac:dyDescent="0.2">
      <c r="A541" s="106">
        <f>Cadastro!A545</f>
        <v>0</v>
      </c>
      <c r="B541" s="27">
        <f>Cadastro!E543</f>
        <v>0</v>
      </c>
      <c r="C541">
        <f>pH_água!C541</f>
        <v>0</v>
      </c>
      <c r="D541">
        <f>pH_KCl!B542</f>
        <v>0</v>
      </c>
      <c r="E541">
        <f>'pH CaCl2'!C541</f>
        <v>0</v>
      </c>
      <c r="F541" s="104">
        <f>P_Mehlich1!H526</f>
        <v>0</v>
      </c>
      <c r="G541" s="123">
        <f>P_resina!H546</f>
        <v>0</v>
      </c>
      <c r="H541" s="272">
        <f>K!G511</f>
        <v>0</v>
      </c>
      <c r="I541" s="125">
        <v>0</v>
      </c>
      <c r="J541" s="272">
        <f>'Ca2+'!G542</f>
        <v>0</v>
      </c>
      <c r="K541" s="272">
        <f>Mg²!G544</f>
        <v>0</v>
      </c>
      <c r="L541" s="279">
        <f>Al³!C543</f>
        <v>0</v>
      </c>
      <c r="M541" s="279">
        <f>'H + Al'!D543</f>
        <v>0</v>
      </c>
      <c r="N541" s="272">
        <f t="shared" si="49"/>
        <v>0</v>
      </c>
      <c r="O541" s="272">
        <f t="shared" si="50"/>
        <v>0</v>
      </c>
      <c r="P541" s="272">
        <f t="shared" si="51"/>
        <v>0</v>
      </c>
      <c r="Q541" s="293" t="e">
        <f t="shared" si="52"/>
        <v>#DIV/0!</v>
      </c>
      <c r="R541" s="293" t="e">
        <f t="shared" si="53"/>
        <v>#DIV/0!</v>
      </c>
      <c r="S541">
        <f>Prem!H543</f>
        <v>0</v>
      </c>
      <c r="T541" s="281">
        <f>S!H547</f>
        <v>0</v>
      </c>
      <c r="U541" s="274">
        <f>B!H542</f>
        <v>0</v>
      </c>
      <c r="V541" s="272">
        <f>Zn!G543</f>
        <v>0</v>
      </c>
      <c r="W541" s="272">
        <f>Cu!G543</f>
        <v>0</v>
      </c>
      <c r="X541" s="272">
        <f>Mn!G543</f>
        <v>0</v>
      </c>
      <c r="Y541" s="272">
        <f>Fe!G543</f>
        <v>0</v>
      </c>
      <c r="Z541" s="274">
        <f>M.O!H543</f>
        <v>0</v>
      </c>
      <c r="AA541" s="272" t="e">
        <f t="shared" si="54"/>
        <v>#DIV/0!</v>
      </c>
      <c r="AB541" s="272" t="e">
        <f t="shared" si="55"/>
        <v>#DIV/0!</v>
      </c>
      <c r="AC541" s="272" t="e">
        <f t="shared" si="56"/>
        <v>#DIV/0!</v>
      </c>
    </row>
    <row r="542" spans="1:29" x14ac:dyDescent="0.2">
      <c r="A542" s="106">
        <f>Cadastro!A546</f>
        <v>0</v>
      </c>
      <c r="B542" s="27">
        <f>Cadastro!E544</f>
        <v>0</v>
      </c>
      <c r="C542">
        <f>pH_água!C542</f>
        <v>0</v>
      </c>
      <c r="D542">
        <f>pH_KCl!B543</f>
        <v>0</v>
      </c>
      <c r="E542">
        <f>'pH CaCl2'!C542</f>
        <v>0</v>
      </c>
      <c r="F542" s="104">
        <f>P_Mehlich1!H527</f>
        <v>0</v>
      </c>
      <c r="G542" s="123">
        <f>P_resina!H547</f>
        <v>0</v>
      </c>
      <c r="H542" s="272">
        <f>K!G512</f>
        <v>0</v>
      </c>
      <c r="I542" s="125">
        <v>0</v>
      </c>
      <c r="J542" s="272">
        <f>'Ca2+'!G543</f>
        <v>0</v>
      </c>
      <c r="K542" s="272">
        <f>Mg²!G545</f>
        <v>0</v>
      </c>
      <c r="L542" s="279">
        <f>Al³!C544</f>
        <v>0</v>
      </c>
      <c r="M542" s="279">
        <f>'H + Al'!D544</f>
        <v>0</v>
      </c>
      <c r="N542" s="272">
        <f t="shared" si="49"/>
        <v>0</v>
      </c>
      <c r="O542" s="272">
        <f t="shared" si="50"/>
        <v>0</v>
      </c>
      <c r="P542" s="272">
        <f t="shared" si="51"/>
        <v>0</v>
      </c>
      <c r="Q542" s="293" t="e">
        <f t="shared" si="52"/>
        <v>#DIV/0!</v>
      </c>
      <c r="R542" s="293" t="e">
        <f t="shared" si="53"/>
        <v>#DIV/0!</v>
      </c>
      <c r="S542">
        <f>Prem!H544</f>
        <v>0</v>
      </c>
      <c r="T542" s="281">
        <f>S!H548</f>
        <v>0</v>
      </c>
      <c r="U542" s="274">
        <f>B!H543</f>
        <v>0</v>
      </c>
      <c r="V542" s="272">
        <f>Zn!G544</f>
        <v>0</v>
      </c>
      <c r="W542" s="272">
        <f>Cu!G544</f>
        <v>0</v>
      </c>
      <c r="X542" s="272">
        <f>Mn!G544</f>
        <v>0</v>
      </c>
      <c r="Y542" s="272">
        <f>Fe!G544</f>
        <v>0</v>
      </c>
      <c r="Z542" s="274">
        <f>M.O!H544</f>
        <v>0</v>
      </c>
      <c r="AA542" s="272" t="e">
        <f t="shared" si="54"/>
        <v>#DIV/0!</v>
      </c>
      <c r="AB542" s="272" t="e">
        <f t="shared" si="55"/>
        <v>#DIV/0!</v>
      </c>
      <c r="AC542" s="272" t="e">
        <f t="shared" si="56"/>
        <v>#DIV/0!</v>
      </c>
    </row>
    <row r="543" spans="1:29" x14ac:dyDescent="0.2">
      <c r="A543" s="106">
        <f>Cadastro!A547</f>
        <v>0</v>
      </c>
      <c r="B543" s="27">
        <f>Cadastro!E545</f>
        <v>0</v>
      </c>
      <c r="C543">
        <f>pH_água!C543</f>
        <v>0</v>
      </c>
      <c r="D543">
        <f>pH_KCl!B544</f>
        <v>0</v>
      </c>
      <c r="E543">
        <f>'pH CaCl2'!C543</f>
        <v>0</v>
      </c>
      <c r="F543" s="104">
        <f>P_Mehlich1!H528</f>
        <v>0</v>
      </c>
      <c r="G543" s="123">
        <f>P_resina!H548</f>
        <v>0</v>
      </c>
      <c r="H543" s="272">
        <f>K!G513</f>
        <v>0</v>
      </c>
      <c r="I543" s="125">
        <v>0</v>
      </c>
      <c r="J543" s="272">
        <f>'Ca2+'!G544</f>
        <v>0</v>
      </c>
      <c r="K543" s="272">
        <f>Mg²!G546</f>
        <v>0</v>
      </c>
      <c r="L543" s="279">
        <f>Al³!C545</f>
        <v>0</v>
      </c>
      <c r="M543" s="279">
        <f>'H + Al'!D545</f>
        <v>0</v>
      </c>
      <c r="N543" s="272">
        <f t="shared" si="49"/>
        <v>0</v>
      </c>
      <c r="O543" s="272">
        <f t="shared" si="50"/>
        <v>0</v>
      </c>
      <c r="P543" s="272">
        <f t="shared" si="51"/>
        <v>0</v>
      </c>
      <c r="Q543" s="293" t="e">
        <f t="shared" si="52"/>
        <v>#DIV/0!</v>
      </c>
      <c r="R543" s="293" t="e">
        <f t="shared" si="53"/>
        <v>#DIV/0!</v>
      </c>
      <c r="S543">
        <f>Prem!H545</f>
        <v>0</v>
      </c>
      <c r="T543" s="281">
        <f>S!H549</f>
        <v>0</v>
      </c>
      <c r="U543" s="274">
        <f>B!H544</f>
        <v>0</v>
      </c>
      <c r="V543" s="272">
        <f>Zn!G545</f>
        <v>0</v>
      </c>
      <c r="W543" s="272">
        <f>Cu!G545</f>
        <v>0</v>
      </c>
      <c r="X543" s="272">
        <f>Mn!G545</f>
        <v>0</v>
      </c>
      <c r="Y543" s="272">
        <f>Fe!G545</f>
        <v>0</v>
      </c>
      <c r="Z543" s="274">
        <f>M.O!H545</f>
        <v>0</v>
      </c>
      <c r="AA543" s="272" t="e">
        <f t="shared" si="54"/>
        <v>#DIV/0!</v>
      </c>
      <c r="AB543" s="272" t="e">
        <f t="shared" si="55"/>
        <v>#DIV/0!</v>
      </c>
      <c r="AC543" s="272" t="e">
        <f t="shared" si="56"/>
        <v>#DIV/0!</v>
      </c>
    </row>
    <row r="544" spans="1:29" x14ac:dyDescent="0.2">
      <c r="A544" s="106">
        <f>Cadastro!A548</f>
        <v>0</v>
      </c>
      <c r="B544" s="27">
        <f>Cadastro!E546</f>
        <v>0</v>
      </c>
      <c r="C544">
        <f>pH_água!C544</f>
        <v>0</v>
      </c>
      <c r="D544">
        <f>pH_KCl!B545</f>
        <v>0</v>
      </c>
      <c r="E544">
        <f>'pH CaCl2'!C544</f>
        <v>0</v>
      </c>
      <c r="F544" s="104">
        <f>P_Mehlich1!H529</f>
        <v>0</v>
      </c>
      <c r="G544" s="123">
        <f>P_resina!H549</f>
        <v>0</v>
      </c>
      <c r="H544" s="272">
        <f>K!G514</f>
        <v>0</v>
      </c>
      <c r="I544" s="125">
        <v>0</v>
      </c>
      <c r="J544" s="272">
        <f>'Ca2+'!G545</f>
        <v>0</v>
      </c>
      <c r="K544" s="272">
        <f>Mg²!G547</f>
        <v>0</v>
      </c>
      <c r="L544" s="279">
        <f>Al³!C546</f>
        <v>0</v>
      </c>
      <c r="M544" s="279">
        <f>'H + Al'!D546</f>
        <v>0</v>
      </c>
      <c r="N544" s="272">
        <f t="shared" si="49"/>
        <v>0</v>
      </c>
      <c r="O544" s="272">
        <f t="shared" si="50"/>
        <v>0</v>
      </c>
      <c r="P544" s="272">
        <f t="shared" si="51"/>
        <v>0</v>
      </c>
      <c r="Q544" s="293" t="e">
        <f t="shared" si="52"/>
        <v>#DIV/0!</v>
      </c>
      <c r="R544" s="293" t="e">
        <f t="shared" si="53"/>
        <v>#DIV/0!</v>
      </c>
      <c r="S544">
        <f>Prem!H546</f>
        <v>0</v>
      </c>
      <c r="T544" s="281">
        <f>S!H550</f>
        <v>0</v>
      </c>
      <c r="U544" s="274">
        <f>B!H545</f>
        <v>0</v>
      </c>
      <c r="V544" s="272">
        <f>Zn!G546</f>
        <v>0</v>
      </c>
      <c r="W544" s="272">
        <f>Cu!G546</f>
        <v>0</v>
      </c>
      <c r="X544" s="272">
        <f>Mn!G546</f>
        <v>0</v>
      </c>
      <c r="Y544" s="272">
        <f>Fe!G546</f>
        <v>0</v>
      </c>
      <c r="Z544" s="274">
        <f>M.O!H546</f>
        <v>0</v>
      </c>
      <c r="AA544" s="272" t="e">
        <f t="shared" si="54"/>
        <v>#DIV/0!</v>
      </c>
      <c r="AB544" s="272" t="e">
        <f t="shared" si="55"/>
        <v>#DIV/0!</v>
      </c>
      <c r="AC544" s="272" t="e">
        <f t="shared" si="56"/>
        <v>#DIV/0!</v>
      </c>
    </row>
    <row r="545" spans="1:29" x14ac:dyDescent="0.2">
      <c r="A545" s="106">
        <f>Cadastro!A549</f>
        <v>0</v>
      </c>
      <c r="B545" s="27">
        <f>Cadastro!E547</f>
        <v>0</v>
      </c>
      <c r="C545">
        <f>pH_água!C545</f>
        <v>0</v>
      </c>
      <c r="D545">
        <f>pH_KCl!B546</f>
        <v>0</v>
      </c>
      <c r="E545">
        <f>'pH CaCl2'!C545</f>
        <v>0</v>
      </c>
      <c r="F545" s="104">
        <f>P_Mehlich1!H530</f>
        <v>0</v>
      </c>
      <c r="G545" s="123">
        <f>P_resina!H550</f>
        <v>0</v>
      </c>
      <c r="H545" s="272">
        <f>K!G515</f>
        <v>0</v>
      </c>
      <c r="I545" s="125">
        <v>0</v>
      </c>
      <c r="J545" s="272">
        <f>'Ca2+'!G546</f>
        <v>0</v>
      </c>
      <c r="K545" s="272">
        <f>Mg²!G548</f>
        <v>0</v>
      </c>
      <c r="L545" s="279">
        <f>Al³!C547</f>
        <v>0</v>
      </c>
      <c r="M545" s="279">
        <f>'H + Al'!D547</f>
        <v>0</v>
      </c>
      <c r="N545" s="272">
        <f t="shared" si="49"/>
        <v>0</v>
      </c>
      <c r="O545" s="272">
        <f t="shared" si="50"/>
        <v>0</v>
      </c>
      <c r="P545" s="272">
        <f t="shared" si="51"/>
        <v>0</v>
      </c>
      <c r="Q545" s="293" t="e">
        <f t="shared" si="52"/>
        <v>#DIV/0!</v>
      </c>
      <c r="R545" s="293" t="e">
        <f t="shared" si="53"/>
        <v>#DIV/0!</v>
      </c>
      <c r="S545">
        <f>Prem!H547</f>
        <v>0</v>
      </c>
      <c r="T545" s="281">
        <f>S!H551</f>
        <v>0</v>
      </c>
      <c r="U545" s="274">
        <f>B!H546</f>
        <v>0</v>
      </c>
      <c r="V545" s="272">
        <f>Zn!G547</f>
        <v>0</v>
      </c>
      <c r="W545" s="272">
        <f>Cu!G547</f>
        <v>0</v>
      </c>
      <c r="X545" s="272">
        <f>Mn!G547</f>
        <v>0</v>
      </c>
      <c r="Y545" s="272">
        <f>Fe!G547</f>
        <v>0</v>
      </c>
      <c r="Z545" s="274">
        <f>M.O!H547</f>
        <v>0</v>
      </c>
      <c r="AA545" s="272" t="e">
        <f t="shared" si="54"/>
        <v>#DIV/0!</v>
      </c>
      <c r="AB545" s="272" t="e">
        <f t="shared" si="55"/>
        <v>#DIV/0!</v>
      </c>
      <c r="AC545" s="272" t="e">
        <f t="shared" si="56"/>
        <v>#DIV/0!</v>
      </c>
    </row>
    <row r="546" spans="1:29" x14ac:dyDescent="0.2">
      <c r="A546" s="106">
        <f>Cadastro!A550</f>
        <v>0</v>
      </c>
      <c r="B546" s="27">
        <f>Cadastro!E548</f>
        <v>0</v>
      </c>
      <c r="C546">
        <f>pH_água!C546</f>
        <v>0</v>
      </c>
      <c r="D546">
        <f>pH_KCl!B547</f>
        <v>0</v>
      </c>
      <c r="E546">
        <f>'pH CaCl2'!C546</f>
        <v>0</v>
      </c>
      <c r="F546" s="104">
        <f>P_Mehlich1!H531</f>
        <v>0</v>
      </c>
      <c r="G546" s="123">
        <f>P_resina!H551</f>
        <v>0</v>
      </c>
      <c r="H546" s="272">
        <f>K!G516</f>
        <v>0</v>
      </c>
      <c r="I546" s="125">
        <v>0</v>
      </c>
      <c r="J546" s="272">
        <f>'Ca2+'!G547</f>
        <v>0</v>
      </c>
      <c r="K546" s="272">
        <f>Mg²!G549</f>
        <v>0</v>
      </c>
      <c r="L546" s="279">
        <f>Al³!C548</f>
        <v>0</v>
      </c>
      <c r="M546" s="279">
        <f>'H + Al'!D548</f>
        <v>0</v>
      </c>
      <c r="N546" s="272">
        <f t="shared" si="49"/>
        <v>0</v>
      </c>
      <c r="O546" s="272">
        <f t="shared" si="50"/>
        <v>0</v>
      </c>
      <c r="P546" s="272">
        <f t="shared" si="51"/>
        <v>0</v>
      </c>
      <c r="Q546" s="293" t="e">
        <f t="shared" si="52"/>
        <v>#DIV/0!</v>
      </c>
      <c r="R546" s="293" t="e">
        <f t="shared" si="53"/>
        <v>#DIV/0!</v>
      </c>
      <c r="S546">
        <f>Prem!H548</f>
        <v>0</v>
      </c>
      <c r="T546" s="281">
        <f>S!H552</f>
        <v>0</v>
      </c>
      <c r="U546" s="274">
        <f>B!H547</f>
        <v>0</v>
      </c>
      <c r="V546" s="272">
        <f>Zn!G548</f>
        <v>0</v>
      </c>
      <c r="W546" s="272">
        <f>Cu!G548</f>
        <v>0</v>
      </c>
      <c r="X546" s="272">
        <f>Mn!G548</f>
        <v>0</v>
      </c>
      <c r="Y546" s="272">
        <f>Fe!G548</f>
        <v>0</v>
      </c>
      <c r="Z546" s="274">
        <f>M.O!H548</f>
        <v>0</v>
      </c>
      <c r="AA546" s="272" t="e">
        <f t="shared" si="54"/>
        <v>#DIV/0!</v>
      </c>
      <c r="AB546" s="272" t="e">
        <f t="shared" si="55"/>
        <v>#DIV/0!</v>
      </c>
      <c r="AC546" s="272" t="e">
        <f t="shared" si="56"/>
        <v>#DIV/0!</v>
      </c>
    </row>
    <row r="547" spans="1:29" x14ac:dyDescent="0.2">
      <c r="A547" s="106">
        <f>Cadastro!A551</f>
        <v>0</v>
      </c>
      <c r="B547" s="27">
        <f>Cadastro!E549</f>
        <v>0</v>
      </c>
      <c r="C547">
        <f>pH_água!C547</f>
        <v>0</v>
      </c>
      <c r="D547">
        <f>pH_KCl!B548</f>
        <v>0</v>
      </c>
      <c r="E547">
        <f>'pH CaCl2'!C547</f>
        <v>0</v>
      </c>
      <c r="F547" s="104">
        <f>P_Mehlich1!H532</f>
        <v>0</v>
      </c>
      <c r="G547" s="123">
        <f>P_resina!H552</f>
        <v>0</v>
      </c>
      <c r="H547" s="272">
        <f>K!G517</f>
        <v>0</v>
      </c>
      <c r="I547" s="125">
        <v>0</v>
      </c>
      <c r="J547" s="272">
        <f>'Ca2+'!G548</f>
        <v>0</v>
      </c>
      <c r="K547" s="272">
        <f>Mg²!G550</f>
        <v>0</v>
      </c>
      <c r="L547" s="279">
        <f>Al³!C549</f>
        <v>0</v>
      </c>
      <c r="M547" s="279">
        <f>'H + Al'!D549</f>
        <v>0</v>
      </c>
      <c r="N547" s="272">
        <f t="shared" si="49"/>
        <v>0</v>
      </c>
      <c r="O547" s="272">
        <f t="shared" si="50"/>
        <v>0</v>
      </c>
      <c r="P547" s="272">
        <f t="shared" si="51"/>
        <v>0</v>
      </c>
      <c r="Q547" s="293" t="e">
        <f t="shared" si="52"/>
        <v>#DIV/0!</v>
      </c>
      <c r="R547" s="293" t="e">
        <f t="shared" si="53"/>
        <v>#DIV/0!</v>
      </c>
      <c r="S547">
        <f>Prem!H549</f>
        <v>0</v>
      </c>
      <c r="T547" s="281">
        <f>S!H553</f>
        <v>0</v>
      </c>
      <c r="U547" s="274">
        <f>B!H548</f>
        <v>0</v>
      </c>
      <c r="V547" s="272">
        <f>Zn!G549</f>
        <v>0</v>
      </c>
      <c r="W547" s="272">
        <f>Cu!G549</f>
        <v>0</v>
      </c>
      <c r="X547" s="272">
        <f>Mn!G549</f>
        <v>0</v>
      </c>
      <c r="Y547" s="272">
        <f>Fe!G549</f>
        <v>0</v>
      </c>
      <c r="Z547" s="274">
        <f>M.O!H549</f>
        <v>0</v>
      </c>
      <c r="AA547" s="272" t="e">
        <f t="shared" si="54"/>
        <v>#DIV/0!</v>
      </c>
      <c r="AB547" s="272" t="e">
        <f t="shared" si="55"/>
        <v>#DIV/0!</v>
      </c>
      <c r="AC547" s="272" t="e">
        <f t="shared" si="56"/>
        <v>#DIV/0!</v>
      </c>
    </row>
    <row r="548" spans="1:29" x14ac:dyDescent="0.2">
      <c r="A548" s="106">
        <f>Cadastro!A552</f>
        <v>0</v>
      </c>
      <c r="B548" s="27">
        <f>Cadastro!E550</f>
        <v>0</v>
      </c>
      <c r="C548">
        <f>pH_água!C548</f>
        <v>0</v>
      </c>
      <c r="D548">
        <f>pH_KCl!B549</f>
        <v>0</v>
      </c>
      <c r="E548">
        <f>'pH CaCl2'!C548</f>
        <v>0</v>
      </c>
      <c r="F548" s="104">
        <f>P_Mehlich1!H533</f>
        <v>0</v>
      </c>
      <c r="G548" s="123">
        <f>P_resina!H553</f>
        <v>0</v>
      </c>
      <c r="H548" s="272">
        <f>K!G518</f>
        <v>0</v>
      </c>
      <c r="I548" s="125">
        <v>0</v>
      </c>
      <c r="J548" s="272">
        <f>'Ca2+'!G549</f>
        <v>0</v>
      </c>
      <c r="K548" s="272">
        <f>Mg²!G551</f>
        <v>0</v>
      </c>
      <c r="L548" s="279">
        <f>Al³!C550</f>
        <v>0</v>
      </c>
      <c r="M548" s="279">
        <f>'H + Al'!D550</f>
        <v>0</v>
      </c>
      <c r="N548" s="272">
        <f t="shared" si="49"/>
        <v>0</v>
      </c>
      <c r="O548" s="272">
        <f t="shared" si="50"/>
        <v>0</v>
      </c>
      <c r="P548" s="272">
        <f t="shared" si="51"/>
        <v>0</v>
      </c>
      <c r="Q548" s="293" t="e">
        <f t="shared" si="52"/>
        <v>#DIV/0!</v>
      </c>
      <c r="R548" s="293" t="e">
        <f t="shared" si="53"/>
        <v>#DIV/0!</v>
      </c>
      <c r="S548">
        <f>Prem!H550</f>
        <v>0</v>
      </c>
      <c r="T548" s="281">
        <f>S!H554</f>
        <v>0</v>
      </c>
      <c r="U548" s="274">
        <f>B!H549</f>
        <v>0</v>
      </c>
      <c r="V548" s="272">
        <f>Zn!G550</f>
        <v>0</v>
      </c>
      <c r="W548" s="272">
        <f>Cu!G550</f>
        <v>0</v>
      </c>
      <c r="X548" s="272">
        <f>Mn!G550</f>
        <v>0</v>
      </c>
      <c r="Y548" s="272">
        <f>Fe!G550</f>
        <v>0</v>
      </c>
      <c r="Z548" s="274">
        <f>M.O!H550</f>
        <v>0</v>
      </c>
      <c r="AA548" s="272" t="e">
        <f t="shared" si="54"/>
        <v>#DIV/0!</v>
      </c>
      <c r="AB548" s="272" t="e">
        <f t="shared" si="55"/>
        <v>#DIV/0!</v>
      </c>
      <c r="AC548" s="272" t="e">
        <f t="shared" si="56"/>
        <v>#DIV/0!</v>
      </c>
    </row>
    <row r="549" spans="1:29" x14ac:dyDescent="0.2">
      <c r="A549" s="106">
        <f>Cadastro!A553</f>
        <v>0</v>
      </c>
      <c r="B549" s="27">
        <f>Cadastro!E551</f>
        <v>0</v>
      </c>
      <c r="C549">
        <f>pH_água!C549</f>
        <v>0</v>
      </c>
      <c r="D549">
        <f>pH_KCl!B550</f>
        <v>0</v>
      </c>
      <c r="E549">
        <f>'pH CaCl2'!C549</f>
        <v>0</v>
      </c>
      <c r="F549" s="104">
        <f>P_Mehlich1!H534</f>
        <v>0</v>
      </c>
      <c r="G549" s="123">
        <f>P_resina!H554</f>
        <v>0</v>
      </c>
      <c r="H549" s="272">
        <f>K!G519</f>
        <v>0</v>
      </c>
      <c r="I549" s="125">
        <v>0</v>
      </c>
      <c r="J549" s="272">
        <f>'Ca2+'!G550</f>
        <v>0</v>
      </c>
      <c r="K549" s="272">
        <f>Mg²!G552</f>
        <v>0</v>
      </c>
      <c r="L549" s="279">
        <f>Al³!C551</f>
        <v>0</v>
      </c>
      <c r="M549" s="279">
        <f>'H + Al'!D551</f>
        <v>0</v>
      </c>
      <c r="N549" s="272">
        <f t="shared" si="49"/>
        <v>0</v>
      </c>
      <c r="O549" s="272">
        <f t="shared" si="50"/>
        <v>0</v>
      </c>
      <c r="P549" s="272">
        <f t="shared" si="51"/>
        <v>0</v>
      </c>
      <c r="Q549" s="293" t="e">
        <f t="shared" si="52"/>
        <v>#DIV/0!</v>
      </c>
      <c r="R549" s="293" t="e">
        <f t="shared" si="53"/>
        <v>#DIV/0!</v>
      </c>
      <c r="S549">
        <f>Prem!H551</f>
        <v>0</v>
      </c>
      <c r="T549" s="281">
        <f>S!H555</f>
        <v>0</v>
      </c>
      <c r="U549" s="274">
        <f>B!H550</f>
        <v>0</v>
      </c>
      <c r="V549" s="272">
        <f>Zn!G551</f>
        <v>0</v>
      </c>
      <c r="W549" s="272">
        <f>Cu!G551</f>
        <v>0</v>
      </c>
      <c r="X549" s="272">
        <f>Mn!G551</f>
        <v>0</v>
      </c>
      <c r="Y549" s="272">
        <f>Fe!G551</f>
        <v>0</v>
      </c>
      <c r="Z549" s="274">
        <f>M.O!H551</f>
        <v>0</v>
      </c>
      <c r="AA549" s="272" t="e">
        <f t="shared" si="54"/>
        <v>#DIV/0!</v>
      </c>
      <c r="AB549" s="272" t="e">
        <f t="shared" si="55"/>
        <v>#DIV/0!</v>
      </c>
      <c r="AC549" s="272" t="e">
        <f t="shared" si="56"/>
        <v>#DIV/0!</v>
      </c>
    </row>
    <row r="550" spans="1:29" x14ac:dyDescent="0.2">
      <c r="A550" s="106">
        <f>Cadastro!A554</f>
        <v>0</v>
      </c>
      <c r="B550" s="27">
        <f>Cadastro!E552</f>
        <v>0</v>
      </c>
      <c r="C550">
        <f>pH_água!C550</f>
        <v>0</v>
      </c>
      <c r="D550">
        <f>pH_KCl!B551</f>
        <v>0</v>
      </c>
      <c r="E550">
        <f>'pH CaCl2'!C550</f>
        <v>0</v>
      </c>
      <c r="F550" s="104">
        <f>P_Mehlich1!H535</f>
        <v>0</v>
      </c>
      <c r="G550" s="123">
        <f>P_resina!H555</f>
        <v>0</v>
      </c>
      <c r="H550" s="272">
        <f>K!G520</f>
        <v>0</v>
      </c>
      <c r="I550" s="125">
        <v>0</v>
      </c>
      <c r="J550" s="272">
        <f>'Ca2+'!G551</f>
        <v>0</v>
      </c>
      <c r="K550" s="272">
        <f>Mg²!G553</f>
        <v>0</v>
      </c>
      <c r="L550" s="279">
        <f>Al³!C552</f>
        <v>0</v>
      </c>
      <c r="M550" s="279">
        <f>'H + Al'!D552</f>
        <v>0</v>
      </c>
      <c r="N550" s="272">
        <f t="shared" si="49"/>
        <v>0</v>
      </c>
      <c r="O550" s="272">
        <f t="shared" si="50"/>
        <v>0</v>
      </c>
      <c r="P550" s="272">
        <f t="shared" si="51"/>
        <v>0</v>
      </c>
      <c r="Q550" s="293" t="e">
        <f t="shared" si="52"/>
        <v>#DIV/0!</v>
      </c>
      <c r="R550" s="293" t="e">
        <f t="shared" si="53"/>
        <v>#DIV/0!</v>
      </c>
      <c r="S550">
        <f>Prem!H552</f>
        <v>0</v>
      </c>
      <c r="T550" s="281">
        <f>S!H556</f>
        <v>0</v>
      </c>
      <c r="U550" s="274">
        <f>B!H551</f>
        <v>0</v>
      </c>
      <c r="V550" s="272">
        <f>Zn!G552</f>
        <v>0</v>
      </c>
      <c r="W550" s="272">
        <f>Cu!G552</f>
        <v>0</v>
      </c>
      <c r="X550" s="272">
        <f>Mn!G552</f>
        <v>0</v>
      </c>
      <c r="Y550" s="272">
        <f>Fe!G552</f>
        <v>0</v>
      </c>
      <c r="Z550" s="274">
        <f>M.O!H552</f>
        <v>0</v>
      </c>
      <c r="AA550" s="272" t="e">
        <f t="shared" si="54"/>
        <v>#DIV/0!</v>
      </c>
      <c r="AB550" s="272" t="e">
        <f t="shared" si="55"/>
        <v>#DIV/0!</v>
      </c>
      <c r="AC550" s="272" t="e">
        <f t="shared" si="56"/>
        <v>#DIV/0!</v>
      </c>
    </row>
    <row r="551" spans="1:29" x14ac:dyDescent="0.2">
      <c r="A551" s="106">
        <f>Cadastro!A555</f>
        <v>0</v>
      </c>
      <c r="B551" s="27">
        <f>Cadastro!E553</f>
        <v>0</v>
      </c>
      <c r="C551">
        <f>pH_água!C551</f>
        <v>0</v>
      </c>
      <c r="D551">
        <f>pH_KCl!B552</f>
        <v>0</v>
      </c>
      <c r="E551">
        <f>'pH CaCl2'!C551</f>
        <v>0</v>
      </c>
      <c r="F551" s="104">
        <f>P_Mehlich1!H536</f>
        <v>0</v>
      </c>
      <c r="G551" s="123">
        <f>P_resina!H556</f>
        <v>0</v>
      </c>
      <c r="H551" s="272">
        <f>K!G521</f>
        <v>0</v>
      </c>
      <c r="I551" s="125">
        <v>0</v>
      </c>
      <c r="J551" s="272">
        <f>'Ca2+'!G552</f>
        <v>0</v>
      </c>
      <c r="K551" s="272">
        <f>Mg²!G554</f>
        <v>0</v>
      </c>
      <c r="L551" s="279">
        <f>Al³!C553</f>
        <v>0</v>
      </c>
      <c r="M551" s="279">
        <f>'H + Al'!D553</f>
        <v>0</v>
      </c>
      <c r="N551" s="272">
        <f t="shared" si="49"/>
        <v>0</v>
      </c>
      <c r="O551" s="272">
        <f t="shared" si="50"/>
        <v>0</v>
      </c>
      <c r="P551" s="272">
        <f t="shared" si="51"/>
        <v>0</v>
      </c>
      <c r="Q551" s="293" t="e">
        <f t="shared" si="52"/>
        <v>#DIV/0!</v>
      </c>
      <c r="R551" s="293" t="e">
        <f t="shared" si="53"/>
        <v>#DIV/0!</v>
      </c>
      <c r="S551">
        <f>Prem!H553</f>
        <v>0</v>
      </c>
      <c r="T551" s="281">
        <f>S!H557</f>
        <v>0</v>
      </c>
      <c r="U551" s="274">
        <f>B!H552</f>
        <v>0</v>
      </c>
      <c r="V551" s="272">
        <f>Zn!G553</f>
        <v>0</v>
      </c>
      <c r="W551" s="272">
        <f>Cu!G553</f>
        <v>0</v>
      </c>
      <c r="X551" s="272">
        <f>Mn!G553</f>
        <v>0</v>
      </c>
      <c r="Y551" s="272">
        <f>Fe!G553</f>
        <v>0</v>
      </c>
      <c r="Z551" s="274">
        <f>M.O!H553</f>
        <v>0</v>
      </c>
      <c r="AA551" s="272" t="e">
        <f t="shared" si="54"/>
        <v>#DIV/0!</v>
      </c>
      <c r="AB551" s="272" t="e">
        <f t="shared" si="55"/>
        <v>#DIV/0!</v>
      </c>
      <c r="AC551" s="272" t="e">
        <f t="shared" si="56"/>
        <v>#DIV/0!</v>
      </c>
    </row>
    <row r="552" spans="1:29" x14ac:dyDescent="0.2">
      <c r="A552" s="106">
        <f>Cadastro!A556</f>
        <v>0</v>
      </c>
      <c r="B552" s="27">
        <f>Cadastro!E554</f>
        <v>0</v>
      </c>
      <c r="C552">
        <f>pH_água!C552</f>
        <v>0</v>
      </c>
      <c r="D552">
        <f>pH_KCl!B553</f>
        <v>0</v>
      </c>
      <c r="E552">
        <f>'pH CaCl2'!C552</f>
        <v>0</v>
      </c>
      <c r="F552" s="104">
        <f>P_Mehlich1!H537</f>
        <v>0</v>
      </c>
      <c r="G552" s="123">
        <f>P_resina!H557</f>
        <v>0</v>
      </c>
      <c r="H552" s="272">
        <f>K!G522</f>
        <v>0</v>
      </c>
      <c r="I552" s="125">
        <v>0</v>
      </c>
      <c r="J552" s="272">
        <f>'Ca2+'!G553</f>
        <v>0</v>
      </c>
      <c r="K552" s="272">
        <f>Mg²!G555</f>
        <v>0</v>
      </c>
      <c r="L552" s="279">
        <f>Al³!C554</f>
        <v>0</v>
      </c>
      <c r="M552" s="279">
        <f>'H + Al'!D554</f>
        <v>0</v>
      </c>
      <c r="N552" s="272">
        <f t="shared" si="49"/>
        <v>0</v>
      </c>
      <c r="O552" s="272">
        <f t="shared" si="50"/>
        <v>0</v>
      </c>
      <c r="P552" s="272">
        <f t="shared" si="51"/>
        <v>0</v>
      </c>
      <c r="Q552" s="293" t="e">
        <f t="shared" si="52"/>
        <v>#DIV/0!</v>
      </c>
      <c r="R552" s="293" t="e">
        <f t="shared" si="53"/>
        <v>#DIV/0!</v>
      </c>
      <c r="S552">
        <f>Prem!H554</f>
        <v>0</v>
      </c>
      <c r="T552" s="281">
        <f>S!H558</f>
        <v>0</v>
      </c>
      <c r="U552" s="274">
        <f>B!H553</f>
        <v>0</v>
      </c>
      <c r="V552" s="272">
        <f>Zn!G554</f>
        <v>0</v>
      </c>
      <c r="W552" s="272">
        <f>Cu!G554</f>
        <v>0</v>
      </c>
      <c r="X552" s="272">
        <f>Mn!G554</f>
        <v>0</v>
      </c>
      <c r="Y552" s="272">
        <f>Fe!G554</f>
        <v>0</v>
      </c>
      <c r="Z552" s="274">
        <f>M.O!H554</f>
        <v>0</v>
      </c>
      <c r="AA552" s="272" t="e">
        <f t="shared" si="54"/>
        <v>#DIV/0!</v>
      </c>
      <c r="AB552" s="272" t="e">
        <f t="shared" si="55"/>
        <v>#DIV/0!</v>
      </c>
      <c r="AC552" s="272" t="e">
        <f t="shared" si="56"/>
        <v>#DIV/0!</v>
      </c>
    </row>
    <row r="553" spans="1:29" x14ac:dyDescent="0.2">
      <c r="A553" s="106">
        <f>Cadastro!A557</f>
        <v>0</v>
      </c>
      <c r="B553" s="27">
        <f>Cadastro!E555</f>
        <v>0</v>
      </c>
      <c r="C553">
        <f>pH_água!C553</f>
        <v>0</v>
      </c>
      <c r="D553">
        <f>pH_KCl!B554</f>
        <v>0</v>
      </c>
      <c r="E553">
        <f>'pH CaCl2'!C553</f>
        <v>0</v>
      </c>
      <c r="F553" s="104">
        <f>P_Mehlich1!H538</f>
        <v>0</v>
      </c>
      <c r="G553" s="123">
        <f>P_resina!H558</f>
        <v>0</v>
      </c>
      <c r="H553" s="272">
        <f>K!G523</f>
        <v>0</v>
      </c>
      <c r="I553" s="125">
        <v>0</v>
      </c>
      <c r="J553" s="272">
        <f>'Ca2+'!G554</f>
        <v>0</v>
      </c>
      <c r="K553" s="272">
        <f>Mg²!G556</f>
        <v>0</v>
      </c>
      <c r="L553" s="279">
        <f>Al³!C555</f>
        <v>0</v>
      </c>
      <c r="M553" s="279">
        <f>'H + Al'!D555</f>
        <v>0</v>
      </c>
      <c r="N553" s="272">
        <f t="shared" si="49"/>
        <v>0</v>
      </c>
      <c r="O553" s="272">
        <f t="shared" si="50"/>
        <v>0</v>
      </c>
      <c r="P553" s="272">
        <f t="shared" si="51"/>
        <v>0</v>
      </c>
      <c r="Q553" s="293" t="e">
        <f t="shared" si="52"/>
        <v>#DIV/0!</v>
      </c>
      <c r="R553" s="293" t="e">
        <f t="shared" si="53"/>
        <v>#DIV/0!</v>
      </c>
      <c r="S553">
        <f>Prem!H555</f>
        <v>0</v>
      </c>
      <c r="T553" s="281">
        <f>S!H559</f>
        <v>0</v>
      </c>
      <c r="U553" s="274">
        <f>B!H554</f>
        <v>0</v>
      </c>
      <c r="V553" s="272">
        <f>Zn!G555</f>
        <v>0</v>
      </c>
      <c r="W553" s="272">
        <f>Cu!G555</f>
        <v>0</v>
      </c>
      <c r="X553" s="272">
        <f>Mn!G555</f>
        <v>0</v>
      </c>
      <c r="Y553" s="272">
        <f>Fe!G555</f>
        <v>0</v>
      </c>
      <c r="Z553" s="274">
        <f>M.O!H555</f>
        <v>0</v>
      </c>
      <c r="AA553" s="272" t="e">
        <f t="shared" si="54"/>
        <v>#DIV/0!</v>
      </c>
      <c r="AB553" s="272" t="e">
        <f t="shared" si="55"/>
        <v>#DIV/0!</v>
      </c>
      <c r="AC553" s="272" t="e">
        <f t="shared" si="56"/>
        <v>#DIV/0!</v>
      </c>
    </row>
    <row r="554" spans="1:29" x14ac:dyDescent="0.2">
      <c r="A554" s="106">
        <f>Cadastro!A558</f>
        <v>0</v>
      </c>
      <c r="B554" s="27">
        <f>Cadastro!E556</f>
        <v>0</v>
      </c>
      <c r="C554">
        <f>pH_água!C554</f>
        <v>0</v>
      </c>
      <c r="D554">
        <f>pH_KCl!B555</f>
        <v>0</v>
      </c>
      <c r="E554">
        <f>'pH CaCl2'!C554</f>
        <v>0</v>
      </c>
      <c r="F554" s="104">
        <f>P_Mehlich1!H539</f>
        <v>0</v>
      </c>
      <c r="G554" s="123">
        <f>P_resina!H559</f>
        <v>0</v>
      </c>
      <c r="H554" s="272">
        <f>K!G524</f>
        <v>0</v>
      </c>
      <c r="I554" s="125">
        <v>0</v>
      </c>
      <c r="J554" s="272">
        <f>'Ca2+'!G555</f>
        <v>0</v>
      </c>
      <c r="K554" s="272">
        <f>Mg²!G557</f>
        <v>0</v>
      </c>
      <c r="L554" s="279">
        <f>Al³!C556</f>
        <v>0</v>
      </c>
      <c r="M554" s="279">
        <f>'H + Al'!D556</f>
        <v>0</v>
      </c>
      <c r="N554" s="272">
        <f t="shared" si="49"/>
        <v>0</v>
      </c>
      <c r="O554" s="272">
        <f t="shared" si="50"/>
        <v>0</v>
      </c>
      <c r="P554" s="272">
        <f t="shared" si="51"/>
        <v>0</v>
      </c>
      <c r="Q554" s="293" t="e">
        <f t="shared" si="52"/>
        <v>#DIV/0!</v>
      </c>
      <c r="R554" s="293" t="e">
        <f t="shared" si="53"/>
        <v>#DIV/0!</v>
      </c>
      <c r="S554">
        <f>Prem!H556</f>
        <v>0</v>
      </c>
      <c r="T554" s="281">
        <f>S!H560</f>
        <v>0</v>
      </c>
      <c r="U554" s="274">
        <f>B!H555</f>
        <v>0</v>
      </c>
      <c r="V554" s="272">
        <f>Zn!G556</f>
        <v>0</v>
      </c>
      <c r="W554" s="272">
        <f>Cu!G556</f>
        <v>0</v>
      </c>
      <c r="X554" s="272">
        <f>Mn!G556</f>
        <v>0</v>
      </c>
      <c r="Y554" s="272">
        <f>Fe!G556</f>
        <v>0</v>
      </c>
      <c r="Z554" s="274">
        <f>M.O!H556</f>
        <v>0</v>
      </c>
      <c r="AA554" s="272" t="e">
        <f t="shared" si="54"/>
        <v>#DIV/0!</v>
      </c>
      <c r="AB554" s="272" t="e">
        <f t="shared" si="55"/>
        <v>#DIV/0!</v>
      </c>
      <c r="AC554" s="272" t="e">
        <f t="shared" si="56"/>
        <v>#DIV/0!</v>
      </c>
    </row>
    <row r="555" spans="1:29" x14ac:dyDescent="0.2">
      <c r="A555" s="106">
        <f>Cadastro!A559</f>
        <v>0</v>
      </c>
      <c r="B555" s="27">
        <f>Cadastro!E557</f>
        <v>0</v>
      </c>
      <c r="C555">
        <f>pH_água!C555</f>
        <v>0</v>
      </c>
      <c r="D555">
        <f>pH_KCl!B556</f>
        <v>0</v>
      </c>
      <c r="E555">
        <f>'pH CaCl2'!C555</f>
        <v>0</v>
      </c>
      <c r="F555" s="104">
        <f>P_Mehlich1!H540</f>
        <v>0</v>
      </c>
      <c r="G555" s="123">
        <f>P_resina!H560</f>
        <v>0</v>
      </c>
      <c r="H555" s="272">
        <f>K!G525</f>
        <v>0</v>
      </c>
      <c r="I555" s="125">
        <v>0</v>
      </c>
      <c r="J555" s="272">
        <f>'Ca2+'!G556</f>
        <v>0</v>
      </c>
      <c r="K555" s="272">
        <f>Mg²!G558</f>
        <v>0</v>
      </c>
      <c r="L555" s="279">
        <f>Al³!C557</f>
        <v>0</v>
      </c>
      <c r="M555" s="279">
        <f>'H + Al'!D557</f>
        <v>0</v>
      </c>
      <c r="N555" s="272">
        <f t="shared" si="49"/>
        <v>0</v>
      </c>
      <c r="O555" s="272">
        <f t="shared" si="50"/>
        <v>0</v>
      </c>
      <c r="P555" s="272">
        <f t="shared" si="51"/>
        <v>0</v>
      </c>
      <c r="Q555" s="293" t="e">
        <f t="shared" si="52"/>
        <v>#DIV/0!</v>
      </c>
      <c r="R555" s="293" t="e">
        <f t="shared" si="53"/>
        <v>#DIV/0!</v>
      </c>
      <c r="S555">
        <f>Prem!H557</f>
        <v>0</v>
      </c>
      <c r="T555" s="281">
        <f>S!H561</f>
        <v>0</v>
      </c>
      <c r="U555" s="274">
        <f>B!H556</f>
        <v>0</v>
      </c>
      <c r="V555" s="272">
        <f>Zn!G557</f>
        <v>0</v>
      </c>
      <c r="W555" s="272">
        <f>Cu!G557</f>
        <v>0</v>
      </c>
      <c r="X555" s="272">
        <f>Mn!G557</f>
        <v>0</v>
      </c>
      <c r="Y555" s="272">
        <f>Fe!G557</f>
        <v>0</v>
      </c>
      <c r="Z555" s="274">
        <f>M.O!H557</f>
        <v>0</v>
      </c>
      <c r="AA555" s="272" t="e">
        <f t="shared" si="54"/>
        <v>#DIV/0!</v>
      </c>
      <c r="AB555" s="272" t="e">
        <f t="shared" si="55"/>
        <v>#DIV/0!</v>
      </c>
      <c r="AC555" s="272" t="e">
        <f t="shared" si="56"/>
        <v>#DIV/0!</v>
      </c>
    </row>
    <row r="556" spans="1:29" x14ac:dyDescent="0.2">
      <c r="A556" s="106">
        <f>Cadastro!A560</f>
        <v>0</v>
      </c>
      <c r="B556" s="27">
        <f>Cadastro!E558</f>
        <v>0</v>
      </c>
      <c r="C556">
        <f>pH_água!C556</f>
        <v>0</v>
      </c>
      <c r="D556">
        <f>pH_KCl!B557</f>
        <v>0</v>
      </c>
      <c r="E556">
        <f>'pH CaCl2'!C556</f>
        <v>0</v>
      </c>
      <c r="F556" s="104">
        <f>P_Mehlich1!H541</f>
        <v>0</v>
      </c>
      <c r="G556" s="123">
        <f>P_resina!H561</f>
        <v>0</v>
      </c>
      <c r="H556" s="272">
        <f>K!G526</f>
        <v>0</v>
      </c>
      <c r="I556" s="125">
        <v>0</v>
      </c>
      <c r="J556" s="272">
        <f>'Ca2+'!G557</f>
        <v>0</v>
      </c>
      <c r="K556" s="272">
        <f>Mg²!G559</f>
        <v>0</v>
      </c>
      <c r="L556" s="279">
        <f>Al³!C558</f>
        <v>0</v>
      </c>
      <c r="M556" s="279">
        <f>'H + Al'!D558</f>
        <v>0</v>
      </c>
      <c r="N556" s="272">
        <f t="shared" si="49"/>
        <v>0</v>
      </c>
      <c r="O556" s="272">
        <f t="shared" si="50"/>
        <v>0</v>
      </c>
      <c r="P556" s="272">
        <f t="shared" si="51"/>
        <v>0</v>
      </c>
      <c r="Q556" s="293" t="e">
        <f t="shared" si="52"/>
        <v>#DIV/0!</v>
      </c>
      <c r="R556" s="293" t="e">
        <f t="shared" si="53"/>
        <v>#DIV/0!</v>
      </c>
      <c r="S556">
        <f>Prem!H558</f>
        <v>0</v>
      </c>
      <c r="T556" s="281">
        <f>S!H562</f>
        <v>0</v>
      </c>
      <c r="U556" s="274">
        <f>B!H557</f>
        <v>0</v>
      </c>
      <c r="V556" s="272">
        <f>Zn!G558</f>
        <v>0</v>
      </c>
      <c r="W556" s="272">
        <f>Cu!G558</f>
        <v>0</v>
      </c>
      <c r="X556" s="272">
        <f>Mn!G558</f>
        <v>0</v>
      </c>
      <c r="Y556" s="272">
        <f>Fe!G558</f>
        <v>0</v>
      </c>
      <c r="Z556" s="274">
        <f>M.O!H558</f>
        <v>0</v>
      </c>
      <c r="AA556" s="272" t="e">
        <f t="shared" si="54"/>
        <v>#DIV/0!</v>
      </c>
      <c r="AB556" s="272" t="e">
        <f t="shared" si="55"/>
        <v>#DIV/0!</v>
      </c>
      <c r="AC556" s="272" t="e">
        <f t="shared" si="56"/>
        <v>#DIV/0!</v>
      </c>
    </row>
    <row r="557" spans="1:29" x14ac:dyDescent="0.2">
      <c r="A557" s="106">
        <f>Cadastro!A561</f>
        <v>0</v>
      </c>
      <c r="B557" s="27">
        <f>Cadastro!E559</f>
        <v>0</v>
      </c>
      <c r="C557">
        <f>pH_água!C557</f>
        <v>0</v>
      </c>
      <c r="D557">
        <f>pH_KCl!B558</f>
        <v>0</v>
      </c>
      <c r="E557">
        <f>'pH CaCl2'!C557</f>
        <v>0</v>
      </c>
      <c r="F557" s="104">
        <f>P_Mehlich1!H542</f>
        <v>0</v>
      </c>
      <c r="G557" s="123">
        <f>P_resina!H562</f>
        <v>0</v>
      </c>
      <c r="H557" s="272">
        <f>K!G527</f>
        <v>0</v>
      </c>
      <c r="I557" s="125">
        <v>0</v>
      </c>
      <c r="J557" s="272">
        <f>'Ca2+'!G558</f>
        <v>0</v>
      </c>
      <c r="K557" s="272">
        <f>Mg²!G560</f>
        <v>0</v>
      </c>
      <c r="L557" s="279">
        <f>Al³!C559</f>
        <v>0</v>
      </c>
      <c r="M557" s="279">
        <f>'H + Al'!D559</f>
        <v>0</v>
      </c>
      <c r="N557" s="272">
        <f t="shared" si="49"/>
        <v>0</v>
      </c>
      <c r="O557" s="272">
        <f t="shared" si="50"/>
        <v>0</v>
      </c>
      <c r="P557" s="272">
        <f t="shared" si="51"/>
        <v>0</v>
      </c>
      <c r="Q557" s="293" t="e">
        <f t="shared" si="52"/>
        <v>#DIV/0!</v>
      </c>
      <c r="R557" s="293" t="e">
        <f t="shared" si="53"/>
        <v>#DIV/0!</v>
      </c>
      <c r="S557">
        <f>Prem!H559</f>
        <v>0</v>
      </c>
      <c r="T557" s="281">
        <f>S!H563</f>
        <v>0</v>
      </c>
      <c r="U557" s="274">
        <f>B!H558</f>
        <v>0</v>
      </c>
      <c r="V557" s="272">
        <f>Zn!G559</f>
        <v>0</v>
      </c>
      <c r="W557" s="272">
        <f>Cu!G559</f>
        <v>0</v>
      </c>
      <c r="X557" s="272">
        <f>Mn!G559</f>
        <v>0</v>
      </c>
      <c r="Y557" s="272">
        <f>Fe!G559</f>
        <v>0</v>
      </c>
      <c r="Z557" s="274">
        <f>M.O!H559</f>
        <v>0</v>
      </c>
      <c r="AA557" s="272" t="e">
        <f t="shared" si="54"/>
        <v>#DIV/0!</v>
      </c>
      <c r="AB557" s="272" t="e">
        <f t="shared" si="55"/>
        <v>#DIV/0!</v>
      </c>
      <c r="AC557" s="272" t="e">
        <f t="shared" si="56"/>
        <v>#DIV/0!</v>
      </c>
    </row>
    <row r="558" spans="1:29" x14ac:dyDescent="0.2">
      <c r="A558" s="106">
        <f>Cadastro!A562</f>
        <v>0</v>
      </c>
      <c r="B558" s="27">
        <f>Cadastro!E560</f>
        <v>0</v>
      </c>
      <c r="C558">
        <f>pH_água!C558</f>
        <v>0</v>
      </c>
      <c r="D558">
        <f>pH_KCl!B559</f>
        <v>0</v>
      </c>
      <c r="E558">
        <f>'pH CaCl2'!C558</f>
        <v>0</v>
      </c>
      <c r="F558" s="104">
        <f>P_Mehlich1!H543</f>
        <v>0</v>
      </c>
      <c r="G558" s="123">
        <f>P_resina!H563</f>
        <v>0</v>
      </c>
      <c r="H558" s="272">
        <f>K!G528</f>
        <v>0</v>
      </c>
      <c r="I558" s="125">
        <v>0</v>
      </c>
      <c r="J558" s="272">
        <f>'Ca2+'!G559</f>
        <v>0</v>
      </c>
      <c r="K558" s="272">
        <f>Mg²!G561</f>
        <v>0</v>
      </c>
      <c r="L558" s="279">
        <f>Al³!C560</f>
        <v>0</v>
      </c>
      <c r="M558" s="279">
        <f>'H + Al'!D560</f>
        <v>0</v>
      </c>
      <c r="N558" s="272">
        <f t="shared" si="49"/>
        <v>0</v>
      </c>
      <c r="O558" s="272">
        <f t="shared" si="50"/>
        <v>0</v>
      </c>
      <c r="P558" s="272">
        <f t="shared" si="51"/>
        <v>0</v>
      </c>
      <c r="Q558" s="293" t="e">
        <f t="shared" si="52"/>
        <v>#DIV/0!</v>
      </c>
      <c r="R558" s="293" t="e">
        <f t="shared" si="53"/>
        <v>#DIV/0!</v>
      </c>
      <c r="S558">
        <f>Prem!H560</f>
        <v>0</v>
      </c>
      <c r="T558" s="281">
        <f>S!H564</f>
        <v>0</v>
      </c>
      <c r="U558" s="274">
        <f>B!H559</f>
        <v>0</v>
      </c>
      <c r="V558" s="272">
        <f>Zn!G560</f>
        <v>0</v>
      </c>
      <c r="W558" s="272">
        <f>Cu!G560</f>
        <v>0</v>
      </c>
      <c r="X558" s="272">
        <f>Mn!G560</f>
        <v>0</v>
      </c>
      <c r="Y558" s="272">
        <f>Fe!G560</f>
        <v>0</v>
      </c>
      <c r="Z558" s="274">
        <f>M.O!H560</f>
        <v>0</v>
      </c>
      <c r="AA558" s="272" t="e">
        <f t="shared" si="54"/>
        <v>#DIV/0!</v>
      </c>
      <c r="AB558" s="272" t="e">
        <f t="shared" si="55"/>
        <v>#DIV/0!</v>
      </c>
      <c r="AC558" s="272" t="e">
        <f t="shared" si="56"/>
        <v>#DIV/0!</v>
      </c>
    </row>
    <row r="559" spans="1:29" x14ac:dyDescent="0.2">
      <c r="A559" s="106">
        <f>Cadastro!A563</f>
        <v>0</v>
      </c>
      <c r="B559" s="27">
        <f>Cadastro!E561</f>
        <v>0</v>
      </c>
      <c r="C559">
        <f>pH_água!C559</f>
        <v>0</v>
      </c>
      <c r="D559">
        <f>pH_KCl!B560</f>
        <v>0</v>
      </c>
      <c r="E559">
        <f>'pH CaCl2'!C559</f>
        <v>0</v>
      </c>
      <c r="F559" s="104">
        <f>P_Mehlich1!H544</f>
        <v>0</v>
      </c>
      <c r="G559" s="123">
        <f>P_resina!H564</f>
        <v>0</v>
      </c>
      <c r="H559" s="272">
        <f>K!G529</f>
        <v>0</v>
      </c>
      <c r="I559" s="125">
        <v>0</v>
      </c>
      <c r="J559" s="272">
        <f>'Ca2+'!G560</f>
        <v>0</v>
      </c>
      <c r="K559" s="272">
        <f>Mg²!G562</f>
        <v>0</v>
      </c>
      <c r="L559" s="279">
        <f>Al³!C561</f>
        <v>0</v>
      </c>
      <c r="M559" s="279">
        <f>'H + Al'!D561</f>
        <v>0</v>
      </c>
      <c r="N559" s="272">
        <f t="shared" si="49"/>
        <v>0</v>
      </c>
      <c r="O559" s="272">
        <f t="shared" si="50"/>
        <v>0</v>
      </c>
      <c r="P559" s="272">
        <f t="shared" si="51"/>
        <v>0</v>
      </c>
      <c r="Q559" s="293" t="e">
        <f t="shared" si="52"/>
        <v>#DIV/0!</v>
      </c>
      <c r="R559" s="293" t="e">
        <f t="shared" si="53"/>
        <v>#DIV/0!</v>
      </c>
      <c r="S559">
        <f>Prem!H561</f>
        <v>0</v>
      </c>
      <c r="T559" s="281">
        <f>S!H565</f>
        <v>0</v>
      </c>
      <c r="U559" s="274">
        <f>B!H560</f>
        <v>0</v>
      </c>
      <c r="V559" s="272">
        <f>Zn!G561</f>
        <v>0</v>
      </c>
      <c r="W559" s="272">
        <f>Cu!G561</f>
        <v>0</v>
      </c>
      <c r="X559" s="272">
        <f>Mn!G561</f>
        <v>0</v>
      </c>
      <c r="Y559" s="272">
        <f>Fe!G561</f>
        <v>0</v>
      </c>
      <c r="Z559" s="274">
        <f>M.O!H561</f>
        <v>0</v>
      </c>
      <c r="AA559" s="272" t="e">
        <f t="shared" si="54"/>
        <v>#DIV/0!</v>
      </c>
      <c r="AB559" s="272" t="e">
        <f t="shared" si="55"/>
        <v>#DIV/0!</v>
      </c>
      <c r="AC559" s="272" t="e">
        <f t="shared" si="56"/>
        <v>#DIV/0!</v>
      </c>
    </row>
    <row r="560" spans="1:29" x14ac:dyDescent="0.2">
      <c r="A560" s="106">
        <f>Cadastro!A564</f>
        <v>0</v>
      </c>
      <c r="B560" s="27">
        <f>Cadastro!E562</f>
        <v>0</v>
      </c>
      <c r="C560">
        <f>pH_água!C560</f>
        <v>0</v>
      </c>
      <c r="D560">
        <f>pH_KCl!B561</f>
        <v>0</v>
      </c>
      <c r="E560">
        <f>'pH CaCl2'!C560</f>
        <v>0</v>
      </c>
      <c r="F560" s="104">
        <f>P_Mehlich1!H545</f>
        <v>0</v>
      </c>
      <c r="G560" s="123">
        <f>P_resina!H565</f>
        <v>0</v>
      </c>
      <c r="H560" s="272">
        <f>K!G530</f>
        <v>0</v>
      </c>
      <c r="I560" s="125">
        <v>0</v>
      </c>
      <c r="J560" s="272">
        <f>'Ca2+'!G561</f>
        <v>0</v>
      </c>
      <c r="K560" s="272">
        <f>Mg²!G563</f>
        <v>0</v>
      </c>
      <c r="L560" s="279">
        <f>Al³!C562</f>
        <v>0</v>
      </c>
      <c r="M560" s="279">
        <f>'H + Al'!D562</f>
        <v>0</v>
      </c>
      <c r="N560" s="272">
        <f t="shared" si="49"/>
        <v>0</v>
      </c>
      <c r="O560" s="272">
        <f t="shared" si="50"/>
        <v>0</v>
      </c>
      <c r="P560" s="272">
        <f t="shared" si="51"/>
        <v>0</v>
      </c>
      <c r="Q560" s="293" t="e">
        <f t="shared" si="52"/>
        <v>#DIV/0!</v>
      </c>
      <c r="R560" s="293" t="e">
        <f t="shared" si="53"/>
        <v>#DIV/0!</v>
      </c>
      <c r="S560">
        <f>Prem!H562</f>
        <v>0</v>
      </c>
      <c r="T560" s="281">
        <f>S!H566</f>
        <v>0</v>
      </c>
      <c r="U560" s="274">
        <f>B!H561</f>
        <v>0</v>
      </c>
      <c r="V560" s="272">
        <f>Zn!G562</f>
        <v>0</v>
      </c>
      <c r="W560" s="272">
        <f>Cu!G562</f>
        <v>0</v>
      </c>
      <c r="X560" s="272">
        <f>Mn!G562</f>
        <v>0</v>
      </c>
      <c r="Y560" s="272">
        <f>Fe!G562</f>
        <v>0</v>
      </c>
      <c r="Z560" s="274">
        <f>M.O!H562</f>
        <v>0</v>
      </c>
      <c r="AA560" s="272" t="e">
        <f t="shared" si="54"/>
        <v>#DIV/0!</v>
      </c>
      <c r="AB560" s="272" t="e">
        <f t="shared" si="55"/>
        <v>#DIV/0!</v>
      </c>
      <c r="AC560" s="272" t="e">
        <f t="shared" si="56"/>
        <v>#DIV/0!</v>
      </c>
    </row>
    <row r="561" spans="1:29" x14ac:dyDescent="0.2">
      <c r="A561" s="106">
        <f>Cadastro!A565</f>
        <v>0</v>
      </c>
      <c r="B561" s="27">
        <f>Cadastro!E563</f>
        <v>0</v>
      </c>
      <c r="C561">
        <f>pH_água!C561</f>
        <v>0</v>
      </c>
      <c r="D561">
        <f>pH_KCl!B562</f>
        <v>0</v>
      </c>
      <c r="E561">
        <f>'pH CaCl2'!C561</f>
        <v>0</v>
      </c>
      <c r="F561" s="104">
        <f>P_Mehlich1!H546</f>
        <v>0</v>
      </c>
      <c r="G561" s="123">
        <f>P_resina!H566</f>
        <v>0</v>
      </c>
      <c r="H561" s="272">
        <f>K!G531</f>
        <v>0</v>
      </c>
      <c r="I561" s="125">
        <v>0</v>
      </c>
      <c r="J561" s="272">
        <f>'Ca2+'!G562</f>
        <v>0</v>
      </c>
      <c r="K561" s="272">
        <f>Mg²!G564</f>
        <v>0</v>
      </c>
      <c r="L561" s="279">
        <f>Al³!C563</f>
        <v>0</v>
      </c>
      <c r="M561" s="279">
        <f>'H + Al'!D563</f>
        <v>0</v>
      </c>
      <c r="N561" s="272">
        <f t="shared" si="49"/>
        <v>0</v>
      </c>
      <c r="O561" s="272">
        <f t="shared" si="50"/>
        <v>0</v>
      </c>
      <c r="P561" s="272">
        <f t="shared" si="51"/>
        <v>0</v>
      </c>
      <c r="Q561" s="293" t="e">
        <f t="shared" si="52"/>
        <v>#DIV/0!</v>
      </c>
      <c r="R561" s="293" t="e">
        <f t="shared" si="53"/>
        <v>#DIV/0!</v>
      </c>
      <c r="S561">
        <f>Prem!H563</f>
        <v>0</v>
      </c>
      <c r="T561" s="281">
        <f>S!H567</f>
        <v>0</v>
      </c>
      <c r="U561" s="274">
        <f>B!H562</f>
        <v>0</v>
      </c>
      <c r="V561" s="272">
        <f>Zn!G563</f>
        <v>0</v>
      </c>
      <c r="W561" s="272">
        <f>Cu!G563</f>
        <v>0</v>
      </c>
      <c r="X561" s="272">
        <f>Mn!G563</f>
        <v>0</v>
      </c>
      <c r="Y561" s="272">
        <f>Fe!G563</f>
        <v>0</v>
      </c>
      <c r="Z561" s="274">
        <f>M.O!H563</f>
        <v>0</v>
      </c>
      <c r="AA561" s="272" t="e">
        <f t="shared" si="54"/>
        <v>#DIV/0!</v>
      </c>
      <c r="AB561" s="272" t="e">
        <f t="shared" si="55"/>
        <v>#DIV/0!</v>
      </c>
      <c r="AC561" s="272" t="e">
        <f t="shared" si="56"/>
        <v>#DIV/0!</v>
      </c>
    </row>
    <row r="562" spans="1:29" x14ac:dyDescent="0.2">
      <c r="A562" s="106">
        <f>Cadastro!A566</f>
        <v>0</v>
      </c>
      <c r="B562" s="27">
        <f>Cadastro!E564</f>
        <v>0</v>
      </c>
      <c r="C562">
        <f>pH_água!C562</f>
        <v>0</v>
      </c>
      <c r="D562">
        <f>pH_KCl!B563</f>
        <v>0</v>
      </c>
      <c r="E562">
        <f>'pH CaCl2'!C562</f>
        <v>0</v>
      </c>
      <c r="F562" s="104">
        <f>P_Mehlich1!H547</f>
        <v>0</v>
      </c>
      <c r="G562" s="123">
        <f>P_resina!H567</f>
        <v>0</v>
      </c>
      <c r="H562" s="272">
        <f>K!G532</f>
        <v>0</v>
      </c>
      <c r="I562" s="125">
        <v>0</v>
      </c>
      <c r="J562" s="272">
        <f>'Ca2+'!G563</f>
        <v>0</v>
      </c>
      <c r="K562" s="272">
        <f>Mg²!G565</f>
        <v>0</v>
      </c>
      <c r="L562" s="279">
        <f>Al³!C564</f>
        <v>0</v>
      </c>
      <c r="M562" s="279">
        <f>'H + Al'!D564</f>
        <v>0</v>
      </c>
      <c r="N562" s="272">
        <f t="shared" si="49"/>
        <v>0</v>
      </c>
      <c r="O562" s="272">
        <f t="shared" si="50"/>
        <v>0</v>
      </c>
      <c r="P562" s="272">
        <f t="shared" si="51"/>
        <v>0</v>
      </c>
      <c r="Q562" s="293" t="e">
        <f t="shared" si="52"/>
        <v>#DIV/0!</v>
      </c>
      <c r="R562" s="293" t="e">
        <f t="shared" si="53"/>
        <v>#DIV/0!</v>
      </c>
      <c r="S562">
        <f>Prem!H564</f>
        <v>0</v>
      </c>
      <c r="T562" s="281">
        <f>S!H568</f>
        <v>0</v>
      </c>
      <c r="U562" s="274">
        <f>B!H563</f>
        <v>0</v>
      </c>
      <c r="V562" s="272">
        <f>Zn!G564</f>
        <v>0</v>
      </c>
      <c r="W562" s="272">
        <f>Cu!G564</f>
        <v>0</v>
      </c>
      <c r="X562" s="272">
        <f>Mn!G564</f>
        <v>0</v>
      </c>
      <c r="Y562" s="272">
        <f>Fe!G564</f>
        <v>0</v>
      </c>
      <c r="Z562" s="274">
        <f>M.O!H564</f>
        <v>0</v>
      </c>
      <c r="AA562" s="272" t="e">
        <f t="shared" si="54"/>
        <v>#DIV/0!</v>
      </c>
      <c r="AB562" s="272" t="e">
        <f t="shared" si="55"/>
        <v>#DIV/0!</v>
      </c>
      <c r="AC562" s="272" t="e">
        <f t="shared" si="56"/>
        <v>#DIV/0!</v>
      </c>
    </row>
    <row r="563" spans="1:29" x14ac:dyDescent="0.2">
      <c r="A563" s="106">
        <f>Cadastro!A567</f>
        <v>0</v>
      </c>
      <c r="B563" s="27">
        <f>Cadastro!E565</f>
        <v>0</v>
      </c>
      <c r="C563">
        <f>pH_água!C563</f>
        <v>0</v>
      </c>
      <c r="D563">
        <f>pH_KCl!B564</f>
        <v>0</v>
      </c>
      <c r="E563">
        <f>'pH CaCl2'!C563</f>
        <v>0</v>
      </c>
      <c r="F563" s="104">
        <f>P_Mehlich1!H548</f>
        <v>0</v>
      </c>
      <c r="G563" s="123">
        <f>P_resina!H568</f>
        <v>0</v>
      </c>
      <c r="H563" s="272">
        <f>K!G533</f>
        <v>0</v>
      </c>
      <c r="I563" s="125">
        <v>0</v>
      </c>
      <c r="J563" s="272">
        <f>'Ca2+'!G564</f>
        <v>0</v>
      </c>
      <c r="K563" s="272">
        <f>Mg²!G566</f>
        <v>0</v>
      </c>
      <c r="L563" s="279">
        <f>Al³!C565</f>
        <v>0</v>
      </c>
      <c r="M563" s="279">
        <f>'H + Al'!D565</f>
        <v>0</v>
      </c>
      <c r="N563" s="272">
        <f t="shared" si="49"/>
        <v>0</v>
      </c>
      <c r="O563" s="272">
        <f t="shared" si="50"/>
        <v>0</v>
      </c>
      <c r="P563" s="272">
        <f t="shared" si="51"/>
        <v>0</v>
      </c>
      <c r="Q563" s="293" t="e">
        <f t="shared" si="52"/>
        <v>#DIV/0!</v>
      </c>
      <c r="R563" s="293" t="e">
        <f t="shared" si="53"/>
        <v>#DIV/0!</v>
      </c>
      <c r="S563">
        <f>Prem!H565</f>
        <v>0</v>
      </c>
      <c r="T563" s="281">
        <f>S!H569</f>
        <v>0</v>
      </c>
      <c r="U563" s="274">
        <f>B!H564</f>
        <v>0</v>
      </c>
      <c r="V563" s="272">
        <f>Zn!G565</f>
        <v>0</v>
      </c>
      <c r="W563" s="272">
        <f>Cu!G565</f>
        <v>0</v>
      </c>
      <c r="X563" s="272">
        <f>Mn!G565</f>
        <v>0</v>
      </c>
      <c r="Y563" s="272">
        <f>Fe!G565</f>
        <v>0</v>
      </c>
      <c r="Z563" s="274">
        <f>M.O!H565</f>
        <v>0</v>
      </c>
      <c r="AA563" s="272" t="e">
        <f t="shared" si="54"/>
        <v>#DIV/0!</v>
      </c>
      <c r="AB563" s="272" t="e">
        <f t="shared" si="55"/>
        <v>#DIV/0!</v>
      </c>
      <c r="AC563" s="272" t="e">
        <f t="shared" si="56"/>
        <v>#DIV/0!</v>
      </c>
    </row>
    <row r="564" spans="1:29" x14ac:dyDescent="0.2">
      <c r="A564" s="106">
        <f>Cadastro!A568</f>
        <v>0</v>
      </c>
      <c r="B564" s="27">
        <f>Cadastro!E566</f>
        <v>0</v>
      </c>
      <c r="C564">
        <f>pH_água!C564</f>
        <v>0</v>
      </c>
      <c r="D564">
        <f>pH_KCl!B565</f>
        <v>0</v>
      </c>
      <c r="E564">
        <f>'pH CaCl2'!C564</f>
        <v>0</v>
      </c>
      <c r="F564" s="104">
        <f>P_Mehlich1!H549</f>
        <v>0</v>
      </c>
      <c r="G564" s="123">
        <f>P_resina!H569</f>
        <v>0</v>
      </c>
      <c r="H564" s="272">
        <f>K!G534</f>
        <v>0</v>
      </c>
      <c r="I564" s="125">
        <v>0</v>
      </c>
      <c r="J564" s="272">
        <f>'Ca2+'!G565</f>
        <v>0</v>
      </c>
      <c r="K564" s="272">
        <f>Mg²!G567</f>
        <v>0</v>
      </c>
      <c r="L564" s="279">
        <f>Al³!C566</f>
        <v>0</v>
      </c>
      <c r="M564" s="279">
        <f>'H + Al'!D566</f>
        <v>0</v>
      </c>
      <c r="N564" s="272">
        <f t="shared" ref="N564:N627" si="57">(H564/390)+(I564/230)+J564+K564</f>
        <v>0</v>
      </c>
      <c r="O564" s="272">
        <f t="shared" ref="O564:O627" si="58">N564+L564</f>
        <v>0</v>
      </c>
      <c r="P564" s="272">
        <f t="shared" ref="P564:P627" si="59">N564+M564</f>
        <v>0</v>
      </c>
      <c r="Q564" s="293" t="e">
        <f t="shared" ref="Q564:Q627" si="60">(N564/P564)*100</f>
        <v>#DIV/0!</v>
      </c>
      <c r="R564" s="293" t="e">
        <f t="shared" ref="R564:R627" si="61">(L564/O564)*100</f>
        <v>#DIV/0!</v>
      </c>
      <c r="S564">
        <f>Prem!H566</f>
        <v>0</v>
      </c>
      <c r="T564" s="281">
        <f>S!H570</f>
        <v>0</v>
      </c>
      <c r="U564" s="274">
        <f>B!H565</f>
        <v>0</v>
      </c>
      <c r="V564" s="272">
        <f>Zn!G566</f>
        <v>0</v>
      </c>
      <c r="W564" s="272">
        <f>Cu!G566</f>
        <v>0</v>
      </c>
      <c r="X564" s="272">
        <f>Mn!G566</f>
        <v>0</v>
      </c>
      <c r="Y564" s="272">
        <f>Fe!G566</f>
        <v>0</v>
      </c>
      <c r="Z564" s="274">
        <f>M.O!H566</f>
        <v>0</v>
      </c>
      <c r="AA564" s="272" t="e">
        <f t="shared" ref="AA564:AA627" si="62">J564/K564</f>
        <v>#DIV/0!</v>
      </c>
      <c r="AB564" s="272" t="e">
        <f t="shared" ref="AB564:AB627" si="63">J564/(H564/390)</f>
        <v>#DIV/0!</v>
      </c>
      <c r="AC564" s="272" t="e">
        <f t="shared" ref="AC564:AC627" si="64">K564/(H564/390)</f>
        <v>#DIV/0!</v>
      </c>
    </row>
    <row r="565" spans="1:29" x14ac:dyDescent="0.2">
      <c r="A565" s="106">
        <f>Cadastro!A569</f>
        <v>0</v>
      </c>
      <c r="B565" s="27">
        <f>Cadastro!E567</f>
        <v>0</v>
      </c>
      <c r="C565">
        <f>pH_água!C565</f>
        <v>0</v>
      </c>
      <c r="D565">
        <f>pH_KCl!B566</f>
        <v>0</v>
      </c>
      <c r="E565">
        <f>'pH CaCl2'!C565</f>
        <v>0</v>
      </c>
      <c r="F565" s="104">
        <f>P_Mehlich1!H550</f>
        <v>0</v>
      </c>
      <c r="G565" s="123">
        <f>P_resina!H570</f>
        <v>0</v>
      </c>
      <c r="H565" s="272">
        <f>K!G535</f>
        <v>0</v>
      </c>
      <c r="I565" s="125">
        <v>0</v>
      </c>
      <c r="J565" s="272">
        <f>'Ca2+'!G566</f>
        <v>0</v>
      </c>
      <c r="K565" s="272">
        <f>Mg²!G568</f>
        <v>0</v>
      </c>
      <c r="L565" s="279">
        <f>Al³!C567</f>
        <v>0</v>
      </c>
      <c r="M565" s="279">
        <f>'H + Al'!D567</f>
        <v>0</v>
      </c>
      <c r="N565" s="272">
        <f t="shared" si="57"/>
        <v>0</v>
      </c>
      <c r="O565" s="272">
        <f t="shared" si="58"/>
        <v>0</v>
      </c>
      <c r="P565" s="272">
        <f t="shared" si="59"/>
        <v>0</v>
      </c>
      <c r="Q565" s="293" t="e">
        <f t="shared" si="60"/>
        <v>#DIV/0!</v>
      </c>
      <c r="R565" s="293" t="e">
        <f t="shared" si="61"/>
        <v>#DIV/0!</v>
      </c>
      <c r="S565">
        <f>Prem!H567</f>
        <v>0</v>
      </c>
      <c r="T565" s="281">
        <f>S!H571</f>
        <v>0</v>
      </c>
      <c r="U565" s="274">
        <f>B!H566</f>
        <v>0</v>
      </c>
      <c r="V565" s="272">
        <f>Zn!G567</f>
        <v>0</v>
      </c>
      <c r="W565" s="272">
        <f>Cu!G567</f>
        <v>0</v>
      </c>
      <c r="X565" s="272">
        <f>Mn!G567</f>
        <v>0</v>
      </c>
      <c r="Y565" s="272">
        <f>Fe!G567</f>
        <v>0</v>
      </c>
      <c r="Z565" s="274">
        <f>M.O!H567</f>
        <v>0</v>
      </c>
      <c r="AA565" s="272" t="e">
        <f t="shared" si="62"/>
        <v>#DIV/0!</v>
      </c>
      <c r="AB565" s="272" t="e">
        <f t="shared" si="63"/>
        <v>#DIV/0!</v>
      </c>
      <c r="AC565" s="272" t="e">
        <f t="shared" si="64"/>
        <v>#DIV/0!</v>
      </c>
    </row>
    <row r="566" spans="1:29" x14ac:dyDescent="0.2">
      <c r="A566" s="106">
        <f>Cadastro!A570</f>
        <v>0</v>
      </c>
      <c r="B566" s="27">
        <f>Cadastro!E568</f>
        <v>0</v>
      </c>
      <c r="C566">
        <f>pH_água!C566</f>
        <v>0</v>
      </c>
      <c r="D566">
        <f>pH_KCl!B567</f>
        <v>0</v>
      </c>
      <c r="E566">
        <f>'pH CaCl2'!C566</f>
        <v>0</v>
      </c>
      <c r="F566" s="104">
        <f>P_Mehlich1!H551</f>
        <v>0</v>
      </c>
      <c r="G566" s="123">
        <f>P_resina!H571</f>
        <v>0</v>
      </c>
      <c r="H566" s="272">
        <f>K!G536</f>
        <v>0</v>
      </c>
      <c r="I566" s="125">
        <v>0</v>
      </c>
      <c r="J566" s="272">
        <f>'Ca2+'!G567</f>
        <v>0</v>
      </c>
      <c r="K566" s="272">
        <f>Mg²!G569</f>
        <v>0</v>
      </c>
      <c r="L566" s="279">
        <f>Al³!C568</f>
        <v>0</v>
      </c>
      <c r="M566" s="279">
        <f>'H + Al'!D568</f>
        <v>0</v>
      </c>
      <c r="N566" s="272">
        <f t="shared" si="57"/>
        <v>0</v>
      </c>
      <c r="O566" s="272">
        <f t="shared" si="58"/>
        <v>0</v>
      </c>
      <c r="P566" s="272">
        <f t="shared" si="59"/>
        <v>0</v>
      </c>
      <c r="Q566" s="293" t="e">
        <f t="shared" si="60"/>
        <v>#DIV/0!</v>
      </c>
      <c r="R566" s="293" t="e">
        <f t="shared" si="61"/>
        <v>#DIV/0!</v>
      </c>
      <c r="S566">
        <f>Prem!H568</f>
        <v>0</v>
      </c>
      <c r="T566" s="281">
        <f>S!H572</f>
        <v>0</v>
      </c>
      <c r="U566" s="274">
        <f>B!H567</f>
        <v>0</v>
      </c>
      <c r="V566" s="272">
        <f>Zn!G568</f>
        <v>0</v>
      </c>
      <c r="W566" s="272">
        <f>Cu!G568</f>
        <v>0</v>
      </c>
      <c r="X566" s="272">
        <f>Mn!G568</f>
        <v>0</v>
      </c>
      <c r="Y566" s="272">
        <f>Fe!G568</f>
        <v>0</v>
      </c>
      <c r="Z566" s="274">
        <f>M.O!H568</f>
        <v>0</v>
      </c>
      <c r="AA566" s="272" t="e">
        <f t="shared" si="62"/>
        <v>#DIV/0!</v>
      </c>
      <c r="AB566" s="272" t="e">
        <f t="shared" si="63"/>
        <v>#DIV/0!</v>
      </c>
      <c r="AC566" s="272" t="e">
        <f t="shared" si="64"/>
        <v>#DIV/0!</v>
      </c>
    </row>
    <row r="567" spans="1:29" x14ac:dyDescent="0.2">
      <c r="A567" s="106">
        <f>Cadastro!A571</f>
        <v>0</v>
      </c>
      <c r="B567" s="27">
        <f>Cadastro!E569</f>
        <v>0</v>
      </c>
      <c r="C567">
        <f>pH_água!C567</f>
        <v>0</v>
      </c>
      <c r="D567">
        <f>pH_KCl!B568</f>
        <v>0</v>
      </c>
      <c r="E567">
        <f>'pH CaCl2'!C567</f>
        <v>0</v>
      </c>
      <c r="F567" s="104">
        <f>P_Mehlich1!H552</f>
        <v>0</v>
      </c>
      <c r="G567" s="123">
        <f>P_resina!H572</f>
        <v>0</v>
      </c>
      <c r="H567" s="272">
        <f>K!G537</f>
        <v>0</v>
      </c>
      <c r="I567" s="125">
        <v>0</v>
      </c>
      <c r="J567" s="272">
        <f>'Ca2+'!G568</f>
        <v>0</v>
      </c>
      <c r="K567" s="272">
        <f>Mg²!G570</f>
        <v>0</v>
      </c>
      <c r="L567" s="279">
        <f>Al³!C569</f>
        <v>0</v>
      </c>
      <c r="M567" s="279">
        <f>'H + Al'!D569</f>
        <v>0</v>
      </c>
      <c r="N567" s="272">
        <f t="shared" si="57"/>
        <v>0</v>
      </c>
      <c r="O567" s="272">
        <f t="shared" si="58"/>
        <v>0</v>
      </c>
      <c r="P567" s="272">
        <f t="shared" si="59"/>
        <v>0</v>
      </c>
      <c r="Q567" s="293" t="e">
        <f t="shared" si="60"/>
        <v>#DIV/0!</v>
      </c>
      <c r="R567" s="293" t="e">
        <f t="shared" si="61"/>
        <v>#DIV/0!</v>
      </c>
      <c r="S567">
        <f>Prem!H569</f>
        <v>0</v>
      </c>
      <c r="T567" s="281">
        <f>S!H573</f>
        <v>0</v>
      </c>
      <c r="U567" s="274">
        <f>B!H568</f>
        <v>0</v>
      </c>
      <c r="V567" s="272">
        <f>Zn!G569</f>
        <v>0</v>
      </c>
      <c r="W567" s="272">
        <f>Cu!G569</f>
        <v>0</v>
      </c>
      <c r="X567" s="272">
        <f>Mn!G569</f>
        <v>0</v>
      </c>
      <c r="Y567" s="272">
        <f>Fe!G569</f>
        <v>0</v>
      </c>
      <c r="Z567" s="274">
        <f>M.O!H569</f>
        <v>0</v>
      </c>
      <c r="AA567" s="272" t="e">
        <f t="shared" si="62"/>
        <v>#DIV/0!</v>
      </c>
      <c r="AB567" s="272" t="e">
        <f t="shared" si="63"/>
        <v>#DIV/0!</v>
      </c>
      <c r="AC567" s="272" t="e">
        <f t="shared" si="64"/>
        <v>#DIV/0!</v>
      </c>
    </row>
    <row r="568" spans="1:29" x14ac:dyDescent="0.2">
      <c r="A568" s="106">
        <f>Cadastro!A572</f>
        <v>0</v>
      </c>
      <c r="B568" s="27">
        <f>Cadastro!E570</f>
        <v>0</v>
      </c>
      <c r="C568">
        <f>pH_água!C568</f>
        <v>0</v>
      </c>
      <c r="D568">
        <f>pH_KCl!B569</f>
        <v>0</v>
      </c>
      <c r="E568">
        <f>'pH CaCl2'!C568</f>
        <v>0</v>
      </c>
      <c r="F568" s="104">
        <f>P_Mehlich1!H553</f>
        <v>0</v>
      </c>
      <c r="G568" s="123">
        <f>P_resina!H573</f>
        <v>0</v>
      </c>
      <c r="H568" s="272">
        <f>K!G538</f>
        <v>0</v>
      </c>
      <c r="I568" s="125">
        <v>0</v>
      </c>
      <c r="J568" s="272">
        <f>'Ca2+'!G569</f>
        <v>0</v>
      </c>
      <c r="K568" s="272">
        <f>Mg²!G571</f>
        <v>0</v>
      </c>
      <c r="L568" s="279">
        <f>Al³!C570</f>
        <v>0</v>
      </c>
      <c r="M568" s="279">
        <f>'H + Al'!D570</f>
        <v>0</v>
      </c>
      <c r="N568" s="272">
        <f t="shared" si="57"/>
        <v>0</v>
      </c>
      <c r="O568" s="272">
        <f t="shared" si="58"/>
        <v>0</v>
      </c>
      <c r="P568" s="272">
        <f t="shared" si="59"/>
        <v>0</v>
      </c>
      <c r="Q568" s="293" t="e">
        <f t="shared" si="60"/>
        <v>#DIV/0!</v>
      </c>
      <c r="R568" s="293" t="e">
        <f t="shared" si="61"/>
        <v>#DIV/0!</v>
      </c>
      <c r="S568">
        <f>Prem!H570</f>
        <v>0</v>
      </c>
      <c r="T568" s="281">
        <f>S!H574</f>
        <v>0</v>
      </c>
      <c r="U568" s="274">
        <f>B!H569</f>
        <v>0</v>
      </c>
      <c r="V568" s="272">
        <f>Zn!G570</f>
        <v>0</v>
      </c>
      <c r="W568" s="272">
        <f>Cu!G570</f>
        <v>0</v>
      </c>
      <c r="X568" s="272">
        <f>Mn!G570</f>
        <v>0</v>
      </c>
      <c r="Y568" s="272">
        <f>Fe!G570</f>
        <v>0</v>
      </c>
      <c r="Z568" s="274">
        <f>M.O!H570</f>
        <v>0</v>
      </c>
      <c r="AA568" s="272" t="e">
        <f t="shared" si="62"/>
        <v>#DIV/0!</v>
      </c>
      <c r="AB568" s="272" t="e">
        <f t="shared" si="63"/>
        <v>#DIV/0!</v>
      </c>
      <c r="AC568" s="272" t="e">
        <f t="shared" si="64"/>
        <v>#DIV/0!</v>
      </c>
    </row>
    <row r="569" spans="1:29" x14ac:dyDescent="0.2">
      <c r="A569" s="106">
        <f>Cadastro!A573</f>
        <v>0</v>
      </c>
      <c r="B569" s="27">
        <f>Cadastro!E571</f>
        <v>0</v>
      </c>
      <c r="C569">
        <f>pH_água!C569</f>
        <v>0</v>
      </c>
      <c r="D569">
        <f>pH_KCl!B570</f>
        <v>0</v>
      </c>
      <c r="E569">
        <f>'pH CaCl2'!C569</f>
        <v>0</v>
      </c>
      <c r="F569" s="104">
        <f>P_Mehlich1!H554</f>
        <v>0</v>
      </c>
      <c r="G569" s="123">
        <f>P_resina!H574</f>
        <v>0</v>
      </c>
      <c r="H569" s="272">
        <f>K!G539</f>
        <v>0</v>
      </c>
      <c r="I569" s="125">
        <v>0</v>
      </c>
      <c r="J569" s="272">
        <f>'Ca2+'!G570</f>
        <v>0</v>
      </c>
      <c r="K569" s="272">
        <f>Mg²!G572</f>
        <v>0</v>
      </c>
      <c r="L569" s="279">
        <f>Al³!C571</f>
        <v>0</v>
      </c>
      <c r="M569" s="279">
        <f>'H + Al'!D571</f>
        <v>0</v>
      </c>
      <c r="N569" s="272">
        <f t="shared" si="57"/>
        <v>0</v>
      </c>
      <c r="O569" s="272">
        <f t="shared" si="58"/>
        <v>0</v>
      </c>
      <c r="P569" s="272">
        <f t="shared" si="59"/>
        <v>0</v>
      </c>
      <c r="Q569" s="293" t="e">
        <f t="shared" si="60"/>
        <v>#DIV/0!</v>
      </c>
      <c r="R569" s="293" t="e">
        <f t="shared" si="61"/>
        <v>#DIV/0!</v>
      </c>
      <c r="S569">
        <f>Prem!H571</f>
        <v>0</v>
      </c>
      <c r="T569" s="281">
        <f>S!H575</f>
        <v>0</v>
      </c>
      <c r="U569" s="274">
        <f>B!H570</f>
        <v>0</v>
      </c>
      <c r="V569" s="272">
        <f>Zn!G571</f>
        <v>0</v>
      </c>
      <c r="W569" s="272">
        <f>Cu!G571</f>
        <v>0</v>
      </c>
      <c r="X569" s="272">
        <f>Mn!G571</f>
        <v>0</v>
      </c>
      <c r="Y569" s="272">
        <f>Fe!G571</f>
        <v>0</v>
      </c>
      <c r="Z569" s="274">
        <f>M.O!H571</f>
        <v>0</v>
      </c>
      <c r="AA569" s="272" t="e">
        <f t="shared" si="62"/>
        <v>#DIV/0!</v>
      </c>
      <c r="AB569" s="272" t="e">
        <f t="shared" si="63"/>
        <v>#DIV/0!</v>
      </c>
      <c r="AC569" s="272" t="e">
        <f t="shared" si="64"/>
        <v>#DIV/0!</v>
      </c>
    </row>
    <row r="570" spans="1:29" x14ac:dyDescent="0.2">
      <c r="A570" s="106">
        <f>Cadastro!A574</f>
        <v>0</v>
      </c>
      <c r="B570" s="27">
        <f>Cadastro!E572</f>
        <v>0</v>
      </c>
      <c r="C570">
        <f>pH_água!C570</f>
        <v>0</v>
      </c>
      <c r="D570">
        <f>pH_KCl!B571</f>
        <v>0</v>
      </c>
      <c r="E570">
        <f>'pH CaCl2'!C570</f>
        <v>0</v>
      </c>
      <c r="F570" s="104">
        <f>P_Mehlich1!H555</f>
        <v>0</v>
      </c>
      <c r="G570" s="123">
        <f>P_resina!H575</f>
        <v>0</v>
      </c>
      <c r="H570" s="272">
        <f>K!G540</f>
        <v>0</v>
      </c>
      <c r="I570" s="125">
        <v>0</v>
      </c>
      <c r="J570" s="272">
        <f>'Ca2+'!G571</f>
        <v>0</v>
      </c>
      <c r="K570" s="272">
        <f>Mg²!G573</f>
        <v>0</v>
      </c>
      <c r="L570" s="279">
        <f>Al³!C572</f>
        <v>0</v>
      </c>
      <c r="M570" s="279">
        <f>'H + Al'!D572</f>
        <v>0</v>
      </c>
      <c r="N570" s="272">
        <f t="shared" si="57"/>
        <v>0</v>
      </c>
      <c r="O570" s="272">
        <f t="shared" si="58"/>
        <v>0</v>
      </c>
      <c r="P570" s="272">
        <f t="shared" si="59"/>
        <v>0</v>
      </c>
      <c r="Q570" s="293" t="e">
        <f t="shared" si="60"/>
        <v>#DIV/0!</v>
      </c>
      <c r="R570" s="293" t="e">
        <f t="shared" si="61"/>
        <v>#DIV/0!</v>
      </c>
      <c r="S570">
        <f>Prem!H572</f>
        <v>0</v>
      </c>
      <c r="T570" s="281">
        <f>S!H576</f>
        <v>0</v>
      </c>
      <c r="U570" s="274">
        <f>B!H571</f>
        <v>0</v>
      </c>
      <c r="V570" s="272">
        <f>Zn!G572</f>
        <v>0</v>
      </c>
      <c r="W570" s="272">
        <f>Cu!G572</f>
        <v>0</v>
      </c>
      <c r="X570" s="272">
        <f>Mn!G572</f>
        <v>0</v>
      </c>
      <c r="Y570" s="272">
        <f>Fe!G572</f>
        <v>0</v>
      </c>
      <c r="Z570" s="274">
        <f>M.O!H572</f>
        <v>0</v>
      </c>
      <c r="AA570" s="272" t="e">
        <f t="shared" si="62"/>
        <v>#DIV/0!</v>
      </c>
      <c r="AB570" s="272" t="e">
        <f t="shared" si="63"/>
        <v>#DIV/0!</v>
      </c>
      <c r="AC570" s="272" t="e">
        <f t="shared" si="64"/>
        <v>#DIV/0!</v>
      </c>
    </row>
    <row r="571" spans="1:29" x14ac:dyDescent="0.2">
      <c r="A571" s="106">
        <f>Cadastro!A575</f>
        <v>0</v>
      </c>
      <c r="B571" s="27">
        <f>Cadastro!E573</f>
        <v>0</v>
      </c>
      <c r="C571">
        <f>pH_água!C571</f>
        <v>0</v>
      </c>
      <c r="D571">
        <f>pH_KCl!B572</f>
        <v>0</v>
      </c>
      <c r="E571">
        <f>'pH CaCl2'!C571</f>
        <v>0</v>
      </c>
      <c r="F571" s="104">
        <f>P_Mehlich1!H556</f>
        <v>0</v>
      </c>
      <c r="G571" s="123">
        <f>P_resina!H576</f>
        <v>0</v>
      </c>
      <c r="H571" s="272">
        <f>K!G541</f>
        <v>0</v>
      </c>
      <c r="I571" s="125">
        <v>0</v>
      </c>
      <c r="J571" s="272">
        <f>'Ca2+'!G572</f>
        <v>0</v>
      </c>
      <c r="K571" s="272">
        <f>Mg²!G574</f>
        <v>0</v>
      </c>
      <c r="L571" s="279">
        <f>Al³!C573</f>
        <v>0</v>
      </c>
      <c r="M571" s="279">
        <f>'H + Al'!D573</f>
        <v>0</v>
      </c>
      <c r="N571" s="272">
        <f t="shared" si="57"/>
        <v>0</v>
      </c>
      <c r="O571" s="272">
        <f t="shared" si="58"/>
        <v>0</v>
      </c>
      <c r="P571" s="272">
        <f t="shared" si="59"/>
        <v>0</v>
      </c>
      <c r="Q571" s="293" t="e">
        <f t="shared" si="60"/>
        <v>#DIV/0!</v>
      </c>
      <c r="R571" s="293" t="e">
        <f t="shared" si="61"/>
        <v>#DIV/0!</v>
      </c>
      <c r="S571">
        <f>Prem!H573</f>
        <v>0</v>
      </c>
      <c r="T571" s="281">
        <f>S!H577</f>
        <v>0</v>
      </c>
      <c r="U571" s="274">
        <f>B!H572</f>
        <v>0</v>
      </c>
      <c r="V571" s="272">
        <f>Zn!G573</f>
        <v>0</v>
      </c>
      <c r="W571" s="272">
        <f>Cu!G573</f>
        <v>0</v>
      </c>
      <c r="X571" s="272">
        <f>Mn!G573</f>
        <v>0</v>
      </c>
      <c r="Y571" s="272">
        <f>Fe!G573</f>
        <v>0</v>
      </c>
      <c r="Z571" s="274">
        <f>M.O!H573</f>
        <v>0</v>
      </c>
      <c r="AA571" s="272" t="e">
        <f t="shared" si="62"/>
        <v>#DIV/0!</v>
      </c>
      <c r="AB571" s="272" t="e">
        <f t="shared" si="63"/>
        <v>#DIV/0!</v>
      </c>
      <c r="AC571" s="272" t="e">
        <f t="shared" si="64"/>
        <v>#DIV/0!</v>
      </c>
    </row>
    <row r="572" spans="1:29" x14ac:dyDescent="0.2">
      <c r="A572" s="106">
        <f>Cadastro!A576</f>
        <v>0</v>
      </c>
      <c r="B572" s="27">
        <f>Cadastro!E574</f>
        <v>0</v>
      </c>
      <c r="C572">
        <f>pH_água!C572</f>
        <v>0</v>
      </c>
      <c r="D572">
        <f>pH_KCl!B573</f>
        <v>0</v>
      </c>
      <c r="E572">
        <f>'pH CaCl2'!C572</f>
        <v>0</v>
      </c>
      <c r="F572" s="104">
        <f>P_Mehlich1!H557</f>
        <v>0</v>
      </c>
      <c r="G572" s="123">
        <f>P_resina!H577</f>
        <v>0</v>
      </c>
      <c r="H572" s="272">
        <f>K!G542</f>
        <v>0</v>
      </c>
      <c r="I572" s="125">
        <v>0</v>
      </c>
      <c r="J572" s="272">
        <f>'Ca2+'!G573</f>
        <v>0</v>
      </c>
      <c r="K572" s="272">
        <f>Mg²!G575</f>
        <v>0</v>
      </c>
      <c r="L572" s="279">
        <f>Al³!C574</f>
        <v>0</v>
      </c>
      <c r="M572" s="279">
        <f>'H + Al'!D574</f>
        <v>0</v>
      </c>
      <c r="N572" s="272">
        <f t="shared" si="57"/>
        <v>0</v>
      </c>
      <c r="O572" s="272">
        <f t="shared" si="58"/>
        <v>0</v>
      </c>
      <c r="P572" s="272">
        <f t="shared" si="59"/>
        <v>0</v>
      </c>
      <c r="Q572" s="293" t="e">
        <f t="shared" si="60"/>
        <v>#DIV/0!</v>
      </c>
      <c r="R572" s="293" t="e">
        <f t="shared" si="61"/>
        <v>#DIV/0!</v>
      </c>
      <c r="S572">
        <f>Prem!H574</f>
        <v>0</v>
      </c>
      <c r="T572" s="281">
        <f>S!H578</f>
        <v>0</v>
      </c>
      <c r="U572" s="274">
        <f>B!H573</f>
        <v>0</v>
      </c>
      <c r="V572" s="272">
        <f>Zn!G574</f>
        <v>0</v>
      </c>
      <c r="W572" s="272">
        <f>Cu!G574</f>
        <v>0</v>
      </c>
      <c r="X572" s="272">
        <f>Mn!G574</f>
        <v>0</v>
      </c>
      <c r="Y572" s="272">
        <f>Fe!G574</f>
        <v>0</v>
      </c>
      <c r="Z572" s="274">
        <f>M.O!H574</f>
        <v>0</v>
      </c>
      <c r="AA572" s="272" t="e">
        <f t="shared" si="62"/>
        <v>#DIV/0!</v>
      </c>
      <c r="AB572" s="272" t="e">
        <f t="shared" si="63"/>
        <v>#DIV/0!</v>
      </c>
      <c r="AC572" s="272" t="e">
        <f t="shared" si="64"/>
        <v>#DIV/0!</v>
      </c>
    </row>
    <row r="573" spans="1:29" x14ac:dyDescent="0.2">
      <c r="A573" s="106">
        <f>Cadastro!A577</f>
        <v>0</v>
      </c>
      <c r="B573" s="27">
        <f>Cadastro!E575</f>
        <v>0</v>
      </c>
      <c r="C573">
        <f>pH_água!C573</f>
        <v>0</v>
      </c>
      <c r="D573">
        <f>pH_KCl!B574</f>
        <v>0</v>
      </c>
      <c r="E573">
        <f>'pH CaCl2'!C573</f>
        <v>0</v>
      </c>
      <c r="F573" s="104">
        <f>P_Mehlich1!H558</f>
        <v>0</v>
      </c>
      <c r="G573" s="123">
        <f>P_resina!H578</f>
        <v>0</v>
      </c>
      <c r="H573" s="272">
        <f>K!G543</f>
        <v>0</v>
      </c>
      <c r="I573" s="125">
        <v>0</v>
      </c>
      <c r="J573" s="272">
        <f>'Ca2+'!G574</f>
        <v>0</v>
      </c>
      <c r="K573" s="272">
        <f>Mg²!G576</f>
        <v>0</v>
      </c>
      <c r="L573" s="279">
        <f>Al³!C575</f>
        <v>0</v>
      </c>
      <c r="M573" s="279">
        <f>'H + Al'!D575</f>
        <v>0</v>
      </c>
      <c r="N573" s="272">
        <f t="shared" si="57"/>
        <v>0</v>
      </c>
      <c r="O573" s="272">
        <f t="shared" si="58"/>
        <v>0</v>
      </c>
      <c r="P573" s="272">
        <f t="shared" si="59"/>
        <v>0</v>
      </c>
      <c r="Q573" s="293" t="e">
        <f t="shared" si="60"/>
        <v>#DIV/0!</v>
      </c>
      <c r="R573" s="293" t="e">
        <f t="shared" si="61"/>
        <v>#DIV/0!</v>
      </c>
      <c r="S573">
        <f>Prem!H575</f>
        <v>0</v>
      </c>
      <c r="T573" s="281">
        <f>S!H579</f>
        <v>0</v>
      </c>
      <c r="U573" s="274">
        <f>B!H574</f>
        <v>0</v>
      </c>
      <c r="V573" s="272">
        <f>Zn!G575</f>
        <v>0</v>
      </c>
      <c r="W573" s="272">
        <f>Cu!G575</f>
        <v>0</v>
      </c>
      <c r="X573" s="272">
        <f>Mn!G575</f>
        <v>0</v>
      </c>
      <c r="Y573" s="272">
        <f>Fe!G575</f>
        <v>0</v>
      </c>
      <c r="Z573" s="274">
        <f>M.O!H575</f>
        <v>0</v>
      </c>
      <c r="AA573" s="272" t="e">
        <f t="shared" si="62"/>
        <v>#DIV/0!</v>
      </c>
      <c r="AB573" s="272" t="e">
        <f t="shared" si="63"/>
        <v>#DIV/0!</v>
      </c>
      <c r="AC573" s="272" t="e">
        <f t="shared" si="64"/>
        <v>#DIV/0!</v>
      </c>
    </row>
    <row r="574" spans="1:29" x14ac:dyDescent="0.2">
      <c r="A574" s="106">
        <f>Cadastro!A578</f>
        <v>0</v>
      </c>
      <c r="B574" s="27">
        <f>Cadastro!E576</f>
        <v>0</v>
      </c>
      <c r="C574">
        <f>pH_água!C574</f>
        <v>0</v>
      </c>
      <c r="D574">
        <f>pH_KCl!B575</f>
        <v>0</v>
      </c>
      <c r="E574">
        <f>'pH CaCl2'!C574</f>
        <v>0</v>
      </c>
      <c r="F574" s="104">
        <f>P_Mehlich1!H559</f>
        <v>0</v>
      </c>
      <c r="G574" s="123">
        <f>P_resina!H579</f>
        <v>0</v>
      </c>
      <c r="H574" s="272">
        <f>K!G544</f>
        <v>0</v>
      </c>
      <c r="I574" s="125">
        <v>0</v>
      </c>
      <c r="J574" s="272">
        <f>'Ca2+'!G575</f>
        <v>0</v>
      </c>
      <c r="K574" s="272">
        <f>Mg²!G577</f>
        <v>0</v>
      </c>
      <c r="L574" s="279">
        <f>Al³!C576</f>
        <v>0</v>
      </c>
      <c r="M574" s="279">
        <f>'H + Al'!D576</f>
        <v>0</v>
      </c>
      <c r="N574" s="272">
        <f t="shared" si="57"/>
        <v>0</v>
      </c>
      <c r="O574" s="272">
        <f t="shared" si="58"/>
        <v>0</v>
      </c>
      <c r="P574" s="272">
        <f t="shared" si="59"/>
        <v>0</v>
      </c>
      <c r="Q574" s="293" t="e">
        <f t="shared" si="60"/>
        <v>#DIV/0!</v>
      </c>
      <c r="R574" s="293" t="e">
        <f t="shared" si="61"/>
        <v>#DIV/0!</v>
      </c>
      <c r="S574">
        <f>Prem!H576</f>
        <v>0</v>
      </c>
      <c r="T574" s="281">
        <f>S!H580</f>
        <v>0</v>
      </c>
      <c r="U574" s="274">
        <f>B!H575</f>
        <v>0</v>
      </c>
      <c r="V574" s="272">
        <f>Zn!G576</f>
        <v>0</v>
      </c>
      <c r="W574" s="272">
        <f>Cu!G576</f>
        <v>0</v>
      </c>
      <c r="X574" s="272">
        <f>Mn!G576</f>
        <v>0</v>
      </c>
      <c r="Y574" s="272">
        <f>Fe!G576</f>
        <v>0</v>
      </c>
      <c r="Z574" s="274">
        <f>M.O!H576</f>
        <v>0</v>
      </c>
      <c r="AA574" s="272" t="e">
        <f t="shared" si="62"/>
        <v>#DIV/0!</v>
      </c>
      <c r="AB574" s="272" t="e">
        <f t="shared" si="63"/>
        <v>#DIV/0!</v>
      </c>
      <c r="AC574" s="272" t="e">
        <f t="shared" si="64"/>
        <v>#DIV/0!</v>
      </c>
    </row>
    <row r="575" spans="1:29" x14ac:dyDescent="0.2">
      <c r="A575" s="106">
        <f>Cadastro!A579</f>
        <v>0</v>
      </c>
      <c r="B575" s="27">
        <f>Cadastro!E577</f>
        <v>0</v>
      </c>
      <c r="C575">
        <f>pH_água!C575</f>
        <v>0</v>
      </c>
      <c r="D575">
        <f>pH_KCl!B576</f>
        <v>0</v>
      </c>
      <c r="E575">
        <f>'pH CaCl2'!C575</f>
        <v>0</v>
      </c>
      <c r="F575" s="104">
        <f>P_Mehlich1!H560</f>
        <v>0</v>
      </c>
      <c r="G575" s="123">
        <f>P_resina!H580</f>
        <v>0</v>
      </c>
      <c r="H575" s="272">
        <f>K!G545</f>
        <v>0</v>
      </c>
      <c r="I575" s="125">
        <v>0</v>
      </c>
      <c r="J575" s="272">
        <f>'Ca2+'!G576</f>
        <v>0</v>
      </c>
      <c r="K575" s="272">
        <f>Mg²!G578</f>
        <v>0</v>
      </c>
      <c r="L575" s="279">
        <f>Al³!C577</f>
        <v>0</v>
      </c>
      <c r="M575" s="279">
        <f>'H + Al'!D577</f>
        <v>0</v>
      </c>
      <c r="N575" s="272">
        <f t="shared" si="57"/>
        <v>0</v>
      </c>
      <c r="O575" s="272">
        <f t="shared" si="58"/>
        <v>0</v>
      </c>
      <c r="P575" s="272">
        <f t="shared" si="59"/>
        <v>0</v>
      </c>
      <c r="Q575" s="293" t="e">
        <f t="shared" si="60"/>
        <v>#DIV/0!</v>
      </c>
      <c r="R575" s="293" t="e">
        <f t="shared" si="61"/>
        <v>#DIV/0!</v>
      </c>
      <c r="S575">
        <f>Prem!H577</f>
        <v>0</v>
      </c>
      <c r="T575" s="281">
        <f>S!H581</f>
        <v>0</v>
      </c>
      <c r="U575" s="274">
        <f>B!H576</f>
        <v>0</v>
      </c>
      <c r="V575" s="272">
        <f>Zn!G577</f>
        <v>0</v>
      </c>
      <c r="W575" s="272">
        <f>Cu!G577</f>
        <v>0</v>
      </c>
      <c r="X575" s="272">
        <f>Mn!G577</f>
        <v>0</v>
      </c>
      <c r="Y575" s="272">
        <f>Fe!G577</f>
        <v>0</v>
      </c>
      <c r="Z575" s="274">
        <f>M.O!H577</f>
        <v>0</v>
      </c>
      <c r="AA575" s="272" t="e">
        <f t="shared" si="62"/>
        <v>#DIV/0!</v>
      </c>
      <c r="AB575" s="272" t="e">
        <f t="shared" si="63"/>
        <v>#DIV/0!</v>
      </c>
      <c r="AC575" s="272" t="e">
        <f t="shared" si="64"/>
        <v>#DIV/0!</v>
      </c>
    </row>
    <row r="576" spans="1:29" x14ac:dyDescent="0.2">
      <c r="A576" s="106">
        <f>Cadastro!A580</f>
        <v>0</v>
      </c>
      <c r="B576" s="27">
        <f>Cadastro!E578</f>
        <v>0</v>
      </c>
      <c r="C576">
        <f>pH_água!C576</f>
        <v>0</v>
      </c>
      <c r="D576">
        <f>pH_KCl!B577</f>
        <v>0</v>
      </c>
      <c r="E576">
        <f>'pH CaCl2'!C576</f>
        <v>0</v>
      </c>
      <c r="F576" s="104">
        <f>P_Mehlich1!H561</f>
        <v>0</v>
      </c>
      <c r="G576" s="123">
        <f>P_resina!H581</f>
        <v>0</v>
      </c>
      <c r="H576" s="272">
        <f>K!G546</f>
        <v>0</v>
      </c>
      <c r="I576" s="125">
        <v>0</v>
      </c>
      <c r="J576" s="272">
        <f>'Ca2+'!G577</f>
        <v>0</v>
      </c>
      <c r="K576" s="272">
        <f>Mg²!G579</f>
        <v>0</v>
      </c>
      <c r="L576" s="279">
        <f>Al³!C578</f>
        <v>0</v>
      </c>
      <c r="M576" s="279">
        <f>'H + Al'!D578</f>
        <v>0</v>
      </c>
      <c r="N576" s="272">
        <f t="shared" si="57"/>
        <v>0</v>
      </c>
      <c r="O576" s="272">
        <f t="shared" si="58"/>
        <v>0</v>
      </c>
      <c r="P576" s="272">
        <f t="shared" si="59"/>
        <v>0</v>
      </c>
      <c r="Q576" s="293" t="e">
        <f t="shared" si="60"/>
        <v>#DIV/0!</v>
      </c>
      <c r="R576" s="293" t="e">
        <f t="shared" si="61"/>
        <v>#DIV/0!</v>
      </c>
      <c r="S576">
        <f>Prem!H578</f>
        <v>0</v>
      </c>
      <c r="T576" s="281">
        <f>S!H582</f>
        <v>0</v>
      </c>
      <c r="U576" s="274">
        <f>B!H577</f>
        <v>0</v>
      </c>
      <c r="V576" s="272">
        <f>Zn!G578</f>
        <v>0</v>
      </c>
      <c r="W576" s="272">
        <f>Cu!G578</f>
        <v>0</v>
      </c>
      <c r="X576" s="272">
        <f>Mn!G578</f>
        <v>0</v>
      </c>
      <c r="Y576" s="272">
        <f>Fe!G578</f>
        <v>0</v>
      </c>
      <c r="Z576" s="274">
        <f>M.O!H578</f>
        <v>0</v>
      </c>
      <c r="AA576" s="272" t="e">
        <f t="shared" si="62"/>
        <v>#DIV/0!</v>
      </c>
      <c r="AB576" s="272" t="e">
        <f t="shared" si="63"/>
        <v>#DIV/0!</v>
      </c>
      <c r="AC576" s="272" t="e">
        <f t="shared" si="64"/>
        <v>#DIV/0!</v>
      </c>
    </row>
    <row r="577" spans="1:29" x14ac:dyDescent="0.2">
      <c r="A577" s="106">
        <f>Cadastro!A581</f>
        <v>0</v>
      </c>
      <c r="B577" s="27">
        <f>Cadastro!E579</f>
        <v>0</v>
      </c>
      <c r="C577">
        <f>pH_água!C577</f>
        <v>0</v>
      </c>
      <c r="D577">
        <f>pH_KCl!B578</f>
        <v>0</v>
      </c>
      <c r="E577">
        <f>'pH CaCl2'!C577</f>
        <v>0</v>
      </c>
      <c r="F577" s="104">
        <f>P_Mehlich1!H562</f>
        <v>0</v>
      </c>
      <c r="G577" s="123">
        <f>P_resina!H582</f>
        <v>0</v>
      </c>
      <c r="H577" s="272">
        <f>K!G547</f>
        <v>0</v>
      </c>
      <c r="I577" s="125">
        <v>0</v>
      </c>
      <c r="J577" s="272">
        <f>'Ca2+'!G578</f>
        <v>0</v>
      </c>
      <c r="K577" s="272">
        <f>Mg²!G580</f>
        <v>0</v>
      </c>
      <c r="L577" s="279">
        <f>Al³!C579</f>
        <v>0</v>
      </c>
      <c r="M577" s="279">
        <f>'H + Al'!D579</f>
        <v>0</v>
      </c>
      <c r="N577" s="272">
        <f t="shared" si="57"/>
        <v>0</v>
      </c>
      <c r="O577" s="272">
        <f t="shared" si="58"/>
        <v>0</v>
      </c>
      <c r="P577" s="272">
        <f t="shared" si="59"/>
        <v>0</v>
      </c>
      <c r="Q577" s="293" t="e">
        <f t="shared" si="60"/>
        <v>#DIV/0!</v>
      </c>
      <c r="R577" s="293" t="e">
        <f t="shared" si="61"/>
        <v>#DIV/0!</v>
      </c>
      <c r="S577">
        <f>Prem!H579</f>
        <v>0</v>
      </c>
      <c r="T577" s="281">
        <f>S!H583</f>
        <v>0</v>
      </c>
      <c r="U577" s="274">
        <f>B!H578</f>
        <v>0</v>
      </c>
      <c r="V577" s="272">
        <f>Zn!G579</f>
        <v>0</v>
      </c>
      <c r="W577" s="272">
        <f>Cu!G579</f>
        <v>0</v>
      </c>
      <c r="X577" s="272">
        <f>Mn!G579</f>
        <v>0</v>
      </c>
      <c r="Y577" s="272">
        <f>Fe!G579</f>
        <v>0</v>
      </c>
      <c r="Z577" s="274">
        <f>M.O!H579</f>
        <v>0</v>
      </c>
      <c r="AA577" s="272" t="e">
        <f t="shared" si="62"/>
        <v>#DIV/0!</v>
      </c>
      <c r="AB577" s="272" t="e">
        <f t="shared" si="63"/>
        <v>#DIV/0!</v>
      </c>
      <c r="AC577" s="272" t="e">
        <f t="shared" si="64"/>
        <v>#DIV/0!</v>
      </c>
    </row>
    <row r="578" spans="1:29" x14ac:dyDescent="0.2">
      <c r="A578" s="106">
        <f>Cadastro!A582</f>
        <v>0</v>
      </c>
      <c r="B578" s="27">
        <f>Cadastro!E580</f>
        <v>0</v>
      </c>
      <c r="C578">
        <f>pH_água!C578</f>
        <v>0</v>
      </c>
      <c r="D578">
        <f>pH_KCl!B579</f>
        <v>0</v>
      </c>
      <c r="E578">
        <f>'pH CaCl2'!C578</f>
        <v>0</v>
      </c>
      <c r="F578" s="104">
        <f>P_Mehlich1!H563</f>
        <v>0</v>
      </c>
      <c r="G578" s="123">
        <f>P_resina!H583</f>
        <v>0</v>
      </c>
      <c r="H578" s="272">
        <f>K!G548</f>
        <v>0</v>
      </c>
      <c r="I578" s="125">
        <v>0</v>
      </c>
      <c r="J578" s="272">
        <f>'Ca2+'!G579</f>
        <v>0</v>
      </c>
      <c r="K578" s="272">
        <f>Mg²!G581</f>
        <v>0</v>
      </c>
      <c r="L578" s="279">
        <f>Al³!C580</f>
        <v>0</v>
      </c>
      <c r="M578" s="279">
        <f>'H + Al'!D580</f>
        <v>0</v>
      </c>
      <c r="N578" s="272">
        <f t="shared" si="57"/>
        <v>0</v>
      </c>
      <c r="O578" s="272">
        <f t="shared" si="58"/>
        <v>0</v>
      </c>
      <c r="P578" s="272">
        <f t="shared" si="59"/>
        <v>0</v>
      </c>
      <c r="Q578" s="293" t="e">
        <f t="shared" si="60"/>
        <v>#DIV/0!</v>
      </c>
      <c r="R578" s="293" t="e">
        <f t="shared" si="61"/>
        <v>#DIV/0!</v>
      </c>
      <c r="S578">
        <f>Prem!H580</f>
        <v>0</v>
      </c>
      <c r="T578" s="281">
        <f>S!H584</f>
        <v>0</v>
      </c>
      <c r="U578" s="274">
        <f>B!H579</f>
        <v>0</v>
      </c>
      <c r="V578" s="272">
        <f>Zn!G580</f>
        <v>0</v>
      </c>
      <c r="W578" s="272">
        <f>Cu!G580</f>
        <v>0</v>
      </c>
      <c r="X578" s="272">
        <f>Mn!G580</f>
        <v>0</v>
      </c>
      <c r="Y578" s="272">
        <f>Fe!G580</f>
        <v>0</v>
      </c>
      <c r="Z578" s="274">
        <f>M.O!H580</f>
        <v>0</v>
      </c>
      <c r="AA578" s="272" t="e">
        <f t="shared" si="62"/>
        <v>#DIV/0!</v>
      </c>
      <c r="AB578" s="272" t="e">
        <f t="shared" si="63"/>
        <v>#DIV/0!</v>
      </c>
      <c r="AC578" s="272" t="e">
        <f t="shared" si="64"/>
        <v>#DIV/0!</v>
      </c>
    </row>
    <row r="579" spans="1:29" x14ac:dyDescent="0.2">
      <c r="A579" s="106">
        <f>Cadastro!A583</f>
        <v>0</v>
      </c>
      <c r="B579" s="27">
        <f>Cadastro!E581</f>
        <v>0</v>
      </c>
      <c r="C579">
        <f>pH_água!C579</f>
        <v>0</v>
      </c>
      <c r="D579">
        <f>pH_KCl!B580</f>
        <v>0</v>
      </c>
      <c r="E579">
        <f>'pH CaCl2'!C579</f>
        <v>0</v>
      </c>
      <c r="F579" s="104">
        <f>P_Mehlich1!H564</f>
        <v>0</v>
      </c>
      <c r="G579" s="123">
        <f>P_resina!H584</f>
        <v>0</v>
      </c>
      <c r="H579" s="272">
        <f>K!G549</f>
        <v>0</v>
      </c>
      <c r="I579" s="125">
        <v>0</v>
      </c>
      <c r="J579" s="272">
        <f>'Ca2+'!G580</f>
        <v>0</v>
      </c>
      <c r="K579" s="272">
        <f>Mg²!G582</f>
        <v>0</v>
      </c>
      <c r="L579" s="279">
        <f>Al³!C581</f>
        <v>0</v>
      </c>
      <c r="M579" s="279">
        <f>'H + Al'!D581</f>
        <v>0</v>
      </c>
      <c r="N579" s="272">
        <f t="shared" si="57"/>
        <v>0</v>
      </c>
      <c r="O579" s="272">
        <f t="shared" si="58"/>
        <v>0</v>
      </c>
      <c r="P579" s="272">
        <f t="shared" si="59"/>
        <v>0</v>
      </c>
      <c r="Q579" s="293" t="e">
        <f t="shared" si="60"/>
        <v>#DIV/0!</v>
      </c>
      <c r="R579" s="293" t="e">
        <f t="shared" si="61"/>
        <v>#DIV/0!</v>
      </c>
      <c r="S579">
        <f>Prem!H581</f>
        <v>0</v>
      </c>
      <c r="T579" s="281">
        <f>S!H585</f>
        <v>0</v>
      </c>
      <c r="U579" s="274">
        <f>B!H580</f>
        <v>0</v>
      </c>
      <c r="V579" s="272">
        <f>Zn!G581</f>
        <v>0</v>
      </c>
      <c r="W579" s="272">
        <f>Cu!G581</f>
        <v>0</v>
      </c>
      <c r="X579" s="272">
        <f>Mn!G581</f>
        <v>0</v>
      </c>
      <c r="Y579" s="272">
        <f>Fe!G581</f>
        <v>0</v>
      </c>
      <c r="Z579" s="274">
        <f>M.O!H581</f>
        <v>0</v>
      </c>
      <c r="AA579" s="272" t="e">
        <f t="shared" si="62"/>
        <v>#DIV/0!</v>
      </c>
      <c r="AB579" s="272" t="e">
        <f t="shared" si="63"/>
        <v>#DIV/0!</v>
      </c>
      <c r="AC579" s="272" t="e">
        <f t="shared" si="64"/>
        <v>#DIV/0!</v>
      </c>
    </row>
    <row r="580" spans="1:29" x14ac:dyDescent="0.2">
      <c r="A580" s="106">
        <f>Cadastro!A584</f>
        <v>0</v>
      </c>
      <c r="B580" s="27">
        <f>Cadastro!E582</f>
        <v>0</v>
      </c>
      <c r="C580">
        <f>pH_água!C580</f>
        <v>0</v>
      </c>
      <c r="D580">
        <f>pH_KCl!B581</f>
        <v>0</v>
      </c>
      <c r="E580">
        <f>'pH CaCl2'!C580</f>
        <v>0</v>
      </c>
      <c r="F580" s="104">
        <f>P_Mehlich1!H565</f>
        <v>0</v>
      </c>
      <c r="G580" s="123">
        <f>P_resina!H585</f>
        <v>0</v>
      </c>
      <c r="H580" s="272">
        <f>K!G550</f>
        <v>0</v>
      </c>
      <c r="I580" s="125">
        <v>0</v>
      </c>
      <c r="J580" s="272">
        <f>'Ca2+'!G581</f>
        <v>0</v>
      </c>
      <c r="K580" s="272">
        <f>Mg²!G583</f>
        <v>0</v>
      </c>
      <c r="L580" s="279">
        <f>Al³!C582</f>
        <v>0</v>
      </c>
      <c r="M580" s="279">
        <f>'H + Al'!D582</f>
        <v>0</v>
      </c>
      <c r="N580" s="272">
        <f t="shared" si="57"/>
        <v>0</v>
      </c>
      <c r="O580" s="272">
        <f t="shared" si="58"/>
        <v>0</v>
      </c>
      <c r="P580" s="272">
        <f t="shared" si="59"/>
        <v>0</v>
      </c>
      <c r="Q580" s="293" t="e">
        <f t="shared" si="60"/>
        <v>#DIV/0!</v>
      </c>
      <c r="R580" s="293" t="e">
        <f t="shared" si="61"/>
        <v>#DIV/0!</v>
      </c>
      <c r="S580">
        <f>Prem!H582</f>
        <v>0</v>
      </c>
      <c r="T580" s="281">
        <f>S!H586</f>
        <v>0</v>
      </c>
      <c r="U580" s="274">
        <f>B!H581</f>
        <v>0</v>
      </c>
      <c r="V580" s="272">
        <f>Zn!G582</f>
        <v>0</v>
      </c>
      <c r="W580" s="272">
        <f>Cu!G582</f>
        <v>0</v>
      </c>
      <c r="X580" s="272">
        <f>Mn!G582</f>
        <v>0</v>
      </c>
      <c r="Y580" s="272">
        <f>Fe!G582</f>
        <v>0</v>
      </c>
      <c r="Z580" s="274">
        <f>M.O!H582</f>
        <v>0</v>
      </c>
      <c r="AA580" s="272" t="e">
        <f t="shared" si="62"/>
        <v>#DIV/0!</v>
      </c>
      <c r="AB580" s="272" t="e">
        <f t="shared" si="63"/>
        <v>#DIV/0!</v>
      </c>
      <c r="AC580" s="272" t="e">
        <f t="shared" si="64"/>
        <v>#DIV/0!</v>
      </c>
    </row>
    <row r="581" spans="1:29" x14ac:dyDescent="0.2">
      <c r="A581" s="106">
        <f>Cadastro!A585</f>
        <v>0</v>
      </c>
      <c r="B581" s="27">
        <f>Cadastro!E583</f>
        <v>0</v>
      </c>
      <c r="C581">
        <f>pH_água!C581</f>
        <v>0</v>
      </c>
      <c r="D581">
        <f>pH_KCl!B582</f>
        <v>0</v>
      </c>
      <c r="E581">
        <f>'pH CaCl2'!C581</f>
        <v>0</v>
      </c>
      <c r="F581" s="104">
        <f>P_Mehlich1!H566</f>
        <v>0</v>
      </c>
      <c r="G581" s="123">
        <f>P_resina!H586</f>
        <v>0</v>
      </c>
      <c r="H581" s="272">
        <f>K!G551</f>
        <v>0</v>
      </c>
      <c r="I581" s="125">
        <v>0</v>
      </c>
      <c r="J581" s="272">
        <f>'Ca2+'!G582</f>
        <v>0</v>
      </c>
      <c r="K581" s="272">
        <f>Mg²!G584</f>
        <v>0</v>
      </c>
      <c r="L581" s="279">
        <f>Al³!C583</f>
        <v>0</v>
      </c>
      <c r="M581" s="279">
        <f>'H + Al'!D583</f>
        <v>0</v>
      </c>
      <c r="N581" s="272">
        <f t="shared" si="57"/>
        <v>0</v>
      </c>
      <c r="O581" s="272">
        <f t="shared" si="58"/>
        <v>0</v>
      </c>
      <c r="P581" s="272">
        <f t="shared" si="59"/>
        <v>0</v>
      </c>
      <c r="Q581" s="293" t="e">
        <f t="shared" si="60"/>
        <v>#DIV/0!</v>
      </c>
      <c r="R581" s="293" t="e">
        <f t="shared" si="61"/>
        <v>#DIV/0!</v>
      </c>
      <c r="S581">
        <f>Prem!H583</f>
        <v>0</v>
      </c>
      <c r="T581" s="281">
        <f>S!H587</f>
        <v>0</v>
      </c>
      <c r="U581" s="274">
        <f>B!H582</f>
        <v>0</v>
      </c>
      <c r="V581" s="272">
        <f>Zn!G583</f>
        <v>0</v>
      </c>
      <c r="W581" s="272">
        <f>Cu!G583</f>
        <v>0</v>
      </c>
      <c r="X581" s="272">
        <f>Mn!G583</f>
        <v>0</v>
      </c>
      <c r="Y581" s="272">
        <f>Fe!G583</f>
        <v>0</v>
      </c>
      <c r="Z581" s="274">
        <f>M.O!H583</f>
        <v>0</v>
      </c>
      <c r="AA581" s="272" t="e">
        <f t="shared" si="62"/>
        <v>#DIV/0!</v>
      </c>
      <c r="AB581" s="272" t="e">
        <f t="shared" si="63"/>
        <v>#DIV/0!</v>
      </c>
      <c r="AC581" s="272" t="e">
        <f t="shared" si="64"/>
        <v>#DIV/0!</v>
      </c>
    </row>
    <row r="582" spans="1:29" x14ac:dyDescent="0.2">
      <c r="A582" s="106">
        <f>Cadastro!A586</f>
        <v>0</v>
      </c>
      <c r="B582" s="27">
        <f>Cadastro!E584</f>
        <v>0</v>
      </c>
      <c r="C582">
        <f>pH_água!C582</f>
        <v>0</v>
      </c>
      <c r="D582">
        <f>pH_KCl!B583</f>
        <v>0</v>
      </c>
      <c r="E582">
        <f>'pH CaCl2'!C582</f>
        <v>0</v>
      </c>
      <c r="F582" s="104">
        <f>P_Mehlich1!H567</f>
        <v>0</v>
      </c>
      <c r="G582" s="123">
        <f>P_resina!H587</f>
        <v>0</v>
      </c>
      <c r="H582" s="272">
        <f>K!G552</f>
        <v>0</v>
      </c>
      <c r="I582" s="125">
        <v>0</v>
      </c>
      <c r="J582" s="272">
        <f>'Ca2+'!G583</f>
        <v>0</v>
      </c>
      <c r="K582" s="272">
        <f>Mg²!G585</f>
        <v>0</v>
      </c>
      <c r="L582" s="279">
        <f>Al³!C584</f>
        <v>0</v>
      </c>
      <c r="M582" s="279">
        <f>'H + Al'!D584</f>
        <v>0</v>
      </c>
      <c r="N582" s="272">
        <f t="shared" si="57"/>
        <v>0</v>
      </c>
      <c r="O582" s="272">
        <f t="shared" si="58"/>
        <v>0</v>
      </c>
      <c r="P582" s="272">
        <f t="shared" si="59"/>
        <v>0</v>
      </c>
      <c r="Q582" s="293" t="e">
        <f t="shared" si="60"/>
        <v>#DIV/0!</v>
      </c>
      <c r="R582" s="293" t="e">
        <f t="shared" si="61"/>
        <v>#DIV/0!</v>
      </c>
      <c r="S582">
        <f>Prem!H584</f>
        <v>0</v>
      </c>
      <c r="T582" s="281">
        <f>S!H588</f>
        <v>0</v>
      </c>
      <c r="U582" s="274">
        <f>B!H583</f>
        <v>0</v>
      </c>
      <c r="V582" s="272">
        <f>Zn!G584</f>
        <v>0</v>
      </c>
      <c r="W582" s="272">
        <f>Cu!G584</f>
        <v>0</v>
      </c>
      <c r="X582" s="272">
        <f>Mn!G584</f>
        <v>0</v>
      </c>
      <c r="Y582" s="272">
        <f>Fe!G584</f>
        <v>0</v>
      </c>
      <c r="Z582" s="274">
        <f>M.O!H584</f>
        <v>0</v>
      </c>
      <c r="AA582" s="272" t="e">
        <f t="shared" si="62"/>
        <v>#DIV/0!</v>
      </c>
      <c r="AB582" s="272" t="e">
        <f t="shared" si="63"/>
        <v>#DIV/0!</v>
      </c>
      <c r="AC582" s="272" t="e">
        <f t="shared" si="64"/>
        <v>#DIV/0!</v>
      </c>
    </row>
    <row r="583" spans="1:29" x14ac:dyDescent="0.2">
      <c r="A583" s="106">
        <f>Cadastro!A587</f>
        <v>0</v>
      </c>
      <c r="B583" s="27">
        <f>Cadastro!E585</f>
        <v>0</v>
      </c>
      <c r="C583">
        <f>pH_água!C583</f>
        <v>0</v>
      </c>
      <c r="D583">
        <f>pH_KCl!B584</f>
        <v>0</v>
      </c>
      <c r="E583">
        <f>'pH CaCl2'!C583</f>
        <v>0</v>
      </c>
      <c r="F583" s="104">
        <f>P_Mehlich1!H568</f>
        <v>0</v>
      </c>
      <c r="G583" s="123">
        <f>P_resina!H588</f>
        <v>0</v>
      </c>
      <c r="H583" s="272">
        <f>K!G553</f>
        <v>0</v>
      </c>
      <c r="I583" s="125">
        <v>0</v>
      </c>
      <c r="J583" s="272">
        <f>'Ca2+'!G584</f>
        <v>0</v>
      </c>
      <c r="K583" s="272">
        <f>Mg²!G586</f>
        <v>0</v>
      </c>
      <c r="L583" s="279">
        <f>Al³!C585</f>
        <v>0</v>
      </c>
      <c r="M583" s="279">
        <f>'H + Al'!D585</f>
        <v>0</v>
      </c>
      <c r="N583" s="272">
        <f t="shared" si="57"/>
        <v>0</v>
      </c>
      <c r="O583" s="272">
        <f t="shared" si="58"/>
        <v>0</v>
      </c>
      <c r="P583" s="272">
        <f t="shared" si="59"/>
        <v>0</v>
      </c>
      <c r="Q583" s="293" t="e">
        <f t="shared" si="60"/>
        <v>#DIV/0!</v>
      </c>
      <c r="R583" s="293" t="e">
        <f t="shared" si="61"/>
        <v>#DIV/0!</v>
      </c>
      <c r="S583">
        <f>Prem!H585</f>
        <v>0</v>
      </c>
      <c r="T583" s="281">
        <f>S!H589</f>
        <v>0</v>
      </c>
      <c r="U583" s="274">
        <f>B!H584</f>
        <v>0</v>
      </c>
      <c r="V583" s="272">
        <f>Zn!G585</f>
        <v>0</v>
      </c>
      <c r="W583" s="272">
        <f>Cu!G585</f>
        <v>0</v>
      </c>
      <c r="X583" s="272">
        <f>Mn!G585</f>
        <v>0</v>
      </c>
      <c r="Y583" s="272">
        <f>Fe!G585</f>
        <v>0</v>
      </c>
      <c r="Z583" s="274">
        <f>M.O!H585</f>
        <v>0</v>
      </c>
      <c r="AA583" s="272" t="e">
        <f t="shared" si="62"/>
        <v>#DIV/0!</v>
      </c>
      <c r="AB583" s="272" t="e">
        <f t="shared" si="63"/>
        <v>#DIV/0!</v>
      </c>
      <c r="AC583" s="272" t="e">
        <f t="shared" si="64"/>
        <v>#DIV/0!</v>
      </c>
    </row>
    <row r="584" spans="1:29" x14ac:dyDescent="0.2">
      <c r="A584" s="106">
        <f>Cadastro!A588</f>
        <v>0</v>
      </c>
      <c r="B584" s="27">
        <f>Cadastro!E586</f>
        <v>0</v>
      </c>
      <c r="C584">
        <f>pH_água!C584</f>
        <v>0</v>
      </c>
      <c r="D584">
        <f>pH_KCl!B585</f>
        <v>0</v>
      </c>
      <c r="E584">
        <f>'pH CaCl2'!C584</f>
        <v>0</v>
      </c>
      <c r="F584" s="104">
        <f>P_Mehlich1!H569</f>
        <v>0</v>
      </c>
      <c r="G584" s="123">
        <f>P_resina!H589</f>
        <v>0</v>
      </c>
      <c r="H584" s="272">
        <f>K!G554</f>
        <v>0</v>
      </c>
      <c r="I584" s="125">
        <v>0</v>
      </c>
      <c r="J584" s="272">
        <f>'Ca2+'!G585</f>
        <v>0</v>
      </c>
      <c r="K584" s="272">
        <f>Mg²!G587</f>
        <v>0</v>
      </c>
      <c r="L584" s="279">
        <f>Al³!C586</f>
        <v>0</v>
      </c>
      <c r="M584" s="279">
        <f>'H + Al'!D586</f>
        <v>0</v>
      </c>
      <c r="N584" s="272">
        <f t="shared" si="57"/>
        <v>0</v>
      </c>
      <c r="O584" s="272">
        <f t="shared" si="58"/>
        <v>0</v>
      </c>
      <c r="P584" s="272">
        <f t="shared" si="59"/>
        <v>0</v>
      </c>
      <c r="Q584" s="293" t="e">
        <f t="shared" si="60"/>
        <v>#DIV/0!</v>
      </c>
      <c r="R584" s="293" t="e">
        <f t="shared" si="61"/>
        <v>#DIV/0!</v>
      </c>
      <c r="S584">
        <f>Prem!H586</f>
        <v>0</v>
      </c>
      <c r="T584" s="281">
        <f>S!H590</f>
        <v>0</v>
      </c>
      <c r="U584" s="274">
        <f>B!H585</f>
        <v>0</v>
      </c>
      <c r="V584" s="272">
        <f>Zn!G586</f>
        <v>0</v>
      </c>
      <c r="W584" s="272">
        <f>Cu!G586</f>
        <v>0</v>
      </c>
      <c r="X584" s="272">
        <f>Mn!G586</f>
        <v>0</v>
      </c>
      <c r="Y584" s="272">
        <f>Fe!G586</f>
        <v>0</v>
      </c>
      <c r="Z584" s="274">
        <f>M.O!H586</f>
        <v>0</v>
      </c>
      <c r="AA584" s="272" t="e">
        <f t="shared" si="62"/>
        <v>#DIV/0!</v>
      </c>
      <c r="AB584" s="272" t="e">
        <f t="shared" si="63"/>
        <v>#DIV/0!</v>
      </c>
      <c r="AC584" s="272" t="e">
        <f t="shared" si="64"/>
        <v>#DIV/0!</v>
      </c>
    </row>
    <row r="585" spans="1:29" x14ac:dyDescent="0.2">
      <c r="A585" s="106">
        <f>Cadastro!A589</f>
        <v>0</v>
      </c>
      <c r="B585" s="27">
        <f>Cadastro!E587</f>
        <v>0</v>
      </c>
      <c r="C585">
        <f>pH_água!C585</f>
        <v>0</v>
      </c>
      <c r="D585">
        <f>pH_KCl!B586</f>
        <v>0</v>
      </c>
      <c r="E585">
        <f>'pH CaCl2'!C585</f>
        <v>0</v>
      </c>
      <c r="F585" s="104">
        <f>P_Mehlich1!H570</f>
        <v>0</v>
      </c>
      <c r="G585" s="123">
        <f>P_resina!H590</f>
        <v>0</v>
      </c>
      <c r="H585" s="272">
        <f>K!G555</f>
        <v>0</v>
      </c>
      <c r="I585" s="125">
        <v>0</v>
      </c>
      <c r="J585" s="272">
        <f>'Ca2+'!G586</f>
        <v>0</v>
      </c>
      <c r="K585" s="272">
        <f>Mg²!G588</f>
        <v>0</v>
      </c>
      <c r="L585" s="279">
        <f>Al³!C587</f>
        <v>0</v>
      </c>
      <c r="M585" s="279">
        <f>'H + Al'!D587</f>
        <v>0</v>
      </c>
      <c r="N585" s="272">
        <f t="shared" si="57"/>
        <v>0</v>
      </c>
      <c r="O585" s="272">
        <f t="shared" si="58"/>
        <v>0</v>
      </c>
      <c r="P585" s="272">
        <f t="shared" si="59"/>
        <v>0</v>
      </c>
      <c r="Q585" s="293" t="e">
        <f t="shared" si="60"/>
        <v>#DIV/0!</v>
      </c>
      <c r="R585" s="293" t="e">
        <f t="shared" si="61"/>
        <v>#DIV/0!</v>
      </c>
      <c r="S585">
        <f>Prem!H587</f>
        <v>0</v>
      </c>
      <c r="T585" s="281">
        <f>S!H591</f>
        <v>0</v>
      </c>
      <c r="U585" s="274">
        <f>B!H586</f>
        <v>0</v>
      </c>
      <c r="V585" s="272">
        <f>Zn!G587</f>
        <v>0</v>
      </c>
      <c r="W585" s="272">
        <f>Cu!G587</f>
        <v>0</v>
      </c>
      <c r="X585" s="272">
        <f>Mn!G587</f>
        <v>0</v>
      </c>
      <c r="Y585" s="272">
        <f>Fe!G587</f>
        <v>0</v>
      </c>
      <c r="Z585" s="274">
        <f>M.O!H587</f>
        <v>0</v>
      </c>
      <c r="AA585" s="272" t="e">
        <f t="shared" si="62"/>
        <v>#DIV/0!</v>
      </c>
      <c r="AB585" s="272" t="e">
        <f t="shared" si="63"/>
        <v>#DIV/0!</v>
      </c>
      <c r="AC585" s="272" t="e">
        <f t="shared" si="64"/>
        <v>#DIV/0!</v>
      </c>
    </row>
    <row r="586" spans="1:29" x14ac:dyDescent="0.2">
      <c r="A586" s="106">
        <f>Cadastro!A590</f>
        <v>0</v>
      </c>
      <c r="B586" s="27">
        <f>Cadastro!E588</f>
        <v>0</v>
      </c>
      <c r="C586">
        <f>pH_água!C586</f>
        <v>0</v>
      </c>
      <c r="D586">
        <f>pH_KCl!B587</f>
        <v>0</v>
      </c>
      <c r="E586">
        <f>'pH CaCl2'!C586</f>
        <v>0</v>
      </c>
      <c r="F586" s="104">
        <f>P_Mehlich1!H571</f>
        <v>0</v>
      </c>
      <c r="G586" s="123">
        <f>P_resina!H591</f>
        <v>0</v>
      </c>
      <c r="H586" s="272">
        <f>K!G556</f>
        <v>0</v>
      </c>
      <c r="I586" s="125">
        <v>0</v>
      </c>
      <c r="J586" s="272">
        <f>'Ca2+'!G587</f>
        <v>0</v>
      </c>
      <c r="K586" s="272">
        <f>Mg²!G589</f>
        <v>0</v>
      </c>
      <c r="L586" s="279">
        <f>Al³!C588</f>
        <v>0</v>
      </c>
      <c r="M586" s="279">
        <f>'H + Al'!D588</f>
        <v>0</v>
      </c>
      <c r="N586" s="272">
        <f t="shared" si="57"/>
        <v>0</v>
      </c>
      <c r="O586" s="272">
        <f t="shared" si="58"/>
        <v>0</v>
      </c>
      <c r="P586" s="272">
        <f t="shared" si="59"/>
        <v>0</v>
      </c>
      <c r="Q586" s="293" t="e">
        <f t="shared" si="60"/>
        <v>#DIV/0!</v>
      </c>
      <c r="R586" s="293" t="e">
        <f t="shared" si="61"/>
        <v>#DIV/0!</v>
      </c>
      <c r="S586">
        <f>Prem!H588</f>
        <v>0</v>
      </c>
      <c r="T586" s="281">
        <f>S!H592</f>
        <v>0</v>
      </c>
      <c r="U586" s="274">
        <f>B!H587</f>
        <v>0</v>
      </c>
      <c r="V586" s="272">
        <f>Zn!G588</f>
        <v>0</v>
      </c>
      <c r="W586" s="272">
        <f>Cu!G588</f>
        <v>0</v>
      </c>
      <c r="X586" s="272">
        <f>Mn!G588</f>
        <v>0</v>
      </c>
      <c r="Y586" s="272">
        <f>Fe!G588</f>
        <v>0</v>
      </c>
      <c r="Z586" s="274">
        <f>M.O!H588</f>
        <v>0</v>
      </c>
      <c r="AA586" s="272" t="e">
        <f t="shared" si="62"/>
        <v>#DIV/0!</v>
      </c>
      <c r="AB586" s="272" t="e">
        <f t="shared" si="63"/>
        <v>#DIV/0!</v>
      </c>
      <c r="AC586" s="272" t="e">
        <f t="shared" si="64"/>
        <v>#DIV/0!</v>
      </c>
    </row>
    <row r="587" spans="1:29" x14ac:dyDescent="0.2">
      <c r="A587" s="106">
        <f>Cadastro!A591</f>
        <v>0</v>
      </c>
      <c r="B587" s="27">
        <f>Cadastro!E589</f>
        <v>0</v>
      </c>
      <c r="C587">
        <f>pH_água!C587</f>
        <v>0</v>
      </c>
      <c r="D587">
        <f>pH_KCl!B588</f>
        <v>0</v>
      </c>
      <c r="E587">
        <f>'pH CaCl2'!C587</f>
        <v>0</v>
      </c>
      <c r="F587" s="104">
        <f>P_Mehlich1!H572</f>
        <v>0</v>
      </c>
      <c r="G587" s="123">
        <f>P_resina!H592</f>
        <v>0</v>
      </c>
      <c r="H587" s="272">
        <f>K!G557</f>
        <v>0</v>
      </c>
      <c r="I587" s="125">
        <v>0</v>
      </c>
      <c r="J587" s="272">
        <f>'Ca2+'!G588</f>
        <v>0</v>
      </c>
      <c r="K587" s="272">
        <f>Mg²!G590</f>
        <v>0</v>
      </c>
      <c r="L587" s="279">
        <f>Al³!C589</f>
        <v>0</v>
      </c>
      <c r="M587" s="279">
        <f>'H + Al'!D589</f>
        <v>0</v>
      </c>
      <c r="N587" s="272">
        <f t="shared" si="57"/>
        <v>0</v>
      </c>
      <c r="O587" s="272">
        <f t="shared" si="58"/>
        <v>0</v>
      </c>
      <c r="P587" s="272">
        <f t="shared" si="59"/>
        <v>0</v>
      </c>
      <c r="Q587" s="293" t="e">
        <f t="shared" si="60"/>
        <v>#DIV/0!</v>
      </c>
      <c r="R587" s="293" t="e">
        <f t="shared" si="61"/>
        <v>#DIV/0!</v>
      </c>
      <c r="S587">
        <f>Prem!H589</f>
        <v>0</v>
      </c>
      <c r="T587" s="281">
        <f>S!H593</f>
        <v>0</v>
      </c>
      <c r="U587" s="274">
        <f>B!H588</f>
        <v>0</v>
      </c>
      <c r="V587" s="272">
        <f>Zn!G589</f>
        <v>0</v>
      </c>
      <c r="W587" s="272">
        <f>Cu!G589</f>
        <v>0</v>
      </c>
      <c r="X587" s="272">
        <f>Mn!G589</f>
        <v>0</v>
      </c>
      <c r="Y587" s="272">
        <f>Fe!G589</f>
        <v>0</v>
      </c>
      <c r="Z587" s="274">
        <f>M.O!H589</f>
        <v>0</v>
      </c>
      <c r="AA587" s="272" t="e">
        <f t="shared" si="62"/>
        <v>#DIV/0!</v>
      </c>
      <c r="AB587" s="272" t="e">
        <f t="shared" si="63"/>
        <v>#DIV/0!</v>
      </c>
      <c r="AC587" s="272" t="e">
        <f t="shared" si="64"/>
        <v>#DIV/0!</v>
      </c>
    </row>
    <row r="588" spans="1:29" x14ac:dyDescent="0.2">
      <c r="A588" s="106">
        <f>Cadastro!A592</f>
        <v>0</v>
      </c>
      <c r="B588" s="27">
        <f>Cadastro!E590</f>
        <v>0</v>
      </c>
      <c r="C588">
        <f>pH_água!C588</f>
        <v>0</v>
      </c>
      <c r="D588">
        <f>pH_KCl!B589</f>
        <v>0</v>
      </c>
      <c r="E588">
        <f>'pH CaCl2'!C588</f>
        <v>0</v>
      </c>
      <c r="F588" s="104">
        <f>P_Mehlich1!H573</f>
        <v>0</v>
      </c>
      <c r="G588" s="123">
        <f>P_resina!H593</f>
        <v>0</v>
      </c>
      <c r="H588" s="272">
        <f>K!G558</f>
        <v>0</v>
      </c>
      <c r="I588" s="125">
        <v>0</v>
      </c>
      <c r="J588" s="272">
        <f>'Ca2+'!G589</f>
        <v>0</v>
      </c>
      <c r="K588" s="272">
        <f>Mg²!G591</f>
        <v>0</v>
      </c>
      <c r="L588" s="279">
        <f>Al³!C590</f>
        <v>0</v>
      </c>
      <c r="M588" s="279">
        <f>'H + Al'!D590</f>
        <v>0</v>
      </c>
      <c r="N588" s="272">
        <f t="shared" si="57"/>
        <v>0</v>
      </c>
      <c r="O588" s="272">
        <f t="shared" si="58"/>
        <v>0</v>
      </c>
      <c r="P588" s="272">
        <f t="shared" si="59"/>
        <v>0</v>
      </c>
      <c r="Q588" s="293" t="e">
        <f t="shared" si="60"/>
        <v>#DIV/0!</v>
      </c>
      <c r="R588" s="293" t="e">
        <f t="shared" si="61"/>
        <v>#DIV/0!</v>
      </c>
      <c r="S588">
        <f>Prem!H590</f>
        <v>0</v>
      </c>
      <c r="T588" s="281">
        <f>S!H594</f>
        <v>0</v>
      </c>
      <c r="U588" s="274">
        <f>B!H589</f>
        <v>0</v>
      </c>
      <c r="V588" s="272">
        <f>Zn!G590</f>
        <v>0</v>
      </c>
      <c r="W588" s="272">
        <f>Cu!G590</f>
        <v>0</v>
      </c>
      <c r="X588" s="272">
        <f>Mn!G590</f>
        <v>0</v>
      </c>
      <c r="Y588" s="272">
        <f>Fe!G590</f>
        <v>0</v>
      </c>
      <c r="Z588" s="274">
        <f>M.O!H590</f>
        <v>0</v>
      </c>
      <c r="AA588" s="272" t="e">
        <f t="shared" si="62"/>
        <v>#DIV/0!</v>
      </c>
      <c r="AB588" s="272" t="e">
        <f t="shared" si="63"/>
        <v>#DIV/0!</v>
      </c>
      <c r="AC588" s="272" t="e">
        <f t="shared" si="64"/>
        <v>#DIV/0!</v>
      </c>
    </row>
    <row r="589" spans="1:29" x14ac:dyDescent="0.2">
      <c r="A589" s="106">
        <f>Cadastro!A593</f>
        <v>0</v>
      </c>
      <c r="B589" s="27">
        <f>Cadastro!E591</f>
        <v>0</v>
      </c>
      <c r="C589">
        <f>pH_água!C589</f>
        <v>0</v>
      </c>
      <c r="D589">
        <f>pH_KCl!B590</f>
        <v>0</v>
      </c>
      <c r="E589">
        <f>'pH CaCl2'!C589</f>
        <v>0</v>
      </c>
      <c r="F589" s="104">
        <f>P_Mehlich1!H574</f>
        <v>0</v>
      </c>
      <c r="G589" s="123">
        <f>P_resina!H594</f>
        <v>0</v>
      </c>
      <c r="H589" s="272">
        <f>K!G559</f>
        <v>0</v>
      </c>
      <c r="I589" s="125">
        <v>0</v>
      </c>
      <c r="J589" s="272">
        <f>'Ca2+'!G590</f>
        <v>0</v>
      </c>
      <c r="K589" s="272">
        <f>Mg²!G592</f>
        <v>0</v>
      </c>
      <c r="L589" s="279">
        <f>Al³!C591</f>
        <v>0</v>
      </c>
      <c r="M589" s="279">
        <f>'H + Al'!D591</f>
        <v>0</v>
      </c>
      <c r="N589" s="272">
        <f t="shared" si="57"/>
        <v>0</v>
      </c>
      <c r="O589" s="272">
        <f t="shared" si="58"/>
        <v>0</v>
      </c>
      <c r="P589" s="272">
        <f t="shared" si="59"/>
        <v>0</v>
      </c>
      <c r="Q589" s="293" t="e">
        <f t="shared" si="60"/>
        <v>#DIV/0!</v>
      </c>
      <c r="R589" s="293" t="e">
        <f t="shared" si="61"/>
        <v>#DIV/0!</v>
      </c>
      <c r="S589">
        <f>Prem!H591</f>
        <v>0</v>
      </c>
      <c r="T589" s="281">
        <f>S!H595</f>
        <v>0</v>
      </c>
      <c r="U589" s="274">
        <f>B!H590</f>
        <v>0</v>
      </c>
      <c r="V589" s="272">
        <f>Zn!G591</f>
        <v>0</v>
      </c>
      <c r="W589" s="272">
        <f>Cu!G591</f>
        <v>0</v>
      </c>
      <c r="X589" s="272">
        <f>Mn!G591</f>
        <v>0</v>
      </c>
      <c r="Y589" s="272">
        <f>Fe!G591</f>
        <v>0</v>
      </c>
      <c r="Z589" s="274">
        <f>M.O!H591</f>
        <v>0</v>
      </c>
      <c r="AA589" s="272" t="e">
        <f t="shared" si="62"/>
        <v>#DIV/0!</v>
      </c>
      <c r="AB589" s="272" t="e">
        <f t="shared" si="63"/>
        <v>#DIV/0!</v>
      </c>
      <c r="AC589" s="272" t="e">
        <f t="shared" si="64"/>
        <v>#DIV/0!</v>
      </c>
    </row>
    <row r="590" spans="1:29" x14ac:dyDescent="0.2">
      <c r="A590" s="106">
        <f>Cadastro!A594</f>
        <v>0</v>
      </c>
      <c r="B590" s="27">
        <f>Cadastro!E592</f>
        <v>0</v>
      </c>
      <c r="C590">
        <f>pH_água!C590</f>
        <v>0</v>
      </c>
      <c r="D590">
        <f>pH_KCl!B591</f>
        <v>0</v>
      </c>
      <c r="E590">
        <f>'pH CaCl2'!C590</f>
        <v>0</v>
      </c>
      <c r="F590" s="104">
        <f>P_Mehlich1!H575</f>
        <v>0</v>
      </c>
      <c r="G590" s="123">
        <f>P_resina!H595</f>
        <v>0</v>
      </c>
      <c r="H590" s="272">
        <f>K!G560</f>
        <v>0</v>
      </c>
      <c r="I590" s="125">
        <v>0</v>
      </c>
      <c r="J590" s="272">
        <f>'Ca2+'!G591</f>
        <v>0</v>
      </c>
      <c r="K590" s="272">
        <f>Mg²!G593</f>
        <v>0</v>
      </c>
      <c r="L590" s="279">
        <f>Al³!C592</f>
        <v>0</v>
      </c>
      <c r="M590" s="279">
        <f>'H + Al'!D592</f>
        <v>0</v>
      </c>
      <c r="N590" s="272">
        <f t="shared" si="57"/>
        <v>0</v>
      </c>
      <c r="O590" s="272">
        <f t="shared" si="58"/>
        <v>0</v>
      </c>
      <c r="P590" s="272">
        <f t="shared" si="59"/>
        <v>0</v>
      </c>
      <c r="Q590" s="293" t="e">
        <f t="shared" si="60"/>
        <v>#DIV/0!</v>
      </c>
      <c r="R590" s="293" t="e">
        <f t="shared" si="61"/>
        <v>#DIV/0!</v>
      </c>
      <c r="S590">
        <f>Prem!H592</f>
        <v>0</v>
      </c>
      <c r="T590" s="281">
        <f>S!H596</f>
        <v>0</v>
      </c>
      <c r="U590" s="274">
        <f>B!H591</f>
        <v>0</v>
      </c>
      <c r="V590" s="272">
        <f>Zn!G592</f>
        <v>0</v>
      </c>
      <c r="W590" s="272">
        <f>Cu!G592</f>
        <v>0</v>
      </c>
      <c r="X590" s="272">
        <f>Mn!G592</f>
        <v>0</v>
      </c>
      <c r="Y590" s="272">
        <f>Fe!G592</f>
        <v>0</v>
      </c>
      <c r="Z590" s="274">
        <f>M.O!H592</f>
        <v>0</v>
      </c>
      <c r="AA590" s="272" t="e">
        <f t="shared" si="62"/>
        <v>#DIV/0!</v>
      </c>
      <c r="AB590" s="272" t="e">
        <f t="shared" si="63"/>
        <v>#DIV/0!</v>
      </c>
      <c r="AC590" s="272" t="e">
        <f t="shared" si="64"/>
        <v>#DIV/0!</v>
      </c>
    </row>
    <row r="591" spans="1:29" x14ac:dyDescent="0.2">
      <c r="A591" s="106">
        <f>Cadastro!A595</f>
        <v>0</v>
      </c>
      <c r="B591" s="27">
        <f>Cadastro!E593</f>
        <v>0</v>
      </c>
      <c r="C591">
        <f>pH_água!C591</f>
        <v>0</v>
      </c>
      <c r="D591">
        <f>pH_KCl!B592</f>
        <v>0</v>
      </c>
      <c r="E591">
        <f>'pH CaCl2'!C591</f>
        <v>0</v>
      </c>
      <c r="F591" s="104">
        <f>P_Mehlich1!H576</f>
        <v>0</v>
      </c>
      <c r="G591" s="123">
        <f>P_resina!H596</f>
        <v>0</v>
      </c>
      <c r="H591" s="272">
        <f>K!G561</f>
        <v>0</v>
      </c>
      <c r="I591" s="125">
        <v>0</v>
      </c>
      <c r="J591" s="272">
        <f>'Ca2+'!G592</f>
        <v>0</v>
      </c>
      <c r="K591" s="272">
        <f>Mg²!G594</f>
        <v>0</v>
      </c>
      <c r="L591" s="279">
        <f>Al³!C593</f>
        <v>0</v>
      </c>
      <c r="M591" s="279">
        <f>'H + Al'!D593</f>
        <v>0</v>
      </c>
      <c r="N591" s="272">
        <f t="shared" si="57"/>
        <v>0</v>
      </c>
      <c r="O591" s="272">
        <f t="shared" si="58"/>
        <v>0</v>
      </c>
      <c r="P591" s="272">
        <f t="shared" si="59"/>
        <v>0</v>
      </c>
      <c r="Q591" s="293" t="e">
        <f t="shared" si="60"/>
        <v>#DIV/0!</v>
      </c>
      <c r="R591" s="293" t="e">
        <f t="shared" si="61"/>
        <v>#DIV/0!</v>
      </c>
      <c r="S591">
        <f>Prem!H593</f>
        <v>0</v>
      </c>
      <c r="T591" s="281">
        <f>S!H597</f>
        <v>0</v>
      </c>
      <c r="U591" s="274">
        <f>B!H592</f>
        <v>0</v>
      </c>
      <c r="V591" s="272">
        <f>Zn!G593</f>
        <v>0</v>
      </c>
      <c r="W591" s="272">
        <f>Cu!G593</f>
        <v>0</v>
      </c>
      <c r="X591" s="272">
        <f>Mn!G593</f>
        <v>0</v>
      </c>
      <c r="Y591" s="272">
        <f>Fe!G593</f>
        <v>0</v>
      </c>
      <c r="Z591" s="274">
        <f>M.O!H593</f>
        <v>0</v>
      </c>
      <c r="AA591" s="272" t="e">
        <f t="shared" si="62"/>
        <v>#DIV/0!</v>
      </c>
      <c r="AB591" s="272" t="e">
        <f t="shared" si="63"/>
        <v>#DIV/0!</v>
      </c>
      <c r="AC591" s="272" t="e">
        <f t="shared" si="64"/>
        <v>#DIV/0!</v>
      </c>
    </row>
    <row r="592" spans="1:29" x14ac:dyDescent="0.2">
      <c r="A592" s="106">
        <f>Cadastro!A596</f>
        <v>0</v>
      </c>
      <c r="B592" s="27">
        <f>Cadastro!E594</f>
        <v>0</v>
      </c>
      <c r="C592">
        <f>pH_água!C592</f>
        <v>0</v>
      </c>
      <c r="D592">
        <f>pH_KCl!B593</f>
        <v>0</v>
      </c>
      <c r="E592">
        <f>'pH CaCl2'!C592</f>
        <v>0</v>
      </c>
      <c r="F592" s="104">
        <f>P_Mehlich1!H577</f>
        <v>0</v>
      </c>
      <c r="G592" s="123">
        <f>P_resina!H597</f>
        <v>0</v>
      </c>
      <c r="H592" s="272">
        <f>K!G562</f>
        <v>0</v>
      </c>
      <c r="I592" s="125">
        <v>0</v>
      </c>
      <c r="J592" s="272">
        <f>'Ca2+'!G593</f>
        <v>0</v>
      </c>
      <c r="K592" s="272">
        <f>Mg²!G595</f>
        <v>0</v>
      </c>
      <c r="L592" s="279">
        <f>Al³!C594</f>
        <v>0</v>
      </c>
      <c r="M592" s="279">
        <f>'H + Al'!D594</f>
        <v>0</v>
      </c>
      <c r="N592" s="272">
        <f t="shared" si="57"/>
        <v>0</v>
      </c>
      <c r="O592" s="272">
        <f t="shared" si="58"/>
        <v>0</v>
      </c>
      <c r="P592" s="272">
        <f t="shared" si="59"/>
        <v>0</v>
      </c>
      <c r="Q592" s="293" t="e">
        <f t="shared" si="60"/>
        <v>#DIV/0!</v>
      </c>
      <c r="R592" s="293" t="e">
        <f t="shared" si="61"/>
        <v>#DIV/0!</v>
      </c>
      <c r="S592">
        <f>Prem!H594</f>
        <v>0</v>
      </c>
      <c r="T592" s="281">
        <f>S!H598</f>
        <v>0</v>
      </c>
      <c r="U592" s="274">
        <f>B!H593</f>
        <v>0</v>
      </c>
      <c r="V592" s="272">
        <f>Zn!G594</f>
        <v>0</v>
      </c>
      <c r="W592" s="272">
        <f>Cu!G594</f>
        <v>0</v>
      </c>
      <c r="X592" s="272">
        <f>Mn!G594</f>
        <v>0</v>
      </c>
      <c r="Y592" s="272">
        <f>Fe!G594</f>
        <v>0</v>
      </c>
      <c r="Z592" s="274">
        <f>M.O!H594</f>
        <v>0</v>
      </c>
      <c r="AA592" s="272" t="e">
        <f t="shared" si="62"/>
        <v>#DIV/0!</v>
      </c>
      <c r="AB592" s="272" t="e">
        <f t="shared" si="63"/>
        <v>#DIV/0!</v>
      </c>
      <c r="AC592" s="272" t="e">
        <f t="shared" si="64"/>
        <v>#DIV/0!</v>
      </c>
    </row>
    <row r="593" spans="1:29" x14ac:dyDescent="0.2">
      <c r="A593" s="106">
        <f>Cadastro!A597</f>
        <v>0</v>
      </c>
      <c r="B593" s="27">
        <f>Cadastro!E595</f>
        <v>0</v>
      </c>
      <c r="C593">
        <f>pH_água!C593</f>
        <v>0</v>
      </c>
      <c r="D593">
        <f>pH_KCl!B594</f>
        <v>0</v>
      </c>
      <c r="E593">
        <f>'pH CaCl2'!C593</f>
        <v>0</v>
      </c>
      <c r="F593" s="104">
        <f>P_Mehlich1!H578</f>
        <v>0</v>
      </c>
      <c r="G593" s="123">
        <f>P_resina!H598</f>
        <v>0</v>
      </c>
      <c r="H593" s="272">
        <f>K!G563</f>
        <v>0</v>
      </c>
      <c r="I593" s="125">
        <v>0</v>
      </c>
      <c r="J593" s="272">
        <f>'Ca2+'!G594</f>
        <v>0</v>
      </c>
      <c r="K593" s="272">
        <f>Mg²!G596</f>
        <v>0</v>
      </c>
      <c r="L593" s="279">
        <f>Al³!C595</f>
        <v>0</v>
      </c>
      <c r="M593" s="279">
        <f>'H + Al'!D595</f>
        <v>0</v>
      </c>
      <c r="N593" s="272">
        <f t="shared" si="57"/>
        <v>0</v>
      </c>
      <c r="O593" s="272">
        <f t="shared" si="58"/>
        <v>0</v>
      </c>
      <c r="P593" s="272">
        <f t="shared" si="59"/>
        <v>0</v>
      </c>
      <c r="Q593" s="293" t="e">
        <f t="shared" si="60"/>
        <v>#DIV/0!</v>
      </c>
      <c r="R593" s="293" t="e">
        <f t="shared" si="61"/>
        <v>#DIV/0!</v>
      </c>
      <c r="S593">
        <f>Prem!H595</f>
        <v>0</v>
      </c>
      <c r="T593" s="281">
        <f>S!H599</f>
        <v>0</v>
      </c>
      <c r="U593" s="274">
        <f>B!H594</f>
        <v>0</v>
      </c>
      <c r="V593" s="272">
        <f>Zn!G595</f>
        <v>0</v>
      </c>
      <c r="W593" s="272">
        <f>Cu!G595</f>
        <v>0</v>
      </c>
      <c r="X593" s="272">
        <f>Mn!G595</f>
        <v>0</v>
      </c>
      <c r="Y593" s="272">
        <f>Fe!G595</f>
        <v>0</v>
      </c>
      <c r="Z593" s="274">
        <f>M.O!H595</f>
        <v>0</v>
      </c>
      <c r="AA593" s="272" t="e">
        <f t="shared" si="62"/>
        <v>#DIV/0!</v>
      </c>
      <c r="AB593" s="272" t="e">
        <f t="shared" si="63"/>
        <v>#DIV/0!</v>
      </c>
      <c r="AC593" s="272" t="e">
        <f t="shared" si="64"/>
        <v>#DIV/0!</v>
      </c>
    </row>
    <row r="594" spans="1:29" x14ac:dyDescent="0.2">
      <c r="A594" s="106">
        <f>Cadastro!A598</f>
        <v>0</v>
      </c>
      <c r="B594" s="27">
        <f>Cadastro!E596</f>
        <v>0</v>
      </c>
      <c r="C594">
        <f>pH_água!C594</f>
        <v>0</v>
      </c>
      <c r="D594">
        <f>pH_KCl!B595</f>
        <v>0</v>
      </c>
      <c r="E594">
        <f>'pH CaCl2'!C594</f>
        <v>0</v>
      </c>
      <c r="F594" s="104">
        <f>P_Mehlich1!H579</f>
        <v>0</v>
      </c>
      <c r="G594" s="123">
        <f>P_resina!H599</f>
        <v>0</v>
      </c>
      <c r="H594" s="272">
        <f>K!G564</f>
        <v>0</v>
      </c>
      <c r="I594" s="125">
        <v>0</v>
      </c>
      <c r="J594" s="272">
        <f>'Ca2+'!G595</f>
        <v>0</v>
      </c>
      <c r="K594" s="272">
        <f>Mg²!G597</f>
        <v>0</v>
      </c>
      <c r="L594" s="279">
        <f>Al³!C596</f>
        <v>0</v>
      </c>
      <c r="M594" s="279">
        <f>'H + Al'!D596</f>
        <v>0</v>
      </c>
      <c r="N594" s="272">
        <f t="shared" si="57"/>
        <v>0</v>
      </c>
      <c r="O594" s="272">
        <f t="shared" si="58"/>
        <v>0</v>
      </c>
      <c r="P594" s="272">
        <f t="shared" si="59"/>
        <v>0</v>
      </c>
      <c r="Q594" s="293" t="e">
        <f t="shared" si="60"/>
        <v>#DIV/0!</v>
      </c>
      <c r="R594" s="293" t="e">
        <f t="shared" si="61"/>
        <v>#DIV/0!</v>
      </c>
      <c r="S594">
        <f>Prem!H596</f>
        <v>0</v>
      </c>
      <c r="T594" s="281">
        <f>S!H600</f>
        <v>0</v>
      </c>
      <c r="U594" s="274">
        <f>B!H595</f>
        <v>0</v>
      </c>
      <c r="V594" s="272">
        <f>Zn!G596</f>
        <v>0</v>
      </c>
      <c r="W594" s="272">
        <f>Cu!G596</f>
        <v>0</v>
      </c>
      <c r="X594" s="272">
        <f>Mn!G596</f>
        <v>0</v>
      </c>
      <c r="Y594" s="272">
        <f>Fe!G596</f>
        <v>0</v>
      </c>
      <c r="Z594" s="274">
        <f>M.O!H596</f>
        <v>0</v>
      </c>
      <c r="AA594" s="272" t="e">
        <f t="shared" si="62"/>
        <v>#DIV/0!</v>
      </c>
      <c r="AB594" s="272" t="e">
        <f t="shared" si="63"/>
        <v>#DIV/0!</v>
      </c>
      <c r="AC594" s="272" t="e">
        <f t="shared" si="64"/>
        <v>#DIV/0!</v>
      </c>
    </row>
    <row r="595" spans="1:29" x14ac:dyDescent="0.2">
      <c r="A595" s="106">
        <f>Cadastro!A599</f>
        <v>0</v>
      </c>
      <c r="B595" s="27">
        <f>Cadastro!E597</f>
        <v>0</v>
      </c>
      <c r="C595">
        <f>pH_água!C595</f>
        <v>0</v>
      </c>
      <c r="D595">
        <f>pH_KCl!B596</f>
        <v>0</v>
      </c>
      <c r="E595">
        <f>'pH CaCl2'!C595</f>
        <v>0</v>
      </c>
      <c r="F595" s="104">
        <f>P_Mehlich1!H580</f>
        <v>0</v>
      </c>
      <c r="G595" s="123">
        <f>P_resina!H600</f>
        <v>0</v>
      </c>
      <c r="H595" s="272">
        <f>K!G565</f>
        <v>0</v>
      </c>
      <c r="I595" s="125">
        <v>0</v>
      </c>
      <c r="J595" s="272">
        <f>'Ca2+'!G596</f>
        <v>0</v>
      </c>
      <c r="K595" s="272">
        <f>Mg²!G598</f>
        <v>0</v>
      </c>
      <c r="L595" s="279">
        <f>Al³!C597</f>
        <v>0</v>
      </c>
      <c r="M595" s="279">
        <f>'H + Al'!D597</f>
        <v>0</v>
      </c>
      <c r="N595" s="272">
        <f t="shared" si="57"/>
        <v>0</v>
      </c>
      <c r="O595" s="272">
        <f t="shared" si="58"/>
        <v>0</v>
      </c>
      <c r="P595" s="272">
        <f t="shared" si="59"/>
        <v>0</v>
      </c>
      <c r="Q595" s="293" t="e">
        <f t="shared" si="60"/>
        <v>#DIV/0!</v>
      </c>
      <c r="R595" s="293" t="e">
        <f t="shared" si="61"/>
        <v>#DIV/0!</v>
      </c>
      <c r="S595">
        <f>Prem!H597</f>
        <v>0</v>
      </c>
      <c r="T595" s="281">
        <f>S!H601</f>
        <v>0</v>
      </c>
      <c r="U595" s="274">
        <f>B!H596</f>
        <v>0</v>
      </c>
      <c r="V595" s="272">
        <f>Zn!G597</f>
        <v>0</v>
      </c>
      <c r="W595" s="272">
        <f>Cu!G597</f>
        <v>0</v>
      </c>
      <c r="X595" s="272">
        <f>Mn!G597</f>
        <v>0</v>
      </c>
      <c r="Y595" s="272">
        <f>Fe!G597</f>
        <v>0</v>
      </c>
      <c r="Z595" s="274">
        <f>M.O!H597</f>
        <v>0</v>
      </c>
      <c r="AA595" s="272" t="e">
        <f t="shared" si="62"/>
        <v>#DIV/0!</v>
      </c>
      <c r="AB595" s="272" t="e">
        <f t="shared" si="63"/>
        <v>#DIV/0!</v>
      </c>
      <c r="AC595" s="272" t="e">
        <f t="shared" si="64"/>
        <v>#DIV/0!</v>
      </c>
    </row>
    <row r="596" spans="1:29" x14ac:dyDescent="0.2">
      <c r="A596" s="106">
        <f>Cadastro!A600</f>
        <v>0</v>
      </c>
      <c r="B596" s="27">
        <f>Cadastro!E598</f>
        <v>0</v>
      </c>
      <c r="C596">
        <f>pH_água!C596</f>
        <v>0</v>
      </c>
      <c r="D596">
        <f>pH_KCl!B597</f>
        <v>0</v>
      </c>
      <c r="E596">
        <f>'pH CaCl2'!C596</f>
        <v>0</v>
      </c>
      <c r="F596" s="104">
        <f>P_Mehlich1!H581</f>
        <v>0</v>
      </c>
      <c r="G596" s="123">
        <f>P_resina!H601</f>
        <v>0</v>
      </c>
      <c r="H596" s="272">
        <f>K!G566</f>
        <v>0</v>
      </c>
      <c r="I596" s="125">
        <v>0</v>
      </c>
      <c r="J596" s="272">
        <f>'Ca2+'!G597</f>
        <v>0</v>
      </c>
      <c r="K596" s="272">
        <f>Mg²!G599</f>
        <v>0</v>
      </c>
      <c r="L596" s="279">
        <f>Al³!C598</f>
        <v>0</v>
      </c>
      <c r="M596" s="279">
        <f>'H + Al'!D598</f>
        <v>0</v>
      </c>
      <c r="N596" s="272">
        <f t="shared" si="57"/>
        <v>0</v>
      </c>
      <c r="O596" s="272">
        <f t="shared" si="58"/>
        <v>0</v>
      </c>
      <c r="P596" s="272">
        <f t="shared" si="59"/>
        <v>0</v>
      </c>
      <c r="Q596" s="293" t="e">
        <f t="shared" si="60"/>
        <v>#DIV/0!</v>
      </c>
      <c r="R596" s="293" t="e">
        <f t="shared" si="61"/>
        <v>#DIV/0!</v>
      </c>
      <c r="S596">
        <f>Prem!H598</f>
        <v>0</v>
      </c>
      <c r="T596" s="281">
        <f>S!H602</f>
        <v>0</v>
      </c>
      <c r="U596" s="274">
        <f>B!H597</f>
        <v>0</v>
      </c>
      <c r="V596" s="272">
        <f>Zn!G598</f>
        <v>0</v>
      </c>
      <c r="W596" s="272">
        <f>Cu!G598</f>
        <v>0</v>
      </c>
      <c r="X596" s="272">
        <f>Mn!G598</f>
        <v>0</v>
      </c>
      <c r="Y596" s="272">
        <f>Fe!G598</f>
        <v>0</v>
      </c>
      <c r="Z596" s="274">
        <f>M.O!H598</f>
        <v>0</v>
      </c>
      <c r="AA596" s="272" t="e">
        <f t="shared" si="62"/>
        <v>#DIV/0!</v>
      </c>
      <c r="AB596" s="272" t="e">
        <f t="shared" si="63"/>
        <v>#DIV/0!</v>
      </c>
      <c r="AC596" s="272" t="e">
        <f t="shared" si="64"/>
        <v>#DIV/0!</v>
      </c>
    </row>
    <row r="597" spans="1:29" x14ac:dyDescent="0.2">
      <c r="A597" s="106">
        <f>Cadastro!A601</f>
        <v>0</v>
      </c>
      <c r="B597" s="27">
        <f>Cadastro!E599</f>
        <v>0</v>
      </c>
      <c r="C597">
        <f>pH_água!C597</f>
        <v>0</v>
      </c>
      <c r="D597">
        <f>pH_KCl!B598</f>
        <v>0</v>
      </c>
      <c r="E597">
        <f>'pH CaCl2'!C597</f>
        <v>0</v>
      </c>
      <c r="F597" s="104">
        <f>P_Mehlich1!H582</f>
        <v>0</v>
      </c>
      <c r="G597" s="123">
        <f>P_resina!H602</f>
        <v>0</v>
      </c>
      <c r="H597" s="272">
        <f>K!G567</f>
        <v>0</v>
      </c>
      <c r="I597" s="125">
        <v>0</v>
      </c>
      <c r="J597" s="272">
        <f>'Ca2+'!G598</f>
        <v>0</v>
      </c>
      <c r="K597" s="272">
        <f>Mg²!G600</f>
        <v>0</v>
      </c>
      <c r="L597" s="279">
        <f>Al³!C599</f>
        <v>0</v>
      </c>
      <c r="M597" s="279">
        <f>'H + Al'!D599</f>
        <v>0</v>
      </c>
      <c r="N597" s="272">
        <f t="shared" si="57"/>
        <v>0</v>
      </c>
      <c r="O597" s="272">
        <f t="shared" si="58"/>
        <v>0</v>
      </c>
      <c r="P597" s="272">
        <f t="shared" si="59"/>
        <v>0</v>
      </c>
      <c r="Q597" s="293" t="e">
        <f t="shared" si="60"/>
        <v>#DIV/0!</v>
      </c>
      <c r="R597" s="293" t="e">
        <f t="shared" si="61"/>
        <v>#DIV/0!</v>
      </c>
      <c r="S597">
        <f>Prem!H599</f>
        <v>0</v>
      </c>
      <c r="T597" s="281">
        <f>S!H603</f>
        <v>0</v>
      </c>
      <c r="U597" s="274">
        <f>B!H598</f>
        <v>0</v>
      </c>
      <c r="V597" s="272">
        <f>Zn!G599</f>
        <v>0</v>
      </c>
      <c r="W597" s="272">
        <f>Cu!G599</f>
        <v>0</v>
      </c>
      <c r="X597" s="272">
        <f>Mn!G599</f>
        <v>0</v>
      </c>
      <c r="Y597" s="272">
        <f>Fe!G599</f>
        <v>0</v>
      </c>
      <c r="Z597" s="274">
        <f>M.O!H599</f>
        <v>0</v>
      </c>
      <c r="AA597" s="272" t="e">
        <f t="shared" si="62"/>
        <v>#DIV/0!</v>
      </c>
      <c r="AB597" s="272" t="e">
        <f t="shared" si="63"/>
        <v>#DIV/0!</v>
      </c>
      <c r="AC597" s="272" t="e">
        <f t="shared" si="64"/>
        <v>#DIV/0!</v>
      </c>
    </row>
    <row r="598" spans="1:29" x14ac:dyDescent="0.2">
      <c r="A598" s="106">
        <f>Cadastro!A602</f>
        <v>0</v>
      </c>
      <c r="B598" s="27">
        <f>Cadastro!E600</f>
        <v>0</v>
      </c>
      <c r="C598">
        <f>pH_água!C598</f>
        <v>0</v>
      </c>
      <c r="D598">
        <f>pH_KCl!B599</f>
        <v>0</v>
      </c>
      <c r="E598">
        <f>'pH CaCl2'!C598</f>
        <v>0</v>
      </c>
      <c r="F598" s="104">
        <f>P_Mehlich1!H583</f>
        <v>0</v>
      </c>
      <c r="G598" s="123">
        <f>P_resina!H603</f>
        <v>0</v>
      </c>
      <c r="H598" s="272">
        <f>K!G568</f>
        <v>0</v>
      </c>
      <c r="I598" s="125">
        <v>0</v>
      </c>
      <c r="J598" s="272">
        <f>'Ca2+'!G599</f>
        <v>0</v>
      </c>
      <c r="K598" s="272">
        <f>Mg²!G601</f>
        <v>0</v>
      </c>
      <c r="L598" s="279">
        <f>Al³!C600</f>
        <v>0</v>
      </c>
      <c r="M598" s="279">
        <f>'H + Al'!D600</f>
        <v>0</v>
      </c>
      <c r="N598" s="272">
        <f t="shared" si="57"/>
        <v>0</v>
      </c>
      <c r="O598" s="272">
        <f t="shared" si="58"/>
        <v>0</v>
      </c>
      <c r="P598" s="272">
        <f t="shared" si="59"/>
        <v>0</v>
      </c>
      <c r="Q598" s="293" t="e">
        <f t="shared" si="60"/>
        <v>#DIV/0!</v>
      </c>
      <c r="R598" s="293" t="e">
        <f t="shared" si="61"/>
        <v>#DIV/0!</v>
      </c>
      <c r="S598">
        <f>Prem!H600</f>
        <v>0</v>
      </c>
      <c r="T598" s="281">
        <f>S!H604</f>
        <v>0</v>
      </c>
      <c r="U598" s="274">
        <f>B!H599</f>
        <v>0</v>
      </c>
      <c r="V598" s="272">
        <f>Zn!G600</f>
        <v>0</v>
      </c>
      <c r="W598" s="272">
        <f>Cu!G600</f>
        <v>0</v>
      </c>
      <c r="X598" s="272">
        <f>Mn!G600</f>
        <v>0</v>
      </c>
      <c r="Y598" s="272">
        <f>Fe!G600</f>
        <v>0</v>
      </c>
      <c r="Z598" s="274">
        <f>M.O!H600</f>
        <v>0</v>
      </c>
      <c r="AA598" s="272" t="e">
        <f t="shared" si="62"/>
        <v>#DIV/0!</v>
      </c>
      <c r="AB598" s="272" t="e">
        <f t="shared" si="63"/>
        <v>#DIV/0!</v>
      </c>
      <c r="AC598" s="272" t="e">
        <f t="shared" si="64"/>
        <v>#DIV/0!</v>
      </c>
    </row>
    <row r="599" spans="1:29" x14ac:dyDescent="0.2">
      <c r="A599" s="106">
        <f>Cadastro!A603</f>
        <v>0</v>
      </c>
      <c r="B599" s="27">
        <f>Cadastro!E601</f>
        <v>0</v>
      </c>
      <c r="C599">
        <f>pH_água!C599</f>
        <v>0</v>
      </c>
      <c r="D599">
        <f>pH_KCl!B600</f>
        <v>0</v>
      </c>
      <c r="E599">
        <f>'pH CaCl2'!C599</f>
        <v>0</v>
      </c>
      <c r="F599" s="104">
        <f>P_Mehlich1!H584</f>
        <v>0</v>
      </c>
      <c r="G599" s="123">
        <f>P_resina!H604</f>
        <v>0</v>
      </c>
      <c r="H599" s="272">
        <f>K!G569</f>
        <v>0</v>
      </c>
      <c r="I599" s="125">
        <v>0</v>
      </c>
      <c r="J599" s="272">
        <f>'Ca2+'!G600</f>
        <v>0</v>
      </c>
      <c r="K599" s="272">
        <f>Mg²!G602</f>
        <v>0</v>
      </c>
      <c r="L599" s="279">
        <f>Al³!C601</f>
        <v>0</v>
      </c>
      <c r="M599" s="279">
        <f>'H + Al'!D601</f>
        <v>0</v>
      </c>
      <c r="N599" s="272">
        <f t="shared" si="57"/>
        <v>0</v>
      </c>
      <c r="O599" s="272">
        <f t="shared" si="58"/>
        <v>0</v>
      </c>
      <c r="P599" s="272">
        <f t="shared" si="59"/>
        <v>0</v>
      </c>
      <c r="Q599" s="293" t="e">
        <f t="shared" si="60"/>
        <v>#DIV/0!</v>
      </c>
      <c r="R599" s="293" t="e">
        <f t="shared" si="61"/>
        <v>#DIV/0!</v>
      </c>
      <c r="S599">
        <f>Prem!H601</f>
        <v>0</v>
      </c>
      <c r="T599" s="281">
        <f>S!H605</f>
        <v>0</v>
      </c>
      <c r="U599" s="274">
        <f>B!H600</f>
        <v>0</v>
      </c>
      <c r="V599" s="272">
        <f>Zn!G601</f>
        <v>0</v>
      </c>
      <c r="W599" s="272">
        <f>Cu!G601</f>
        <v>0</v>
      </c>
      <c r="X599" s="272">
        <f>Mn!G601</f>
        <v>0</v>
      </c>
      <c r="Y599" s="272">
        <f>Fe!G601</f>
        <v>0</v>
      </c>
      <c r="Z599" s="274">
        <f>M.O!H601</f>
        <v>0</v>
      </c>
      <c r="AA599" s="272" t="e">
        <f t="shared" si="62"/>
        <v>#DIV/0!</v>
      </c>
      <c r="AB599" s="272" t="e">
        <f t="shared" si="63"/>
        <v>#DIV/0!</v>
      </c>
      <c r="AC599" s="272" t="e">
        <f t="shared" si="64"/>
        <v>#DIV/0!</v>
      </c>
    </row>
    <row r="600" spans="1:29" x14ac:dyDescent="0.2">
      <c r="A600" s="106">
        <f>Cadastro!A604</f>
        <v>0</v>
      </c>
      <c r="B600" s="27">
        <f>Cadastro!E602</f>
        <v>0</v>
      </c>
      <c r="C600">
        <f>pH_água!C600</f>
        <v>0</v>
      </c>
      <c r="D600">
        <f>pH_KCl!B601</f>
        <v>0</v>
      </c>
      <c r="E600">
        <f>'pH CaCl2'!C600</f>
        <v>0</v>
      </c>
      <c r="F600" s="104">
        <f>P_Mehlich1!H585</f>
        <v>0</v>
      </c>
      <c r="G600" s="123">
        <f>P_resina!H605</f>
        <v>0</v>
      </c>
      <c r="H600" s="272">
        <f>K!G570</f>
        <v>0</v>
      </c>
      <c r="I600" s="125">
        <v>0</v>
      </c>
      <c r="J600" s="272">
        <f>'Ca2+'!G601</f>
        <v>0</v>
      </c>
      <c r="K600" s="272">
        <f>Mg²!G603</f>
        <v>0</v>
      </c>
      <c r="L600" s="279">
        <f>Al³!C602</f>
        <v>0</v>
      </c>
      <c r="M600" s="279">
        <f>'H + Al'!D602</f>
        <v>0</v>
      </c>
      <c r="N600" s="272">
        <f t="shared" si="57"/>
        <v>0</v>
      </c>
      <c r="O600" s="272">
        <f t="shared" si="58"/>
        <v>0</v>
      </c>
      <c r="P600" s="272">
        <f t="shared" si="59"/>
        <v>0</v>
      </c>
      <c r="Q600" s="293" t="e">
        <f t="shared" si="60"/>
        <v>#DIV/0!</v>
      </c>
      <c r="R600" s="293" t="e">
        <f t="shared" si="61"/>
        <v>#DIV/0!</v>
      </c>
      <c r="S600">
        <f>Prem!H602</f>
        <v>0</v>
      </c>
      <c r="T600" s="281">
        <f>S!H606</f>
        <v>0</v>
      </c>
      <c r="U600" s="274">
        <f>B!H601</f>
        <v>0</v>
      </c>
      <c r="V600" s="272">
        <f>Zn!G602</f>
        <v>0</v>
      </c>
      <c r="W600" s="272">
        <f>Cu!G602</f>
        <v>0</v>
      </c>
      <c r="X600" s="272">
        <f>Mn!G602</f>
        <v>0</v>
      </c>
      <c r="Y600" s="272">
        <f>Fe!G602</f>
        <v>0</v>
      </c>
      <c r="Z600" s="274">
        <f>M.O!H602</f>
        <v>0</v>
      </c>
      <c r="AA600" s="272" t="e">
        <f t="shared" si="62"/>
        <v>#DIV/0!</v>
      </c>
      <c r="AB600" s="272" t="e">
        <f t="shared" si="63"/>
        <v>#DIV/0!</v>
      </c>
      <c r="AC600" s="272" t="e">
        <f t="shared" si="64"/>
        <v>#DIV/0!</v>
      </c>
    </row>
    <row r="601" spans="1:29" x14ac:dyDescent="0.2">
      <c r="A601" s="106">
        <f>Cadastro!A605</f>
        <v>0</v>
      </c>
      <c r="B601" s="27">
        <f>Cadastro!E603</f>
        <v>0</v>
      </c>
      <c r="C601">
        <f>pH_água!C601</f>
        <v>0</v>
      </c>
      <c r="D601">
        <f>pH_KCl!B602</f>
        <v>0</v>
      </c>
      <c r="E601">
        <f>'pH CaCl2'!C601</f>
        <v>0</v>
      </c>
      <c r="F601" s="104">
        <f>P_Mehlich1!H586</f>
        <v>0</v>
      </c>
      <c r="G601" s="123">
        <f>P_resina!H606</f>
        <v>0</v>
      </c>
      <c r="H601" s="272">
        <f>K!G571</f>
        <v>0</v>
      </c>
      <c r="I601" s="125">
        <v>0</v>
      </c>
      <c r="J601" s="272">
        <f>'Ca2+'!G602</f>
        <v>0</v>
      </c>
      <c r="K601" s="272">
        <f>Mg²!G604</f>
        <v>0</v>
      </c>
      <c r="L601" s="279">
        <f>Al³!C603</f>
        <v>0</v>
      </c>
      <c r="M601" s="279">
        <f>'H + Al'!D603</f>
        <v>0</v>
      </c>
      <c r="N601" s="272">
        <f t="shared" si="57"/>
        <v>0</v>
      </c>
      <c r="O601" s="272">
        <f t="shared" si="58"/>
        <v>0</v>
      </c>
      <c r="P601" s="272">
        <f t="shared" si="59"/>
        <v>0</v>
      </c>
      <c r="Q601" s="293" t="e">
        <f t="shared" si="60"/>
        <v>#DIV/0!</v>
      </c>
      <c r="R601" s="293" t="e">
        <f t="shared" si="61"/>
        <v>#DIV/0!</v>
      </c>
      <c r="S601">
        <f>Prem!H603</f>
        <v>0</v>
      </c>
      <c r="T601" s="281">
        <f>S!H607</f>
        <v>0</v>
      </c>
      <c r="U601" s="274">
        <f>B!H602</f>
        <v>0</v>
      </c>
      <c r="V601" s="272">
        <f>Zn!G603</f>
        <v>0</v>
      </c>
      <c r="W601" s="272">
        <f>Cu!G603</f>
        <v>0</v>
      </c>
      <c r="X601" s="272">
        <f>Mn!G603</f>
        <v>0</v>
      </c>
      <c r="Y601" s="272">
        <f>Fe!G603</f>
        <v>0</v>
      </c>
      <c r="Z601" s="274">
        <f>M.O!H603</f>
        <v>0</v>
      </c>
      <c r="AA601" s="272" t="e">
        <f t="shared" si="62"/>
        <v>#DIV/0!</v>
      </c>
      <c r="AB601" s="272" t="e">
        <f t="shared" si="63"/>
        <v>#DIV/0!</v>
      </c>
      <c r="AC601" s="272" t="e">
        <f t="shared" si="64"/>
        <v>#DIV/0!</v>
      </c>
    </row>
    <row r="602" spans="1:29" x14ac:dyDescent="0.2">
      <c r="A602" s="106">
        <f>Cadastro!A606</f>
        <v>0</v>
      </c>
      <c r="B602" s="27">
        <f>Cadastro!E604</f>
        <v>0</v>
      </c>
      <c r="C602">
        <f>pH_água!C602</f>
        <v>0</v>
      </c>
      <c r="D602">
        <f>pH_KCl!B603</f>
        <v>0</v>
      </c>
      <c r="E602">
        <f>'pH CaCl2'!C602</f>
        <v>0</v>
      </c>
      <c r="F602" s="104">
        <f>P_Mehlich1!H587</f>
        <v>0</v>
      </c>
      <c r="G602" s="123">
        <f>P_resina!H607</f>
        <v>0</v>
      </c>
      <c r="H602" s="272">
        <f>K!G572</f>
        <v>0</v>
      </c>
      <c r="I602" s="125">
        <v>0</v>
      </c>
      <c r="J602" s="272">
        <f>'Ca2+'!G603</f>
        <v>0</v>
      </c>
      <c r="K602" s="272">
        <f>Mg²!G605</f>
        <v>0</v>
      </c>
      <c r="L602" s="279">
        <f>Al³!C604</f>
        <v>0</v>
      </c>
      <c r="M602" s="279">
        <f>'H + Al'!D604</f>
        <v>0</v>
      </c>
      <c r="N602" s="272">
        <f t="shared" si="57"/>
        <v>0</v>
      </c>
      <c r="O602" s="272">
        <f t="shared" si="58"/>
        <v>0</v>
      </c>
      <c r="P602" s="272">
        <f t="shared" si="59"/>
        <v>0</v>
      </c>
      <c r="Q602" s="293" t="e">
        <f t="shared" si="60"/>
        <v>#DIV/0!</v>
      </c>
      <c r="R602" s="293" t="e">
        <f t="shared" si="61"/>
        <v>#DIV/0!</v>
      </c>
      <c r="S602">
        <f>Prem!H604</f>
        <v>0</v>
      </c>
      <c r="T602" s="281">
        <f>S!H608</f>
        <v>0</v>
      </c>
      <c r="U602" s="274">
        <f>B!H603</f>
        <v>0</v>
      </c>
      <c r="V602" s="272">
        <f>Zn!G604</f>
        <v>0</v>
      </c>
      <c r="W602" s="272">
        <f>Cu!G604</f>
        <v>0</v>
      </c>
      <c r="X602" s="272">
        <f>Mn!G604</f>
        <v>0</v>
      </c>
      <c r="Y602" s="272">
        <f>Fe!G604</f>
        <v>0</v>
      </c>
      <c r="Z602" s="274">
        <f>M.O!H604</f>
        <v>0</v>
      </c>
      <c r="AA602" s="272" t="e">
        <f t="shared" si="62"/>
        <v>#DIV/0!</v>
      </c>
      <c r="AB602" s="272" t="e">
        <f t="shared" si="63"/>
        <v>#DIV/0!</v>
      </c>
      <c r="AC602" s="272" t="e">
        <f t="shared" si="64"/>
        <v>#DIV/0!</v>
      </c>
    </row>
    <row r="603" spans="1:29" x14ac:dyDescent="0.2">
      <c r="A603" s="106">
        <f>Cadastro!A607</f>
        <v>0</v>
      </c>
      <c r="B603" s="27">
        <f>Cadastro!E605</f>
        <v>0</v>
      </c>
      <c r="C603">
        <f>pH_água!C603</f>
        <v>0</v>
      </c>
      <c r="D603">
        <f>pH_KCl!B604</f>
        <v>0</v>
      </c>
      <c r="E603">
        <f>'pH CaCl2'!C603</f>
        <v>0</v>
      </c>
      <c r="F603" s="104">
        <f>P_Mehlich1!H588</f>
        <v>0</v>
      </c>
      <c r="G603" s="123">
        <f>P_resina!H608</f>
        <v>0</v>
      </c>
      <c r="H603" s="272">
        <f>K!G573</f>
        <v>0</v>
      </c>
      <c r="I603" s="125">
        <v>0</v>
      </c>
      <c r="J603" s="272">
        <f>'Ca2+'!G604</f>
        <v>0</v>
      </c>
      <c r="K603" s="272">
        <f>Mg²!G606</f>
        <v>0</v>
      </c>
      <c r="L603" s="279">
        <f>Al³!C605</f>
        <v>0</v>
      </c>
      <c r="M603" s="279">
        <f>'H + Al'!D605</f>
        <v>0</v>
      </c>
      <c r="N603" s="272">
        <f t="shared" si="57"/>
        <v>0</v>
      </c>
      <c r="O603" s="272">
        <f t="shared" si="58"/>
        <v>0</v>
      </c>
      <c r="P603" s="272">
        <f t="shared" si="59"/>
        <v>0</v>
      </c>
      <c r="Q603" s="293" t="e">
        <f t="shared" si="60"/>
        <v>#DIV/0!</v>
      </c>
      <c r="R603" s="293" t="e">
        <f t="shared" si="61"/>
        <v>#DIV/0!</v>
      </c>
      <c r="S603">
        <f>Prem!H605</f>
        <v>0</v>
      </c>
      <c r="T603" s="281">
        <f>S!H609</f>
        <v>0</v>
      </c>
      <c r="U603" s="274">
        <f>B!H604</f>
        <v>0</v>
      </c>
      <c r="V603" s="272">
        <f>Zn!G605</f>
        <v>0</v>
      </c>
      <c r="W603" s="272">
        <f>Cu!G605</f>
        <v>0</v>
      </c>
      <c r="X603" s="272">
        <f>Mn!G605</f>
        <v>0</v>
      </c>
      <c r="Y603" s="272">
        <f>Fe!G605</f>
        <v>0</v>
      </c>
      <c r="Z603" s="274">
        <f>M.O!H605</f>
        <v>0</v>
      </c>
      <c r="AA603" s="272" t="e">
        <f t="shared" si="62"/>
        <v>#DIV/0!</v>
      </c>
      <c r="AB603" s="272" t="e">
        <f t="shared" si="63"/>
        <v>#DIV/0!</v>
      </c>
      <c r="AC603" s="272" t="e">
        <f t="shared" si="64"/>
        <v>#DIV/0!</v>
      </c>
    </row>
    <row r="604" spans="1:29" x14ac:dyDescent="0.2">
      <c r="A604" s="106">
        <f>Cadastro!A608</f>
        <v>0</v>
      </c>
      <c r="B604" s="27">
        <f>Cadastro!E606</f>
        <v>0</v>
      </c>
      <c r="C604">
        <f>pH_água!C604</f>
        <v>0</v>
      </c>
      <c r="D604">
        <f>pH_KCl!B605</f>
        <v>0</v>
      </c>
      <c r="E604">
        <f>'pH CaCl2'!C604</f>
        <v>0</v>
      </c>
      <c r="F604" s="104">
        <f>P_Mehlich1!H589</f>
        <v>0</v>
      </c>
      <c r="G604" s="123">
        <f>P_resina!H609</f>
        <v>0</v>
      </c>
      <c r="H604" s="272">
        <f>K!G574</f>
        <v>0</v>
      </c>
      <c r="I604" s="125">
        <v>0</v>
      </c>
      <c r="J604" s="272">
        <f>'Ca2+'!G605</f>
        <v>0</v>
      </c>
      <c r="K604" s="272">
        <f>Mg²!G607</f>
        <v>0</v>
      </c>
      <c r="L604" s="279">
        <f>Al³!C606</f>
        <v>0</v>
      </c>
      <c r="M604" s="279">
        <f>'H + Al'!D606</f>
        <v>0</v>
      </c>
      <c r="N604" s="272">
        <f t="shared" si="57"/>
        <v>0</v>
      </c>
      <c r="O604" s="272">
        <f t="shared" si="58"/>
        <v>0</v>
      </c>
      <c r="P604" s="272">
        <f t="shared" si="59"/>
        <v>0</v>
      </c>
      <c r="Q604" s="293" t="e">
        <f t="shared" si="60"/>
        <v>#DIV/0!</v>
      </c>
      <c r="R604" s="293" t="e">
        <f t="shared" si="61"/>
        <v>#DIV/0!</v>
      </c>
      <c r="S604">
        <f>Prem!H606</f>
        <v>0</v>
      </c>
      <c r="T604" s="281">
        <f>S!H610</f>
        <v>0</v>
      </c>
      <c r="U604" s="274">
        <f>B!H605</f>
        <v>0</v>
      </c>
      <c r="V604" s="272">
        <f>Zn!G606</f>
        <v>0</v>
      </c>
      <c r="W604" s="272">
        <f>Cu!G606</f>
        <v>0</v>
      </c>
      <c r="X604" s="272">
        <f>Mn!G606</f>
        <v>0</v>
      </c>
      <c r="Y604" s="272">
        <f>Fe!G606</f>
        <v>0</v>
      </c>
      <c r="Z604" s="274">
        <f>M.O!H606</f>
        <v>0</v>
      </c>
      <c r="AA604" s="272" t="e">
        <f t="shared" si="62"/>
        <v>#DIV/0!</v>
      </c>
      <c r="AB604" s="272" t="e">
        <f t="shared" si="63"/>
        <v>#DIV/0!</v>
      </c>
      <c r="AC604" s="272" t="e">
        <f t="shared" si="64"/>
        <v>#DIV/0!</v>
      </c>
    </row>
    <row r="605" spans="1:29" x14ac:dyDescent="0.2">
      <c r="A605" s="106">
        <f>Cadastro!A609</f>
        <v>0</v>
      </c>
      <c r="B605" s="27">
        <f>Cadastro!E607</f>
        <v>0</v>
      </c>
      <c r="C605">
        <f>pH_água!C605</f>
        <v>0</v>
      </c>
      <c r="D605">
        <f>pH_KCl!B606</f>
        <v>0</v>
      </c>
      <c r="E605">
        <f>'pH CaCl2'!C605</f>
        <v>0</v>
      </c>
      <c r="F605" s="104">
        <f>P_Mehlich1!H590</f>
        <v>0</v>
      </c>
      <c r="G605" s="123">
        <f>P_resina!H610</f>
        <v>0</v>
      </c>
      <c r="H605" s="272">
        <f>K!G575</f>
        <v>0</v>
      </c>
      <c r="I605" s="125">
        <v>0</v>
      </c>
      <c r="J605" s="272">
        <f>'Ca2+'!G606</f>
        <v>0</v>
      </c>
      <c r="K605" s="272">
        <f>Mg²!G608</f>
        <v>0</v>
      </c>
      <c r="L605" s="279">
        <f>Al³!C607</f>
        <v>0</v>
      </c>
      <c r="M605" s="279">
        <f>'H + Al'!D607</f>
        <v>0</v>
      </c>
      <c r="N605" s="272">
        <f t="shared" si="57"/>
        <v>0</v>
      </c>
      <c r="O605" s="272">
        <f t="shared" si="58"/>
        <v>0</v>
      </c>
      <c r="P605" s="272">
        <f t="shared" si="59"/>
        <v>0</v>
      </c>
      <c r="Q605" s="293" t="e">
        <f t="shared" si="60"/>
        <v>#DIV/0!</v>
      </c>
      <c r="R605" s="293" t="e">
        <f t="shared" si="61"/>
        <v>#DIV/0!</v>
      </c>
      <c r="S605">
        <f>Prem!H607</f>
        <v>0</v>
      </c>
      <c r="T605" s="281">
        <f>S!H611</f>
        <v>0</v>
      </c>
      <c r="U605" s="274">
        <f>B!H606</f>
        <v>0</v>
      </c>
      <c r="V605" s="272">
        <f>Zn!G607</f>
        <v>0</v>
      </c>
      <c r="W605" s="272">
        <f>Cu!G607</f>
        <v>0</v>
      </c>
      <c r="X605" s="272">
        <f>Mn!G607</f>
        <v>0</v>
      </c>
      <c r="Y605" s="272">
        <f>Fe!G607</f>
        <v>0</v>
      </c>
      <c r="Z605" s="274">
        <f>M.O!H607</f>
        <v>0</v>
      </c>
      <c r="AA605" s="272" t="e">
        <f t="shared" si="62"/>
        <v>#DIV/0!</v>
      </c>
      <c r="AB605" s="272" t="e">
        <f t="shared" si="63"/>
        <v>#DIV/0!</v>
      </c>
      <c r="AC605" s="272" t="e">
        <f t="shared" si="64"/>
        <v>#DIV/0!</v>
      </c>
    </row>
    <row r="606" spans="1:29" x14ac:dyDescent="0.2">
      <c r="A606" s="106">
        <f>Cadastro!A610</f>
        <v>0</v>
      </c>
      <c r="B606" s="27">
        <f>Cadastro!E608</f>
        <v>0</v>
      </c>
      <c r="C606">
        <f>pH_água!C606</f>
        <v>0</v>
      </c>
      <c r="D606">
        <f>pH_KCl!B607</f>
        <v>0</v>
      </c>
      <c r="E606">
        <f>'pH CaCl2'!C606</f>
        <v>0</v>
      </c>
      <c r="F606" s="104">
        <f>P_Mehlich1!H591</f>
        <v>0</v>
      </c>
      <c r="G606" s="123">
        <f>P_resina!H611</f>
        <v>0</v>
      </c>
      <c r="H606" s="272">
        <f>K!G576</f>
        <v>0</v>
      </c>
      <c r="I606" s="125">
        <v>0</v>
      </c>
      <c r="J606" s="272">
        <f>'Ca2+'!G607</f>
        <v>0</v>
      </c>
      <c r="K606" s="272">
        <f>Mg²!G609</f>
        <v>0</v>
      </c>
      <c r="L606" s="279">
        <f>Al³!C608</f>
        <v>0</v>
      </c>
      <c r="M606" s="279">
        <f>'H + Al'!D608</f>
        <v>0</v>
      </c>
      <c r="N606" s="272">
        <f t="shared" si="57"/>
        <v>0</v>
      </c>
      <c r="O606" s="272">
        <f t="shared" si="58"/>
        <v>0</v>
      </c>
      <c r="P606" s="272">
        <f t="shared" si="59"/>
        <v>0</v>
      </c>
      <c r="Q606" s="293" t="e">
        <f t="shared" si="60"/>
        <v>#DIV/0!</v>
      </c>
      <c r="R606" s="293" t="e">
        <f t="shared" si="61"/>
        <v>#DIV/0!</v>
      </c>
      <c r="S606">
        <f>Prem!H608</f>
        <v>0</v>
      </c>
      <c r="T606" s="281">
        <f>S!H612</f>
        <v>0</v>
      </c>
      <c r="U606" s="274">
        <f>B!H607</f>
        <v>0</v>
      </c>
      <c r="V606" s="272">
        <f>Zn!G608</f>
        <v>0</v>
      </c>
      <c r="W606" s="272">
        <f>Cu!G608</f>
        <v>0</v>
      </c>
      <c r="X606" s="272">
        <f>Mn!G608</f>
        <v>0</v>
      </c>
      <c r="Y606" s="272">
        <f>Fe!G608</f>
        <v>0</v>
      </c>
      <c r="Z606" s="274">
        <f>M.O!H608</f>
        <v>0</v>
      </c>
      <c r="AA606" s="272" t="e">
        <f t="shared" si="62"/>
        <v>#DIV/0!</v>
      </c>
      <c r="AB606" s="272" t="e">
        <f t="shared" si="63"/>
        <v>#DIV/0!</v>
      </c>
      <c r="AC606" s="272" t="e">
        <f t="shared" si="64"/>
        <v>#DIV/0!</v>
      </c>
    </row>
    <row r="607" spans="1:29" x14ac:dyDescent="0.2">
      <c r="A607" s="106">
        <f>Cadastro!A611</f>
        <v>0</v>
      </c>
      <c r="B607" s="27">
        <f>Cadastro!E609</f>
        <v>0</v>
      </c>
      <c r="C607">
        <f>pH_água!C607</f>
        <v>0</v>
      </c>
      <c r="D607">
        <f>pH_KCl!B608</f>
        <v>0</v>
      </c>
      <c r="E607">
        <f>'pH CaCl2'!C607</f>
        <v>0</v>
      </c>
      <c r="F607" s="104">
        <f>P_Mehlich1!H592</f>
        <v>0</v>
      </c>
      <c r="G607" s="123">
        <f>P_resina!H612</f>
        <v>0</v>
      </c>
      <c r="H607" s="272">
        <f>K!G577</f>
        <v>0</v>
      </c>
      <c r="I607" s="125">
        <v>0</v>
      </c>
      <c r="J607" s="272">
        <f>'Ca2+'!G608</f>
        <v>0</v>
      </c>
      <c r="K607" s="272">
        <f>Mg²!G610</f>
        <v>0</v>
      </c>
      <c r="L607" s="279">
        <f>Al³!C609</f>
        <v>0</v>
      </c>
      <c r="M607" s="279">
        <f>'H + Al'!D609</f>
        <v>0</v>
      </c>
      <c r="N607" s="272">
        <f t="shared" si="57"/>
        <v>0</v>
      </c>
      <c r="O607" s="272">
        <f t="shared" si="58"/>
        <v>0</v>
      </c>
      <c r="P607" s="272">
        <f t="shared" si="59"/>
        <v>0</v>
      </c>
      <c r="Q607" s="293" t="e">
        <f t="shared" si="60"/>
        <v>#DIV/0!</v>
      </c>
      <c r="R607" s="293" t="e">
        <f t="shared" si="61"/>
        <v>#DIV/0!</v>
      </c>
      <c r="S607">
        <f>Prem!H609</f>
        <v>0</v>
      </c>
      <c r="T607" s="281">
        <f>S!H613</f>
        <v>0</v>
      </c>
      <c r="U607" s="274">
        <f>B!H608</f>
        <v>0</v>
      </c>
      <c r="V607" s="272">
        <f>Zn!G609</f>
        <v>0</v>
      </c>
      <c r="W607" s="272">
        <f>Cu!G609</f>
        <v>0</v>
      </c>
      <c r="X607" s="272">
        <f>Mn!G609</f>
        <v>0</v>
      </c>
      <c r="Y607" s="272">
        <f>Fe!G609</f>
        <v>0</v>
      </c>
      <c r="Z607" s="274">
        <f>M.O!H609</f>
        <v>0</v>
      </c>
      <c r="AA607" s="272" t="e">
        <f t="shared" si="62"/>
        <v>#DIV/0!</v>
      </c>
      <c r="AB607" s="272" t="e">
        <f t="shared" si="63"/>
        <v>#DIV/0!</v>
      </c>
      <c r="AC607" s="272" t="e">
        <f t="shared" si="64"/>
        <v>#DIV/0!</v>
      </c>
    </row>
    <row r="608" spans="1:29" x14ac:dyDescent="0.2">
      <c r="A608" s="106">
        <f>Cadastro!A612</f>
        <v>0</v>
      </c>
      <c r="B608" s="27">
        <f>Cadastro!E610</f>
        <v>0</v>
      </c>
      <c r="C608">
        <f>pH_água!C608</f>
        <v>0</v>
      </c>
      <c r="D608">
        <f>pH_KCl!B609</f>
        <v>0</v>
      </c>
      <c r="E608">
        <f>'pH CaCl2'!C608</f>
        <v>0</v>
      </c>
      <c r="F608" s="104">
        <f>P_Mehlich1!H593</f>
        <v>0</v>
      </c>
      <c r="G608" s="123">
        <f>P_resina!H613</f>
        <v>0</v>
      </c>
      <c r="H608" s="272">
        <f>K!G578</f>
        <v>0</v>
      </c>
      <c r="I608" s="125">
        <v>0</v>
      </c>
      <c r="J608" s="272">
        <f>'Ca2+'!G609</f>
        <v>0</v>
      </c>
      <c r="K608" s="272">
        <f>Mg²!G611</f>
        <v>0</v>
      </c>
      <c r="L608" s="279">
        <f>Al³!C610</f>
        <v>0</v>
      </c>
      <c r="M608" s="279">
        <f>'H + Al'!D610</f>
        <v>0</v>
      </c>
      <c r="N608" s="272">
        <f t="shared" si="57"/>
        <v>0</v>
      </c>
      <c r="O608" s="272">
        <f t="shared" si="58"/>
        <v>0</v>
      </c>
      <c r="P608" s="272">
        <f t="shared" si="59"/>
        <v>0</v>
      </c>
      <c r="Q608" s="293" t="e">
        <f t="shared" si="60"/>
        <v>#DIV/0!</v>
      </c>
      <c r="R608" s="293" t="e">
        <f t="shared" si="61"/>
        <v>#DIV/0!</v>
      </c>
      <c r="S608">
        <f>Prem!H610</f>
        <v>0</v>
      </c>
      <c r="T608" s="281">
        <f>S!H614</f>
        <v>0</v>
      </c>
      <c r="U608" s="274">
        <f>B!H609</f>
        <v>0</v>
      </c>
      <c r="V608" s="272">
        <f>Zn!G610</f>
        <v>0</v>
      </c>
      <c r="W608" s="272">
        <f>Cu!G610</f>
        <v>0</v>
      </c>
      <c r="X608" s="272">
        <f>Mn!G610</f>
        <v>0</v>
      </c>
      <c r="Y608" s="272">
        <f>Fe!G610</f>
        <v>0</v>
      </c>
      <c r="Z608" s="274">
        <f>M.O!H610</f>
        <v>0</v>
      </c>
      <c r="AA608" s="272" t="e">
        <f t="shared" si="62"/>
        <v>#DIV/0!</v>
      </c>
      <c r="AB608" s="272" t="e">
        <f t="shared" si="63"/>
        <v>#DIV/0!</v>
      </c>
      <c r="AC608" s="272" t="e">
        <f t="shared" si="64"/>
        <v>#DIV/0!</v>
      </c>
    </row>
    <row r="609" spans="1:29" x14ac:dyDescent="0.2">
      <c r="A609" s="106">
        <f>Cadastro!A613</f>
        <v>0</v>
      </c>
      <c r="B609" s="27">
        <f>Cadastro!E611</f>
        <v>0</v>
      </c>
      <c r="C609">
        <f>pH_água!C609</f>
        <v>0</v>
      </c>
      <c r="D609">
        <f>pH_KCl!B610</f>
        <v>0</v>
      </c>
      <c r="E609">
        <f>'pH CaCl2'!C609</f>
        <v>0</v>
      </c>
      <c r="F609" s="104">
        <f>P_Mehlich1!H594</f>
        <v>0</v>
      </c>
      <c r="G609" s="123">
        <f>P_resina!H614</f>
        <v>0</v>
      </c>
      <c r="H609" s="272">
        <f>K!G579</f>
        <v>0</v>
      </c>
      <c r="I609" s="125">
        <v>0</v>
      </c>
      <c r="J609" s="272">
        <f>'Ca2+'!G610</f>
        <v>0</v>
      </c>
      <c r="K609" s="272">
        <f>Mg²!G612</f>
        <v>0</v>
      </c>
      <c r="L609" s="279">
        <f>Al³!C611</f>
        <v>0</v>
      </c>
      <c r="M609" s="279">
        <f>'H + Al'!D611</f>
        <v>0</v>
      </c>
      <c r="N609" s="272">
        <f t="shared" si="57"/>
        <v>0</v>
      </c>
      <c r="O609" s="272">
        <f t="shared" si="58"/>
        <v>0</v>
      </c>
      <c r="P609" s="272">
        <f t="shared" si="59"/>
        <v>0</v>
      </c>
      <c r="Q609" s="293" t="e">
        <f t="shared" si="60"/>
        <v>#DIV/0!</v>
      </c>
      <c r="R609" s="293" t="e">
        <f t="shared" si="61"/>
        <v>#DIV/0!</v>
      </c>
      <c r="S609">
        <f>Prem!H611</f>
        <v>0</v>
      </c>
      <c r="T609" s="281">
        <f>S!H615</f>
        <v>0</v>
      </c>
      <c r="U609" s="274">
        <f>B!H610</f>
        <v>0</v>
      </c>
      <c r="V609" s="272">
        <f>Zn!G611</f>
        <v>0</v>
      </c>
      <c r="W609" s="272">
        <f>Cu!G611</f>
        <v>0</v>
      </c>
      <c r="X609" s="272">
        <f>Mn!G611</f>
        <v>0</v>
      </c>
      <c r="Y609" s="272">
        <f>Fe!G611</f>
        <v>0</v>
      </c>
      <c r="Z609" s="274">
        <f>M.O!H611</f>
        <v>0</v>
      </c>
      <c r="AA609" s="272" t="e">
        <f t="shared" si="62"/>
        <v>#DIV/0!</v>
      </c>
      <c r="AB609" s="272" t="e">
        <f t="shared" si="63"/>
        <v>#DIV/0!</v>
      </c>
      <c r="AC609" s="272" t="e">
        <f t="shared" si="64"/>
        <v>#DIV/0!</v>
      </c>
    </row>
    <row r="610" spans="1:29" x14ac:dyDescent="0.2">
      <c r="A610" s="106">
        <f>Cadastro!A614</f>
        <v>0</v>
      </c>
      <c r="B610" s="27">
        <f>Cadastro!E612</f>
        <v>0</v>
      </c>
      <c r="C610">
        <f>pH_água!C610</f>
        <v>0</v>
      </c>
      <c r="D610">
        <f>pH_KCl!B611</f>
        <v>0</v>
      </c>
      <c r="E610">
        <f>'pH CaCl2'!C610</f>
        <v>0</v>
      </c>
      <c r="F610" s="104">
        <f>P_Mehlich1!H595</f>
        <v>0</v>
      </c>
      <c r="G610" s="123">
        <f>P_resina!H615</f>
        <v>0</v>
      </c>
      <c r="H610" s="272">
        <f>K!G580</f>
        <v>0</v>
      </c>
      <c r="I610" s="125">
        <v>0</v>
      </c>
      <c r="J610" s="272">
        <f>'Ca2+'!G611</f>
        <v>0</v>
      </c>
      <c r="K610" s="272">
        <f>Mg²!G613</f>
        <v>0</v>
      </c>
      <c r="L610" s="279">
        <f>Al³!C612</f>
        <v>0</v>
      </c>
      <c r="M610" s="279">
        <f>'H + Al'!D612</f>
        <v>0</v>
      </c>
      <c r="N610" s="272">
        <f t="shared" si="57"/>
        <v>0</v>
      </c>
      <c r="O610" s="272">
        <f t="shared" si="58"/>
        <v>0</v>
      </c>
      <c r="P610" s="272">
        <f t="shared" si="59"/>
        <v>0</v>
      </c>
      <c r="Q610" s="293" t="e">
        <f t="shared" si="60"/>
        <v>#DIV/0!</v>
      </c>
      <c r="R610" s="293" t="e">
        <f t="shared" si="61"/>
        <v>#DIV/0!</v>
      </c>
      <c r="S610">
        <f>Prem!H612</f>
        <v>0</v>
      </c>
      <c r="T610" s="281">
        <f>S!H616</f>
        <v>0</v>
      </c>
      <c r="U610" s="274">
        <f>B!H611</f>
        <v>0</v>
      </c>
      <c r="V610" s="272">
        <f>Zn!G612</f>
        <v>0</v>
      </c>
      <c r="W610" s="272">
        <f>Cu!G612</f>
        <v>0</v>
      </c>
      <c r="X610" s="272">
        <f>Mn!G612</f>
        <v>0</v>
      </c>
      <c r="Y610" s="272">
        <f>Fe!G612</f>
        <v>0</v>
      </c>
      <c r="Z610" s="274">
        <f>M.O!H612</f>
        <v>0</v>
      </c>
      <c r="AA610" s="272" t="e">
        <f t="shared" si="62"/>
        <v>#DIV/0!</v>
      </c>
      <c r="AB610" s="272" t="e">
        <f t="shared" si="63"/>
        <v>#DIV/0!</v>
      </c>
      <c r="AC610" s="272" t="e">
        <f t="shared" si="64"/>
        <v>#DIV/0!</v>
      </c>
    </row>
    <row r="611" spans="1:29" x14ac:dyDescent="0.2">
      <c r="A611" s="106">
        <f>Cadastro!A615</f>
        <v>0</v>
      </c>
      <c r="B611" s="27">
        <f>Cadastro!E613</f>
        <v>0</v>
      </c>
      <c r="C611">
        <f>pH_água!C611</f>
        <v>0</v>
      </c>
      <c r="D611">
        <f>pH_KCl!B612</f>
        <v>0</v>
      </c>
      <c r="E611">
        <f>'pH CaCl2'!C611</f>
        <v>0</v>
      </c>
      <c r="F611" s="104">
        <f>P_Mehlich1!H596</f>
        <v>0</v>
      </c>
      <c r="G611" s="123">
        <f>P_resina!H616</f>
        <v>0</v>
      </c>
      <c r="H611" s="272">
        <f>K!G581</f>
        <v>0</v>
      </c>
      <c r="I611" s="125">
        <v>0</v>
      </c>
      <c r="J611" s="272">
        <f>'Ca2+'!G612</f>
        <v>0</v>
      </c>
      <c r="K611" s="272">
        <f>Mg²!G614</f>
        <v>0</v>
      </c>
      <c r="L611" s="279">
        <f>Al³!C613</f>
        <v>0</v>
      </c>
      <c r="M611" s="279">
        <f>'H + Al'!D613</f>
        <v>0</v>
      </c>
      <c r="N611" s="272">
        <f t="shared" si="57"/>
        <v>0</v>
      </c>
      <c r="O611" s="272">
        <f t="shared" si="58"/>
        <v>0</v>
      </c>
      <c r="P611" s="272">
        <f t="shared" si="59"/>
        <v>0</v>
      </c>
      <c r="Q611" s="293" t="e">
        <f t="shared" si="60"/>
        <v>#DIV/0!</v>
      </c>
      <c r="R611" s="293" t="e">
        <f t="shared" si="61"/>
        <v>#DIV/0!</v>
      </c>
      <c r="S611">
        <f>Prem!H613</f>
        <v>0</v>
      </c>
      <c r="T611" s="281">
        <f>S!H617</f>
        <v>0</v>
      </c>
      <c r="U611" s="274">
        <f>B!H612</f>
        <v>0</v>
      </c>
      <c r="V611" s="272">
        <f>Zn!G613</f>
        <v>0</v>
      </c>
      <c r="W611" s="272">
        <f>Cu!G613</f>
        <v>0</v>
      </c>
      <c r="X611" s="272">
        <f>Mn!G613</f>
        <v>0</v>
      </c>
      <c r="Y611" s="272">
        <f>Fe!G613</f>
        <v>0</v>
      </c>
      <c r="Z611" s="274">
        <f>M.O!H613</f>
        <v>0</v>
      </c>
      <c r="AA611" s="272" t="e">
        <f t="shared" si="62"/>
        <v>#DIV/0!</v>
      </c>
      <c r="AB611" s="272" t="e">
        <f t="shared" si="63"/>
        <v>#DIV/0!</v>
      </c>
      <c r="AC611" s="272" t="e">
        <f t="shared" si="64"/>
        <v>#DIV/0!</v>
      </c>
    </row>
    <row r="612" spans="1:29" x14ac:dyDescent="0.2">
      <c r="A612" s="106">
        <f>Cadastro!A616</f>
        <v>0</v>
      </c>
      <c r="B612" s="27">
        <f>Cadastro!E614</f>
        <v>0</v>
      </c>
      <c r="C612">
        <f>pH_água!C612</f>
        <v>0</v>
      </c>
      <c r="D612">
        <f>pH_KCl!B613</f>
        <v>0</v>
      </c>
      <c r="E612">
        <f>'pH CaCl2'!C612</f>
        <v>0</v>
      </c>
      <c r="F612" s="104">
        <f>P_Mehlich1!H597</f>
        <v>0</v>
      </c>
      <c r="G612" s="123">
        <f>P_resina!H617</f>
        <v>0</v>
      </c>
      <c r="H612" s="272">
        <f>K!G582</f>
        <v>0</v>
      </c>
      <c r="I612" s="125">
        <v>0</v>
      </c>
      <c r="J612" s="272">
        <f>'Ca2+'!G613</f>
        <v>0</v>
      </c>
      <c r="K612" s="272">
        <f>Mg²!G615</f>
        <v>0</v>
      </c>
      <c r="L612" s="279">
        <f>Al³!C614</f>
        <v>0</v>
      </c>
      <c r="M612" s="279">
        <f>'H + Al'!D614</f>
        <v>0</v>
      </c>
      <c r="N612" s="272">
        <f t="shared" si="57"/>
        <v>0</v>
      </c>
      <c r="O612" s="272">
        <f t="shared" si="58"/>
        <v>0</v>
      </c>
      <c r="P612" s="272">
        <f t="shared" si="59"/>
        <v>0</v>
      </c>
      <c r="Q612" s="293" t="e">
        <f t="shared" si="60"/>
        <v>#DIV/0!</v>
      </c>
      <c r="R612" s="293" t="e">
        <f t="shared" si="61"/>
        <v>#DIV/0!</v>
      </c>
      <c r="S612">
        <f>Prem!H614</f>
        <v>0</v>
      </c>
      <c r="T612" s="281">
        <f>S!H618</f>
        <v>0</v>
      </c>
      <c r="U612" s="274">
        <f>B!H613</f>
        <v>0</v>
      </c>
      <c r="V612" s="272">
        <f>Zn!G614</f>
        <v>0</v>
      </c>
      <c r="W612" s="272">
        <f>Cu!G614</f>
        <v>0</v>
      </c>
      <c r="X612" s="272">
        <f>Mn!G614</f>
        <v>0</v>
      </c>
      <c r="Y612" s="272">
        <f>Fe!G614</f>
        <v>0</v>
      </c>
      <c r="Z612" s="274">
        <f>M.O!H614</f>
        <v>0</v>
      </c>
      <c r="AA612" s="272" t="e">
        <f t="shared" si="62"/>
        <v>#DIV/0!</v>
      </c>
      <c r="AB612" s="272" t="e">
        <f t="shared" si="63"/>
        <v>#DIV/0!</v>
      </c>
      <c r="AC612" s="272" t="e">
        <f t="shared" si="64"/>
        <v>#DIV/0!</v>
      </c>
    </row>
    <row r="613" spans="1:29" x14ac:dyDescent="0.2">
      <c r="A613" s="106">
        <f>Cadastro!A617</f>
        <v>0</v>
      </c>
      <c r="B613" s="27">
        <f>Cadastro!E615</f>
        <v>0</v>
      </c>
      <c r="C613">
        <f>pH_água!C613</f>
        <v>0</v>
      </c>
      <c r="D613">
        <f>pH_KCl!B614</f>
        <v>0</v>
      </c>
      <c r="E613">
        <f>'pH CaCl2'!C613</f>
        <v>0</v>
      </c>
      <c r="F613" s="104">
        <f>P_Mehlich1!H598</f>
        <v>0</v>
      </c>
      <c r="G613" s="123">
        <f>P_resina!H618</f>
        <v>0</v>
      </c>
      <c r="H613" s="272">
        <f>K!G583</f>
        <v>0</v>
      </c>
      <c r="I613" s="125">
        <v>0</v>
      </c>
      <c r="J613" s="272">
        <f>'Ca2+'!G614</f>
        <v>0</v>
      </c>
      <c r="K613" s="272">
        <f>Mg²!G616</f>
        <v>0</v>
      </c>
      <c r="L613" s="279">
        <f>Al³!C615</f>
        <v>0</v>
      </c>
      <c r="M613" s="279">
        <f>'H + Al'!D615</f>
        <v>0</v>
      </c>
      <c r="N613" s="272">
        <f t="shared" si="57"/>
        <v>0</v>
      </c>
      <c r="O613" s="272">
        <f t="shared" si="58"/>
        <v>0</v>
      </c>
      <c r="P613" s="272">
        <f t="shared" si="59"/>
        <v>0</v>
      </c>
      <c r="Q613" s="293" t="e">
        <f t="shared" si="60"/>
        <v>#DIV/0!</v>
      </c>
      <c r="R613" s="293" t="e">
        <f t="shared" si="61"/>
        <v>#DIV/0!</v>
      </c>
      <c r="S613">
        <f>Prem!H615</f>
        <v>0</v>
      </c>
      <c r="T613" s="281">
        <f>S!H619</f>
        <v>0</v>
      </c>
      <c r="U613" s="274">
        <f>B!H614</f>
        <v>0</v>
      </c>
      <c r="V613" s="272">
        <f>Zn!G615</f>
        <v>0</v>
      </c>
      <c r="W613" s="272">
        <f>Cu!G615</f>
        <v>0</v>
      </c>
      <c r="X613" s="272">
        <f>Mn!G615</f>
        <v>0</v>
      </c>
      <c r="Y613" s="272">
        <f>Fe!G615</f>
        <v>0</v>
      </c>
      <c r="Z613" s="274">
        <f>M.O!H615</f>
        <v>0</v>
      </c>
      <c r="AA613" s="272" t="e">
        <f t="shared" si="62"/>
        <v>#DIV/0!</v>
      </c>
      <c r="AB613" s="272" t="e">
        <f t="shared" si="63"/>
        <v>#DIV/0!</v>
      </c>
      <c r="AC613" s="272" t="e">
        <f t="shared" si="64"/>
        <v>#DIV/0!</v>
      </c>
    </row>
    <row r="614" spans="1:29" x14ac:dyDescent="0.2">
      <c r="A614" s="106">
        <f>Cadastro!A618</f>
        <v>0</v>
      </c>
      <c r="B614" s="27">
        <f>Cadastro!E616</f>
        <v>0</v>
      </c>
      <c r="C614">
        <f>pH_água!C614</f>
        <v>0</v>
      </c>
      <c r="D614">
        <f>pH_KCl!B615</f>
        <v>0</v>
      </c>
      <c r="E614">
        <f>'pH CaCl2'!C614</f>
        <v>0</v>
      </c>
      <c r="F614" s="104">
        <f>P_Mehlich1!H599</f>
        <v>0</v>
      </c>
      <c r="G614" s="123">
        <f>P_resina!H619</f>
        <v>0</v>
      </c>
      <c r="H614" s="272">
        <f>K!G584</f>
        <v>0</v>
      </c>
      <c r="I614" s="125">
        <v>0</v>
      </c>
      <c r="J614" s="272">
        <f>'Ca2+'!G615</f>
        <v>0</v>
      </c>
      <c r="K614" s="272">
        <f>Mg²!G617</f>
        <v>0</v>
      </c>
      <c r="L614" s="279">
        <f>Al³!C616</f>
        <v>0</v>
      </c>
      <c r="M614" s="279">
        <f>'H + Al'!D616</f>
        <v>0</v>
      </c>
      <c r="N614" s="272">
        <f t="shared" si="57"/>
        <v>0</v>
      </c>
      <c r="O614" s="272">
        <f t="shared" si="58"/>
        <v>0</v>
      </c>
      <c r="P614" s="272">
        <f t="shared" si="59"/>
        <v>0</v>
      </c>
      <c r="Q614" s="293" t="e">
        <f t="shared" si="60"/>
        <v>#DIV/0!</v>
      </c>
      <c r="R614" s="293" t="e">
        <f t="shared" si="61"/>
        <v>#DIV/0!</v>
      </c>
      <c r="S614">
        <f>Prem!H616</f>
        <v>0</v>
      </c>
      <c r="T614" s="281">
        <f>S!H620</f>
        <v>0</v>
      </c>
      <c r="U614" s="274">
        <f>B!H615</f>
        <v>0</v>
      </c>
      <c r="V614" s="272">
        <f>Zn!G616</f>
        <v>0</v>
      </c>
      <c r="W614" s="272">
        <f>Cu!G616</f>
        <v>0</v>
      </c>
      <c r="X614" s="272">
        <f>Mn!G616</f>
        <v>0</v>
      </c>
      <c r="Y614" s="272">
        <f>Fe!G616</f>
        <v>0</v>
      </c>
      <c r="Z614" s="274">
        <f>M.O!H616</f>
        <v>0</v>
      </c>
      <c r="AA614" s="272" t="e">
        <f t="shared" si="62"/>
        <v>#DIV/0!</v>
      </c>
      <c r="AB614" s="272" t="e">
        <f t="shared" si="63"/>
        <v>#DIV/0!</v>
      </c>
      <c r="AC614" s="272" t="e">
        <f t="shared" si="64"/>
        <v>#DIV/0!</v>
      </c>
    </row>
    <row r="615" spans="1:29" x14ac:dyDescent="0.2">
      <c r="A615" s="106">
        <f>Cadastro!A619</f>
        <v>0</v>
      </c>
      <c r="B615" s="27">
        <f>Cadastro!E617</f>
        <v>0</v>
      </c>
      <c r="C615">
        <f>pH_água!C615</f>
        <v>0</v>
      </c>
      <c r="D615">
        <f>pH_KCl!B616</f>
        <v>0</v>
      </c>
      <c r="E615">
        <f>'pH CaCl2'!C615</f>
        <v>0</v>
      </c>
      <c r="F615" s="104">
        <f>P_Mehlich1!H600</f>
        <v>0</v>
      </c>
      <c r="G615" s="123">
        <f>P_resina!H620</f>
        <v>0</v>
      </c>
      <c r="H615" s="272">
        <f>K!G585</f>
        <v>0</v>
      </c>
      <c r="I615" s="125">
        <v>0</v>
      </c>
      <c r="J615" s="272">
        <f>'Ca2+'!G616</f>
        <v>0</v>
      </c>
      <c r="K615" s="272">
        <f>Mg²!G618</f>
        <v>0</v>
      </c>
      <c r="L615" s="279">
        <f>Al³!C617</f>
        <v>0</v>
      </c>
      <c r="M615" s="279">
        <f>'H + Al'!D617</f>
        <v>0</v>
      </c>
      <c r="N615" s="272">
        <f t="shared" si="57"/>
        <v>0</v>
      </c>
      <c r="O615" s="272">
        <f t="shared" si="58"/>
        <v>0</v>
      </c>
      <c r="P615" s="272">
        <f t="shared" si="59"/>
        <v>0</v>
      </c>
      <c r="Q615" s="293" t="e">
        <f t="shared" si="60"/>
        <v>#DIV/0!</v>
      </c>
      <c r="R615" s="293" t="e">
        <f t="shared" si="61"/>
        <v>#DIV/0!</v>
      </c>
      <c r="S615">
        <f>Prem!H617</f>
        <v>0</v>
      </c>
      <c r="T615" s="281">
        <f>S!H621</f>
        <v>0</v>
      </c>
      <c r="U615" s="274">
        <f>B!H616</f>
        <v>0</v>
      </c>
      <c r="V615" s="272">
        <f>Zn!G617</f>
        <v>0</v>
      </c>
      <c r="W615" s="272">
        <f>Cu!G617</f>
        <v>0</v>
      </c>
      <c r="X615" s="272">
        <f>Mn!G617</f>
        <v>0</v>
      </c>
      <c r="Y615" s="272">
        <f>Fe!G617</f>
        <v>0</v>
      </c>
      <c r="Z615" s="274">
        <f>M.O!H617</f>
        <v>0</v>
      </c>
      <c r="AA615" s="272" t="e">
        <f t="shared" si="62"/>
        <v>#DIV/0!</v>
      </c>
      <c r="AB615" s="272" t="e">
        <f t="shared" si="63"/>
        <v>#DIV/0!</v>
      </c>
      <c r="AC615" s="272" t="e">
        <f t="shared" si="64"/>
        <v>#DIV/0!</v>
      </c>
    </row>
    <row r="616" spans="1:29" x14ac:dyDescent="0.2">
      <c r="A616" s="106">
        <f>Cadastro!A620</f>
        <v>0</v>
      </c>
      <c r="B616" s="27">
        <f>Cadastro!E618</f>
        <v>0</v>
      </c>
      <c r="C616">
        <f>pH_água!C616</f>
        <v>0</v>
      </c>
      <c r="D616">
        <f>pH_KCl!B617</f>
        <v>0</v>
      </c>
      <c r="E616">
        <f>'pH CaCl2'!C616</f>
        <v>0</v>
      </c>
      <c r="F616" s="104">
        <f>P_Mehlich1!H601</f>
        <v>0</v>
      </c>
      <c r="G616" s="123">
        <f>P_resina!H621</f>
        <v>0</v>
      </c>
      <c r="H616" s="272">
        <f>K!G586</f>
        <v>0</v>
      </c>
      <c r="I616" s="125">
        <v>0</v>
      </c>
      <c r="J616" s="272">
        <f>'Ca2+'!G617</f>
        <v>0</v>
      </c>
      <c r="K616" s="272">
        <f>Mg²!G619</f>
        <v>0</v>
      </c>
      <c r="L616" s="279">
        <f>Al³!C618</f>
        <v>0</v>
      </c>
      <c r="M616" s="279">
        <f>'H + Al'!D618</f>
        <v>0</v>
      </c>
      <c r="N616" s="272">
        <f t="shared" si="57"/>
        <v>0</v>
      </c>
      <c r="O616" s="272">
        <f t="shared" si="58"/>
        <v>0</v>
      </c>
      <c r="P616" s="272">
        <f t="shared" si="59"/>
        <v>0</v>
      </c>
      <c r="Q616" s="293" t="e">
        <f t="shared" si="60"/>
        <v>#DIV/0!</v>
      </c>
      <c r="R616" s="293" t="e">
        <f t="shared" si="61"/>
        <v>#DIV/0!</v>
      </c>
      <c r="S616">
        <f>Prem!H618</f>
        <v>0</v>
      </c>
      <c r="T616" s="281">
        <f>S!H622</f>
        <v>0</v>
      </c>
      <c r="U616" s="274">
        <f>B!H617</f>
        <v>0</v>
      </c>
      <c r="V616" s="272">
        <f>Zn!G618</f>
        <v>0</v>
      </c>
      <c r="W616" s="272">
        <f>Cu!G618</f>
        <v>0</v>
      </c>
      <c r="X616" s="272">
        <f>Mn!G618</f>
        <v>0</v>
      </c>
      <c r="Y616" s="272">
        <f>Fe!G618</f>
        <v>0</v>
      </c>
      <c r="Z616" s="274">
        <f>M.O!H618</f>
        <v>0</v>
      </c>
      <c r="AA616" s="272" t="e">
        <f t="shared" si="62"/>
        <v>#DIV/0!</v>
      </c>
      <c r="AB616" s="272" t="e">
        <f t="shared" si="63"/>
        <v>#DIV/0!</v>
      </c>
      <c r="AC616" s="272" t="e">
        <f t="shared" si="64"/>
        <v>#DIV/0!</v>
      </c>
    </row>
    <row r="617" spans="1:29" x14ac:dyDescent="0.2">
      <c r="A617" s="106">
        <f>Cadastro!A621</f>
        <v>0</v>
      </c>
      <c r="B617" s="27">
        <f>Cadastro!E619</f>
        <v>0</v>
      </c>
      <c r="C617">
        <f>pH_água!C617</f>
        <v>0</v>
      </c>
      <c r="D617">
        <f>pH_KCl!B618</f>
        <v>0</v>
      </c>
      <c r="E617">
        <f>'pH CaCl2'!C617</f>
        <v>0</v>
      </c>
      <c r="F617" s="104">
        <f>P_Mehlich1!H602</f>
        <v>0</v>
      </c>
      <c r="G617" s="123">
        <f>P_resina!H622</f>
        <v>0</v>
      </c>
      <c r="H617" s="272">
        <f>K!G587</f>
        <v>0</v>
      </c>
      <c r="I617" s="125">
        <v>0</v>
      </c>
      <c r="J617" s="272">
        <f>'Ca2+'!G618</f>
        <v>0</v>
      </c>
      <c r="K617" s="272">
        <f>Mg²!G620</f>
        <v>0</v>
      </c>
      <c r="L617" s="279">
        <f>Al³!C619</f>
        <v>0</v>
      </c>
      <c r="M617" s="279">
        <f>'H + Al'!D619</f>
        <v>0</v>
      </c>
      <c r="N617" s="272">
        <f t="shared" si="57"/>
        <v>0</v>
      </c>
      <c r="O617" s="272">
        <f t="shared" si="58"/>
        <v>0</v>
      </c>
      <c r="P617" s="272">
        <f t="shared" si="59"/>
        <v>0</v>
      </c>
      <c r="Q617" s="293" t="e">
        <f t="shared" si="60"/>
        <v>#DIV/0!</v>
      </c>
      <c r="R617" s="293" t="e">
        <f t="shared" si="61"/>
        <v>#DIV/0!</v>
      </c>
      <c r="S617">
        <f>Prem!H619</f>
        <v>0</v>
      </c>
      <c r="T617" s="281">
        <f>S!H623</f>
        <v>0</v>
      </c>
      <c r="U617" s="274">
        <f>B!H618</f>
        <v>0</v>
      </c>
      <c r="V617" s="272">
        <f>Zn!G619</f>
        <v>0</v>
      </c>
      <c r="W617" s="272">
        <f>Cu!G619</f>
        <v>0</v>
      </c>
      <c r="X617" s="272">
        <f>Mn!G619</f>
        <v>0</v>
      </c>
      <c r="Y617" s="272">
        <f>Fe!G619</f>
        <v>0</v>
      </c>
      <c r="Z617" s="274">
        <f>M.O!H619</f>
        <v>0</v>
      </c>
      <c r="AA617" s="272" t="e">
        <f t="shared" si="62"/>
        <v>#DIV/0!</v>
      </c>
      <c r="AB617" s="272" t="e">
        <f t="shared" si="63"/>
        <v>#DIV/0!</v>
      </c>
      <c r="AC617" s="272" t="e">
        <f t="shared" si="64"/>
        <v>#DIV/0!</v>
      </c>
    </row>
    <row r="618" spans="1:29" x14ac:dyDescent="0.2">
      <c r="A618" s="106">
        <f>Cadastro!A622</f>
        <v>0</v>
      </c>
      <c r="B618" s="27">
        <f>Cadastro!E620</f>
        <v>0</v>
      </c>
      <c r="C618">
        <f>pH_água!C618</f>
        <v>0</v>
      </c>
      <c r="D618">
        <f>pH_KCl!B619</f>
        <v>0</v>
      </c>
      <c r="E618">
        <f>'pH CaCl2'!C618</f>
        <v>0</v>
      </c>
      <c r="F618" s="104">
        <f>P_Mehlich1!H603</f>
        <v>0</v>
      </c>
      <c r="G618" s="123">
        <f>P_resina!H623</f>
        <v>0</v>
      </c>
      <c r="H618" s="272">
        <f>K!G588</f>
        <v>0</v>
      </c>
      <c r="I618" s="125">
        <v>0</v>
      </c>
      <c r="J618" s="272">
        <f>'Ca2+'!G619</f>
        <v>0</v>
      </c>
      <c r="K618" s="272">
        <f>Mg²!G621</f>
        <v>0</v>
      </c>
      <c r="L618" s="279">
        <f>Al³!C620</f>
        <v>0</v>
      </c>
      <c r="M618" s="279">
        <f>'H + Al'!D620</f>
        <v>0</v>
      </c>
      <c r="N618" s="272">
        <f t="shared" si="57"/>
        <v>0</v>
      </c>
      <c r="O618" s="272">
        <f t="shared" si="58"/>
        <v>0</v>
      </c>
      <c r="P618" s="272">
        <f t="shared" si="59"/>
        <v>0</v>
      </c>
      <c r="Q618" s="293" t="e">
        <f t="shared" si="60"/>
        <v>#DIV/0!</v>
      </c>
      <c r="R618" s="293" t="e">
        <f t="shared" si="61"/>
        <v>#DIV/0!</v>
      </c>
      <c r="S618">
        <f>Prem!H620</f>
        <v>0</v>
      </c>
      <c r="T618" s="281">
        <f>S!H624</f>
        <v>0</v>
      </c>
      <c r="U618" s="274">
        <f>B!H619</f>
        <v>0</v>
      </c>
      <c r="V618" s="272">
        <f>Zn!G620</f>
        <v>0</v>
      </c>
      <c r="W618" s="272">
        <f>Cu!G620</f>
        <v>0</v>
      </c>
      <c r="X618" s="272">
        <f>Mn!G620</f>
        <v>0</v>
      </c>
      <c r="Y618" s="272">
        <f>Fe!G620</f>
        <v>0</v>
      </c>
      <c r="Z618" s="274">
        <f>M.O!H620</f>
        <v>0</v>
      </c>
      <c r="AA618" s="272" t="e">
        <f t="shared" si="62"/>
        <v>#DIV/0!</v>
      </c>
      <c r="AB618" s="272" t="e">
        <f t="shared" si="63"/>
        <v>#DIV/0!</v>
      </c>
      <c r="AC618" s="272" t="e">
        <f t="shared" si="64"/>
        <v>#DIV/0!</v>
      </c>
    </row>
    <row r="619" spans="1:29" x14ac:dyDescent="0.2">
      <c r="A619" s="106">
        <f>Cadastro!A623</f>
        <v>0</v>
      </c>
      <c r="B619" s="27">
        <f>Cadastro!E621</f>
        <v>0</v>
      </c>
      <c r="C619">
        <f>pH_água!C619</f>
        <v>0</v>
      </c>
      <c r="D619">
        <f>pH_KCl!B620</f>
        <v>0</v>
      </c>
      <c r="E619">
        <f>'pH CaCl2'!C619</f>
        <v>0</v>
      </c>
      <c r="F619" s="104">
        <f>P_Mehlich1!H604</f>
        <v>0</v>
      </c>
      <c r="G619" s="123">
        <f>P_resina!H624</f>
        <v>0</v>
      </c>
      <c r="H619" s="272">
        <f>K!G589</f>
        <v>0</v>
      </c>
      <c r="I619" s="125">
        <v>0</v>
      </c>
      <c r="J619" s="272">
        <f>'Ca2+'!G620</f>
        <v>0</v>
      </c>
      <c r="K619" s="272">
        <f>Mg²!G622</f>
        <v>0</v>
      </c>
      <c r="L619" s="279">
        <f>Al³!C621</f>
        <v>0</v>
      </c>
      <c r="M619" s="279">
        <f>'H + Al'!D621</f>
        <v>0</v>
      </c>
      <c r="N619" s="272">
        <f t="shared" si="57"/>
        <v>0</v>
      </c>
      <c r="O619" s="272">
        <f t="shared" si="58"/>
        <v>0</v>
      </c>
      <c r="P619" s="272">
        <f t="shared" si="59"/>
        <v>0</v>
      </c>
      <c r="Q619" s="293" t="e">
        <f t="shared" si="60"/>
        <v>#DIV/0!</v>
      </c>
      <c r="R619" s="293" t="e">
        <f t="shared" si="61"/>
        <v>#DIV/0!</v>
      </c>
      <c r="S619">
        <f>Prem!H621</f>
        <v>0</v>
      </c>
      <c r="T619" s="281">
        <f>S!H625</f>
        <v>0</v>
      </c>
      <c r="U619" s="274">
        <f>B!H620</f>
        <v>0</v>
      </c>
      <c r="V619" s="272">
        <f>Zn!G621</f>
        <v>0</v>
      </c>
      <c r="W619" s="272">
        <f>Cu!G621</f>
        <v>0</v>
      </c>
      <c r="X619" s="272">
        <f>Mn!G621</f>
        <v>0</v>
      </c>
      <c r="Y619" s="272">
        <f>Fe!G621</f>
        <v>0</v>
      </c>
      <c r="Z619" s="274">
        <f>M.O!H621</f>
        <v>0</v>
      </c>
      <c r="AA619" s="272" t="e">
        <f t="shared" si="62"/>
        <v>#DIV/0!</v>
      </c>
      <c r="AB619" s="272" t="e">
        <f t="shared" si="63"/>
        <v>#DIV/0!</v>
      </c>
      <c r="AC619" s="272" t="e">
        <f t="shared" si="64"/>
        <v>#DIV/0!</v>
      </c>
    </row>
    <row r="620" spans="1:29" x14ac:dyDescent="0.2">
      <c r="A620" s="106">
        <f>Cadastro!A624</f>
        <v>0</v>
      </c>
      <c r="B620" s="27">
        <f>Cadastro!E622</f>
        <v>0</v>
      </c>
      <c r="C620">
        <f>pH_água!C620</f>
        <v>0</v>
      </c>
      <c r="D620">
        <f>pH_KCl!B621</f>
        <v>0</v>
      </c>
      <c r="E620">
        <f>'pH CaCl2'!C620</f>
        <v>0</v>
      </c>
      <c r="F620" s="104">
        <f>P_Mehlich1!H605</f>
        <v>0</v>
      </c>
      <c r="G620" s="123">
        <f>P_resina!H625</f>
        <v>0</v>
      </c>
      <c r="H620" s="272">
        <f>K!G590</f>
        <v>0</v>
      </c>
      <c r="I620" s="125">
        <v>0</v>
      </c>
      <c r="J620" s="272">
        <f>'Ca2+'!G621</f>
        <v>0</v>
      </c>
      <c r="K620" s="272">
        <f>Mg²!G623</f>
        <v>0</v>
      </c>
      <c r="L620" s="279">
        <f>Al³!C622</f>
        <v>0</v>
      </c>
      <c r="M620" s="279">
        <f>'H + Al'!D622</f>
        <v>0</v>
      </c>
      <c r="N620" s="272">
        <f t="shared" si="57"/>
        <v>0</v>
      </c>
      <c r="O620" s="272">
        <f t="shared" si="58"/>
        <v>0</v>
      </c>
      <c r="P620" s="272">
        <f t="shared" si="59"/>
        <v>0</v>
      </c>
      <c r="Q620" s="293" t="e">
        <f t="shared" si="60"/>
        <v>#DIV/0!</v>
      </c>
      <c r="R620" s="293" t="e">
        <f t="shared" si="61"/>
        <v>#DIV/0!</v>
      </c>
      <c r="S620">
        <f>Prem!H622</f>
        <v>0</v>
      </c>
      <c r="T620" s="281">
        <f>S!H626</f>
        <v>0</v>
      </c>
      <c r="U620" s="274">
        <f>B!H621</f>
        <v>0</v>
      </c>
      <c r="V620" s="272">
        <f>Zn!G622</f>
        <v>0</v>
      </c>
      <c r="W620" s="272">
        <f>Cu!G622</f>
        <v>0</v>
      </c>
      <c r="X620" s="272">
        <f>Mn!G622</f>
        <v>0</v>
      </c>
      <c r="Y620" s="272">
        <f>Fe!G622</f>
        <v>0</v>
      </c>
      <c r="Z620" s="274">
        <f>M.O!H622</f>
        <v>0</v>
      </c>
      <c r="AA620" s="272" t="e">
        <f t="shared" si="62"/>
        <v>#DIV/0!</v>
      </c>
      <c r="AB620" s="272" t="e">
        <f t="shared" si="63"/>
        <v>#DIV/0!</v>
      </c>
      <c r="AC620" s="272" t="e">
        <f t="shared" si="64"/>
        <v>#DIV/0!</v>
      </c>
    </row>
    <row r="621" spans="1:29" x14ac:dyDescent="0.2">
      <c r="A621" s="106">
        <f>Cadastro!A625</f>
        <v>0</v>
      </c>
      <c r="B621" s="27">
        <f>Cadastro!E623</f>
        <v>0</v>
      </c>
      <c r="C621">
        <f>pH_água!C621</f>
        <v>0</v>
      </c>
      <c r="D621">
        <f>pH_KCl!B622</f>
        <v>0</v>
      </c>
      <c r="E621">
        <f>'pH CaCl2'!C621</f>
        <v>0</v>
      </c>
      <c r="F621" s="104">
        <f>P_Mehlich1!H606</f>
        <v>0</v>
      </c>
      <c r="G621" s="123">
        <f>P_resina!H626</f>
        <v>0</v>
      </c>
      <c r="H621" s="272">
        <f>K!G591</f>
        <v>0</v>
      </c>
      <c r="I621" s="125">
        <v>0</v>
      </c>
      <c r="J621" s="272">
        <f>'Ca2+'!G622</f>
        <v>0</v>
      </c>
      <c r="K621" s="272">
        <f>Mg²!G624</f>
        <v>0</v>
      </c>
      <c r="L621" s="279">
        <f>Al³!C623</f>
        <v>0</v>
      </c>
      <c r="M621" s="279">
        <f>'H + Al'!D623</f>
        <v>0</v>
      </c>
      <c r="N621" s="272">
        <f t="shared" si="57"/>
        <v>0</v>
      </c>
      <c r="O621" s="272">
        <f t="shared" si="58"/>
        <v>0</v>
      </c>
      <c r="P621" s="272">
        <f t="shared" si="59"/>
        <v>0</v>
      </c>
      <c r="Q621" s="293" t="e">
        <f t="shared" si="60"/>
        <v>#DIV/0!</v>
      </c>
      <c r="R621" s="293" t="e">
        <f t="shared" si="61"/>
        <v>#DIV/0!</v>
      </c>
      <c r="S621">
        <f>Prem!H623</f>
        <v>0</v>
      </c>
      <c r="T621" s="281">
        <f>S!H627</f>
        <v>0</v>
      </c>
      <c r="U621" s="274">
        <f>B!H622</f>
        <v>0</v>
      </c>
      <c r="V621" s="272">
        <f>Zn!G623</f>
        <v>0</v>
      </c>
      <c r="W621" s="272">
        <f>Cu!G623</f>
        <v>0</v>
      </c>
      <c r="X621" s="272">
        <f>Mn!G623</f>
        <v>0</v>
      </c>
      <c r="Y621" s="272">
        <f>Fe!G623</f>
        <v>0</v>
      </c>
      <c r="Z621" s="274">
        <f>M.O!H623</f>
        <v>0</v>
      </c>
      <c r="AA621" s="272" t="e">
        <f t="shared" si="62"/>
        <v>#DIV/0!</v>
      </c>
      <c r="AB621" s="272" t="e">
        <f t="shared" si="63"/>
        <v>#DIV/0!</v>
      </c>
      <c r="AC621" s="272" t="e">
        <f t="shared" si="64"/>
        <v>#DIV/0!</v>
      </c>
    </row>
    <row r="622" spans="1:29" x14ac:dyDescent="0.2">
      <c r="A622" s="106">
        <f>Cadastro!A626</f>
        <v>0</v>
      </c>
      <c r="B622" s="27">
        <f>Cadastro!E624</f>
        <v>0</v>
      </c>
      <c r="C622">
        <f>pH_água!C622</f>
        <v>0</v>
      </c>
      <c r="D622">
        <f>pH_KCl!B623</f>
        <v>0</v>
      </c>
      <c r="E622">
        <f>'pH CaCl2'!C622</f>
        <v>0</v>
      </c>
      <c r="F622" s="104">
        <f>P_Mehlich1!H607</f>
        <v>0</v>
      </c>
      <c r="G622" s="123">
        <f>P_resina!H627</f>
        <v>0</v>
      </c>
      <c r="H622" s="272">
        <f>K!G592</f>
        <v>0</v>
      </c>
      <c r="I622" s="125">
        <v>0</v>
      </c>
      <c r="J622" s="272">
        <f>'Ca2+'!G623</f>
        <v>0</v>
      </c>
      <c r="K622" s="272">
        <f>Mg²!G625</f>
        <v>0</v>
      </c>
      <c r="L622" s="279">
        <f>Al³!C624</f>
        <v>0</v>
      </c>
      <c r="M622" s="279">
        <f>'H + Al'!D624</f>
        <v>0</v>
      </c>
      <c r="N622" s="272">
        <f t="shared" si="57"/>
        <v>0</v>
      </c>
      <c r="O622" s="272">
        <f t="shared" si="58"/>
        <v>0</v>
      </c>
      <c r="P622" s="272">
        <f t="shared" si="59"/>
        <v>0</v>
      </c>
      <c r="Q622" s="293" t="e">
        <f t="shared" si="60"/>
        <v>#DIV/0!</v>
      </c>
      <c r="R622" s="293" t="e">
        <f t="shared" si="61"/>
        <v>#DIV/0!</v>
      </c>
      <c r="S622">
        <f>Prem!H624</f>
        <v>0</v>
      </c>
      <c r="T622" s="281">
        <f>S!H628</f>
        <v>0</v>
      </c>
      <c r="U622" s="274">
        <f>B!H623</f>
        <v>0</v>
      </c>
      <c r="V622" s="272">
        <f>Zn!G624</f>
        <v>0</v>
      </c>
      <c r="W622" s="272">
        <f>Cu!G624</f>
        <v>0</v>
      </c>
      <c r="X622" s="272">
        <f>Mn!G624</f>
        <v>0</v>
      </c>
      <c r="Y622" s="272">
        <f>Fe!G624</f>
        <v>0</v>
      </c>
      <c r="Z622" s="274">
        <f>M.O!H624</f>
        <v>0</v>
      </c>
      <c r="AA622" s="272" t="e">
        <f t="shared" si="62"/>
        <v>#DIV/0!</v>
      </c>
      <c r="AB622" s="272" t="e">
        <f t="shared" si="63"/>
        <v>#DIV/0!</v>
      </c>
      <c r="AC622" s="272" t="e">
        <f t="shared" si="64"/>
        <v>#DIV/0!</v>
      </c>
    </row>
    <row r="623" spans="1:29" x14ac:dyDescent="0.2">
      <c r="A623" s="106">
        <f>Cadastro!A627</f>
        <v>0</v>
      </c>
      <c r="B623" s="27">
        <f>Cadastro!E625</f>
        <v>0</v>
      </c>
      <c r="C623">
        <f>pH_água!C623</f>
        <v>0</v>
      </c>
      <c r="D623">
        <f>pH_KCl!B624</f>
        <v>0</v>
      </c>
      <c r="E623">
        <f>'pH CaCl2'!C623</f>
        <v>0</v>
      </c>
      <c r="F623" s="104">
        <f>P_Mehlich1!H608</f>
        <v>0</v>
      </c>
      <c r="G623" s="123">
        <f>P_resina!H628</f>
        <v>0</v>
      </c>
      <c r="H623" s="272">
        <f>K!G593</f>
        <v>0</v>
      </c>
      <c r="I623" s="125">
        <v>0</v>
      </c>
      <c r="J623" s="272">
        <f>'Ca2+'!G624</f>
        <v>0</v>
      </c>
      <c r="K623" s="272">
        <f>Mg²!G626</f>
        <v>0</v>
      </c>
      <c r="L623" s="279">
        <f>Al³!C625</f>
        <v>0</v>
      </c>
      <c r="M623" s="279">
        <f>'H + Al'!D625</f>
        <v>0</v>
      </c>
      <c r="N623" s="272">
        <f t="shared" si="57"/>
        <v>0</v>
      </c>
      <c r="O623" s="272">
        <f t="shared" si="58"/>
        <v>0</v>
      </c>
      <c r="P623" s="272">
        <f t="shared" si="59"/>
        <v>0</v>
      </c>
      <c r="Q623" s="293" t="e">
        <f t="shared" si="60"/>
        <v>#DIV/0!</v>
      </c>
      <c r="R623" s="293" t="e">
        <f t="shared" si="61"/>
        <v>#DIV/0!</v>
      </c>
      <c r="S623">
        <f>Prem!H625</f>
        <v>0</v>
      </c>
      <c r="T623" s="281">
        <f>S!H629</f>
        <v>0</v>
      </c>
      <c r="U623" s="274">
        <f>B!H624</f>
        <v>0</v>
      </c>
      <c r="V623" s="272">
        <f>Zn!G625</f>
        <v>0</v>
      </c>
      <c r="W623" s="272">
        <f>Cu!G625</f>
        <v>0</v>
      </c>
      <c r="X623" s="272">
        <f>Mn!G625</f>
        <v>0</v>
      </c>
      <c r="Y623" s="272">
        <f>Fe!G625</f>
        <v>0</v>
      </c>
      <c r="Z623" s="274">
        <f>M.O!H625</f>
        <v>0</v>
      </c>
      <c r="AA623" s="272" t="e">
        <f t="shared" si="62"/>
        <v>#DIV/0!</v>
      </c>
      <c r="AB623" s="272" t="e">
        <f t="shared" si="63"/>
        <v>#DIV/0!</v>
      </c>
      <c r="AC623" s="272" t="e">
        <f t="shared" si="64"/>
        <v>#DIV/0!</v>
      </c>
    </row>
    <row r="624" spans="1:29" x14ac:dyDescent="0.2">
      <c r="A624" s="106">
        <f>Cadastro!A628</f>
        <v>0</v>
      </c>
      <c r="B624" s="27">
        <f>Cadastro!E626</f>
        <v>0</v>
      </c>
      <c r="C624">
        <f>pH_água!C624</f>
        <v>0</v>
      </c>
      <c r="D624">
        <f>pH_KCl!B625</f>
        <v>0</v>
      </c>
      <c r="E624">
        <f>'pH CaCl2'!C624</f>
        <v>0</v>
      </c>
      <c r="F624" s="104">
        <f>P_Mehlich1!H609</f>
        <v>0</v>
      </c>
      <c r="G624" s="123">
        <f>P_resina!H629</f>
        <v>0</v>
      </c>
      <c r="H624" s="272">
        <f>K!G594</f>
        <v>0</v>
      </c>
      <c r="I624" s="125">
        <v>0</v>
      </c>
      <c r="J624" s="272">
        <f>'Ca2+'!G625</f>
        <v>0</v>
      </c>
      <c r="K624" s="272">
        <f>Mg²!G627</f>
        <v>0</v>
      </c>
      <c r="L624" s="279">
        <f>Al³!C626</f>
        <v>0</v>
      </c>
      <c r="M624" s="279">
        <f>'H + Al'!D626</f>
        <v>0</v>
      </c>
      <c r="N624" s="272">
        <f t="shared" si="57"/>
        <v>0</v>
      </c>
      <c r="O624" s="272">
        <f t="shared" si="58"/>
        <v>0</v>
      </c>
      <c r="P624" s="272">
        <f t="shared" si="59"/>
        <v>0</v>
      </c>
      <c r="Q624" s="293" t="e">
        <f t="shared" si="60"/>
        <v>#DIV/0!</v>
      </c>
      <c r="R624" s="293" t="e">
        <f t="shared" si="61"/>
        <v>#DIV/0!</v>
      </c>
      <c r="S624">
        <f>Prem!H626</f>
        <v>0</v>
      </c>
      <c r="T624" s="281">
        <f>S!H630</f>
        <v>0</v>
      </c>
      <c r="U624" s="274">
        <f>B!H625</f>
        <v>0</v>
      </c>
      <c r="V624" s="272">
        <f>Zn!G626</f>
        <v>0</v>
      </c>
      <c r="W624" s="272">
        <f>Cu!G626</f>
        <v>0</v>
      </c>
      <c r="X624" s="272">
        <f>Mn!G626</f>
        <v>0</v>
      </c>
      <c r="Y624" s="272">
        <f>Fe!G626</f>
        <v>0</v>
      </c>
      <c r="Z624" s="274">
        <f>M.O!H626</f>
        <v>0</v>
      </c>
      <c r="AA624" s="272" t="e">
        <f t="shared" si="62"/>
        <v>#DIV/0!</v>
      </c>
      <c r="AB624" s="272" t="e">
        <f t="shared" si="63"/>
        <v>#DIV/0!</v>
      </c>
      <c r="AC624" s="272" t="e">
        <f t="shared" si="64"/>
        <v>#DIV/0!</v>
      </c>
    </row>
    <row r="625" spans="1:29" x14ac:dyDescent="0.2">
      <c r="A625" s="106">
        <f>Cadastro!A629</f>
        <v>0</v>
      </c>
      <c r="B625" s="27">
        <f>Cadastro!E627</f>
        <v>0</v>
      </c>
      <c r="C625">
        <f>pH_água!C625</f>
        <v>0</v>
      </c>
      <c r="D625">
        <f>pH_KCl!B626</f>
        <v>0</v>
      </c>
      <c r="E625">
        <f>'pH CaCl2'!C625</f>
        <v>0</v>
      </c>
      <c r="F625" s="104">
        <f>P_Mehlich1!H610</f>
        <v>0</v>
      </c>
      <c r="G625" s="123">
        <f>P_resina!H630</f>
        <v>0</v>
      </c>
      <c r="H625" s="272">
        <f>K!G595</f>
        <v>0</v>
      </c>
      <c r="I625" s="125">
        <v>0</v>
      </c>
      <c r="J625" s="272">
        <f>'Ca2+'!G626</f>
        <v>0</v>
      </c>
      <c r="K625" s="272">
        <f>Mg²!G628</f>
        <v>0</v>
      </c>
      <c r="L625" s="279">
        <f>Al³!C627</f>
        <v>0</v>
      </c>
      <c r="M625" s="279">
        <f>'H + Al'!D627</f>
        <v>0</v>
      </c>
      <c r="N625" s="272">
        <f t="shared" si="57"/>
        <v>0</v>
      </c>
      <c r="O625" s="272">
        <f t="shared" si="58"/>
        <v>0</v>
      </c>
      <c r="P625" s="272">
        <f t="shared" si="59"/>
        <v>0</v>
      </c>
      <c r="Q625" s="293" t="e">
        <f t="shared" si="60"/>
        <v>#DIV/0!</v>
      </c>
      <c r="R625" s="293" t="e">
        <f t="shared" si="61"/>
        <v>#DIV/0!</v>
      </c>
      <c r="S625">
        <f>Prem!H627</f>
        <v>0</v>
      </c>
      <c r="T625" s="281">
        <f>S!H631</f>
        <v>0</v>
      </c>
      <c r="U625" s="274">
        <f>B!H626</f>
        <v>0</v>
      </c>
      <c r="V625" s="272">
        <f>Zn!G627</f>
        <v>0</v>
      </c>
      <c r="W625" s="272">
        <f>Cu!G627</f>
        <v>0</v>
      </c>
      <c r="X625" s="272">
        <f>Mn!G627</f>
        <v>0</v>
      </c>
      <c r="Y625" s="272">
        <f>Fe!G627</f>
        <v>0</v>
      </c>
      <c r="Z625" s="274">
        <f>M.O!H627</f>
        <v>0</v>
      </c>
      <c r="AA625" s="272" t="e">
        <f t="shared" si="62"/>
        <v>#DIV/0!</v>
      </c>
      <c r="AB625" s="272" t="e">
        <f t="shared" si="63"/>
        <v>#DIV/0!</v>
      </c>
      <c r="AC625" s="272" t="e">
        <f t="shared" si="64"/>
        <v>#DIV/0!</v>
      </c>
    </row>
    <row r="626" spans="1:29" x14ac:dyDescent="0.2">
      <c r="A626" s="106">
        <f>Cadastro!A630</f>
        <v>0</v>
      </c>
      <c r="B626" s="27">
        <f>Cadastro!E628</f>
        <v>0</v>
      </c>
      <c r="C626">
        <f>pH_água!C626</f>
        <v>0</v>
      </c>
      <c r="D626">
        <f>pH_KCl!B627</f>
        <v>0</v>
      </c>
      <c r="E626">
        <f>'pH CaCl2'!C626</f>
        <v>0</v>
      </c>
      <c r="F626" s="104">
        <f>P_Mehlich1!H611</f>
        <v>0</v>
      </c>
      <c r="G626" s="123">
        <f>P_resina!H631</f>
        <v>0</v>
      </c>
      <c r="H626" s="272">
        <f>K!G596</f>
        <v>0</v>
      </c>
      <c r="I626" s="125">
        <v>0</v>
      </c>
      <c r="J626" s="272">
        <f>'Ca2+'!G627</f>
        <v>0</v>
      </c>
      <c r="K626" s="272">
        <f>Mg²!G629</f>
        <v>0</v>
      </c>
      <c r="L626" s="279">
        <f>Al³!C628</f>
        <v>0</v>
      </c>
      <c r="M626" s="279">
        <f>'H + Al'!D628</f>
        <v>0</v>
      </c>
      <c r="N626" s="272">
        <f t="shared" si="57"/>
        <v>0</v>
      </c>
      <c r="O626" s="272">
        <f t="shared" si="58"/>
        <v>0</v>
      </c>
      <c r="P626" s="272">
        <f t="shared" si="59"/>
        <v>0</v>
      </c>
      <c r="Q626" s="293" t="e">
        <f t="shared" si="60"/>
        <v>#DIV/0!</v>
      </c>
      <c r="R626" s="293" t="e">
        <f t="shared" si="61"/>
        <v>#DIV/0!</v>
      </c>
      <c r="S626">
        <f>Prem!H628</f>
        <v>0</v>
      </c>
      <c r="T626" s="281">
        <f>S!H632</f>
        <v>0</v>
      </c>
      <c r="U626" s="274">
        <f>B!H627</f>
        <v>0</v>
      </c>
      <c r="V626" s="272">
        <f>Zn!G628</f>
        <v>0</v>
      </c>
      <c r="W626" s="272">
        <f>Cu!G628</f>
        <v>0</v>
      </c>
      <c r="X626" s="272">
        <f>Mn!G628</f>
        <v>0</v>
      </c>
      <c r="Y626" s="272">
        <f>Fe!G628</f>
        <v>0</v>
      </c>
      <c r="Z626" s="274">
        <f>M.O!H628</f>
        <v>0</v>
      </c>
      <c r="AA626" s="272" t="e">
        <f t="shared" si="62"/>
        <v>#DIV/0!</v>
      </c>
      <c r="AB626" s="272" t="e">
        <f t="shared" si="63"/>
        <v>#DIV/0!</v>
      </c>
      <c r="AC626" s="272" t="e">
        <f t="shared" si="64"/>
        <v>#DIV/0!</v>
      </c>
    </row>
    <row r="627" spans="1:29" x14ac:dyDescent="0.2">
      <c r="A627" s="106">
        <f>Cadastro!A631</f>
        <v>0</v>
      </c>
      <c r="B627" s="27">
        <f>Cadastro!E629</f>
        <v>0</v>
      </c>
      <c r="C627">
        <f>pH_água!C627</f>
        <v>0</v>
      </c>
      <c r="D627">
        <f>pH_KCl!B628</f>
        <v>0</v>
      </c>
      <c r="E627">
        <f>'pH CaCl2'!C627</f>
        <v>0</v>
      </c>
      <c r="F627" s="104">
        <f>P_Mehlich1!H612</f>
        <v>0</v>
      </c>
      <c r="G627" s="123">
        <f>P_resina!H632</f>
        <v>0</v>
      </c>
      <c r="H627" s="272">
        <f>K!G597</f>
        <v>0</v>
      </c>
      <c r="I627" s="125">
        <v>0</v>
      </c>
      <c r="J627" s="272">
        <f>'Ca2+'!G628</f>
        <v>0</v>
      </c>
      <c r="K627" s="272">
        <f>Mg²!G630</f>
        <v>0</v>
      </c>
      <c r="L627" s="279">
        <f>Al³!C629</f>
        <v>0</v>
      </c>
      <c r="M627" s="279">
        <f>'H + Al'!D629</f>
        <v>0</v>
      </c>
      <c r="N627" s="272">
        <f t="shared" si="57"/>
        <v>0</v>
      </c>
      <c r="O627" s="272">
        <f t="shared" si="58"/>
        <v>0</v>
      </c>
      <c r="P627" s="272">
        <f t="shared" si="59"/>
        <v>0</v>
      </c>
      <c r="Q627" s="293" t="e">
        <f t="shared" si="60"/>
        <v>#DIV/0!</v>
      </c>
      <c r="R627" s="293" t="e">
        <f t="shared" si="61"/>
        <v>#DIV/0!</v>
      </c>
      <c r="S627">
        <f>Prem!H629</f>
        <v>0</v>
      </c>
      <c r="T627" s="281">
        <f>S!H633</f>
        <v>0</v>
      </c>
      <c r="U627" s="274">
        <f>B!H628</f>
        <v>0</v>
      </c>
      <c r="V627" s="272">
        <f>Zn!G629</f>
        <v>0</v>
      </c>
      <c r="W627" s="272">
        <f>Cu!G629</f>
        <v>0</v>
      </c>
      <c r="X627" s="272">
        <f>Mn!G629</f>
        <v>0</v>
      </c>
      <c r="Y627" s="272">
        <f>Fe!G629</f>
        <v>0</v>
      </c>
      <c r="Z627" s="274">
        <f>M.O!H629</f>
        <v>0</v>
      </c>
      <c r="AA627" s="272" t="e">
        <f t="shared" si="62"/>
        <v>#DIV/0!</v>
      </c>
      <c r="AB627" s="272" t="e">
        <f t="shared" si="63"/>
        <v>#DIV/0!</v>
      </c>
      <c r="AC627" s="272" t="e">
        <f t="shared" si="64"/>
        <v>#DIV/0!</v>
      </c>
    </row>
    <row r="628" spans="1:29" x14ac:dyDescent="0.2">
      <c r="A628" s="106">
        <f>Cadastro!A632</f>
        <v>0</v>
      </c>
      <c r="B628" s="27">
        <f>Cadastro!E630</f>
        <v>0</v>
      </c>
      <c r="C628">
        <f>pH_água!C628</f>
        <v>0</v>
      </c>
      <c r="D628">
        <f>pH_KCl!B629</f>
        <v>0</v>
      </c>
      <c r="E628">
        <f>'pH CaCl2'!C628</f>
        <v>0</v>
      </c>
      <c r="F628" s="104">
        <f>P_Mehlich1!H613</f>
        <v>0</v>
      </c>
      <c r="G628" s="123">
        <f>P_resina!H633</f>
        <v>0</v>
      </c>
      <c r="H628" s="272">
        <f>K!G598</f>
        <v>0</v>
      </c>
      <c r="I628" s="125">
        <v>0</v>
      </c>
      <c r="J628" s="272">
        <f>'Ca2+'!G629</f>
        <v>0</v>
      </c>
      <c r="K628" s="272">
        <f>Mg²!G631</f>
        <v>0</v>
      </c>
      <c r="L628" s="279">
        <f>Al³!C630</f>
        <v>0</v>
      </c>
      <c r="M628" s="279">
        <f>'H + Al'!D630</f>
        <v>0</v>
      </c>
      <c r="N628" s="272">
        <f t="shared" ref="N628:N691" si="65">(H628/390)+(I628/230)+J628+K628</f>
        <v>0</v>
      </c>
      <c r="O628" s="272">
        <f t="shared" ref="O628:O691" si="66">N628+L628</f>
        <v>0</v>
      </c>
      <c r="P628" s="272">
        <f t="shared" ref="P628:P691" si="67">N628+M628</f>
        <v>0</v>
      </c>
      <c r="Q628" s="293" t="e">
        <f t="shared" ref="Q628:Q691" si="68">(N628/P628)*100</f>
        <v>#DIV/0!</v>
      </c>
      <c r="R628" s="293" t="e">
        <f t="shared" ref="R628:R691" si="69">(L628/O628)*100</f>
        <v>#DIV/0!</v>
      </c>
      <c r="S628">
        <f>Prem!H630</f>
        <v>0</v>
      </c>
      <c r="T628" s="281">
        <f>S!H634</f>
        <v>0</v>
      </c>
      <c r="U628" s="274">
        <f>B!H629</f>
        <v>0</v>
      </c>
      <c r="V628" s="272">
        <f>Zn!G630</f>
        <v>0</v>
      </c>
      <c r="W628" s="272">
        <f>Cu!G630</f>
        <v>0</v>
      </c>
      <c r="X628" s="272">
        <f>Mn!G630</f>
        <v>0</v>
      </c>
      <c r="Y628" s="272">
        <f>Fe!G630</f>
        <v>0</v>
      </c>
      <c r="Z628" s="274">
        <f>M.O!H630</f>
        <v>0</v>
      </c>
      <c r="AA628" s="272" t="e">
        <f t="shared" ref="AA628:AA691" si="70">J628/K628</f>
        <v>#DIV/0!</v>
      </c>
      <c r="AB628" s="272" t="e">
        <f t="shared" ref="AB628:AB691" si="71">J628/(H628/390)</f>
        <v>#DIV/0!</v>
      </c>
      <c r="AC628" s="272" t="e">
        <f t="shared" ref="AC628:AC691" si="72">K628/(H628/390)</f>
        <v>#DIV/0!</v>
      </c>
    </row>
    <row r="629" spans="1:29" x14ac:dyDescent="0.2">
      <c r="A629" s="106">
        <f>Cadastro!A633</f>
        <v>0</v>
      </c>
      <c r="B629" s="27">
        <f>Cadastro!E631</f>
        <v>0</v>
      </c>
      <c r="C629">
        <f>pH_água!C629</f>
        <v>0</v>
      </c>
      <c r="D629">
        <f>pH_KCl!B630</f>
        <v>0</v>
      </c>
      <c r="E629">
        <f>'pH CaCl2'!C629</f>
        <v>0</v>
      </c>
      <c r="F629" s="104">
        <f>P_Mehlich1!H614</f>
        <v>0</v>
      </c>
      <c r="G629" s="123">
        <f>P_resina!H634</f>
        <v>0</v>
      </c>
      <c r="H629" s="272">
        <f>K!G599</f>
        <v>0</v>
      </c>
      <c r="I629" s="125">
        <v>0</v>
      </c>
      <c r="J629" s="272">
        <f>'Ca2+'!G630</f>
        <v>0</v>
      </c>
      <c r="K629" s="272">
        <f>Mg²!G632</f>
        <v>0</v>
      </c>
      <c r="L629" s="279">
        <f>Al³!C631</f>
        <v>0</v>
      </c>
      <c r="M629" s="279">
        <f>'H + Al'!D631</f>
        <v>0</v>
      </c>
      <c r="N629" s="272">
        <f t="shared" si="65"/>
        <v>0</v>
      </c>
      <c r="O629" s="272">
        <f t="shared" si="66"/>
        <v>0</v>
      </c>
      <c r="P629" s="272">
        <f t="shared" si="67"/>
        <v>0</v>
      </c>
      <c r="Q629" s="293" t="e">
        <f t="shared" si="68"/>
        <v>#DIV/0!</v>
      </c>
      <c r="R629" s="293" t="e">
        <f t="shared" si="69"/>
        <v>#DIV/0!</v>
      </c>
      <c r="S629">
        <f>Prem!H631</f>
        <v>0</v>
      </c>
      <c r="T629" s="281">
        <f>S!H635</f>
        <v>0</v>
      </c>
      <c r="U629" s="274">
        <f>B!H630</f>
        <v>0</v>
      </c>
      <c r="V629" s="272">
        <f>Zn!G631</f>
        <v>0</v>
      </c>
      <c r="W629" s="272">
        <f>Cu!G631</f>
        <v>0</v>
      </c>
      <c r="X629" s="272">
        <f>Mn!G631</f>
        <v>0</v>
      </c>
      <c r="Y629" s="272">
        <f>Fe!G631</f>
        <v>0</v>
      </c>
      <c r="Z629" s="274">
        <f>M.O!H631</f>
        <v>0</v>
      </c>
      <c r="AA629" s="272" t="e">
        <f t="shared" si="70"/>
        <v>#DIV/0!</v>
      </c>
      <c r="AB629" s="272" t="e">
        <f t="shared" si="71"/>
        <v>#DIV/0!</v>
      </c>
      <c r="AC629" s="272" t="e">
        <f t="shared" si="72"/>
        <v>#DIV/0!</v>
      </c>
    </row>
    <row r="630" spans="1:29" x14ac:dyDescent="0.2">
      <c r="A630" s="106">
        <f>Cadastro!A634</f>
        <v>0</v>
      </c>
      <c r="B630" s="27">
        <f>Cadastro!E632</f>
        <v>0</v>
      </c>
      <c r="C630">
        <f>pH_água!C630</f>
        <v>0</v>
      </c>
      <c r="D630">
        <f>pH_KCl!B631</f>
        <v>0</v>
      </c>
      <c r="E630">
        <f>'pH CaCl2'!C630</f>
        <v>0</v>
      </c>
      <c r="F630" s="104">
        <f>P_Mehlich1!H615</f>
        <v>0</v>
      </c>
      <c r="G630" s="123">
        <f>P_resina!H635</f>
        <v>0</v>
      </c>
      <c r="H630" s="272">
        <f>K!G600</f>
        <v>0</v>
      </c>
      <c r="I630" s="125">
        <v>0</v>
      </c>
      <c r="J630" s="272">
        <f>'Ca2+'!G631</f>
        <v>0</v>
      </c>
      <c r="K630" s="272">
        <f>Mg²!G633</f>
        <v>0</v>
      </c>
      <c r="L630" s="279">
        <f>Al³!C632</f>
        <v>0</v>
      </c>
      <c r="M630" s="279">
        <f>'H + Al'!D632</f>
        <v>0</v>
      </c>
      <c r="N630" s="272">
        <f t="shared" si="65"/>
        <v>0</v>
      </c>
      <c r="O630" s="272">
        <f t="shared" si="66"/>
        <v>0</v>
      </c>
      <c r="P630" s="272">
        <f t="shared" si="67"/>
        <v>0</v>
      </c>
      <c r="Q630" s="293" t="e">
        <f t="shared" si="68"/>
        <v>#DIV/0!</v>
      </c>
      <c r="R630" s="293" t="e">
        <f t="shared" si="69"/>
        <v>#DIV/0!</v>
      </c>
      <c r="S630">
        <f>Prem!H632</f>
        <v>0</v>
      </c>
      <c r="T630" s="281">
        <f>S!H636</f>
        <v>0</v>
      </c>
      <c r="U630" s="274">
        <f>B!H631</f>
        <v>0</v>
      </c>
      <c r="V630" s="272">
        <f>Zn!G632</f>
        <v>0</v>
      </c>
      <c r="W630" s="272">
        <f>Cu!G632</f>
        <v>0</v>
      </c>
      <c r="X630" s="272">
        <f>Mn!G632</f>
        <v>0</v>
      </c>
      <c r="Y630" s="272">
        <f>Fe!G632</f>
        <v>0</v>
      </c>
      <c r="Z630" s="274">
        <f>M.O!H632</f>
        <v>0</v>
      </c>
      <c r="AA630" s="272" t="e">
        <f t="shared" si="70"/>
        <v>#DIV/0!</v>
      </c>
      <c r="AB630" s="272" t="e">
        <f t="shared" si="71"/>
        <v>#DIV/0!</v>
      </c>
      <c r="AC630" s="272" t="e">
        <f t="shared" si="72"/>
        <v>#DIV/0!</v>
      </c>
    </row>
    <row r="631" spans="1:29" x14ac:dyDescent="0.2">
      <c r="A631" s="106">
        <f>Cadastro!A635</f>
        <v>0</v>
      </c>
      <c r="B631" s="27">
        <f>Cadastro!E633</f>
        <v>0</v>
      </c>
      <c r="C631">
        <f>pH_água!C631</f>
        <v>0</v>
      </c>
      <c r="D631">
        <f>pH_KCl!B632</f>
        <v>0</v>
      </c>
      <c r="E631">
        <f>'pH CaCl2'!C631</f>
        <v>0</v>
      </c>
      <c r="F631" s="104">
        <f>P_Mehlich1!H616</f>
        <v>0</v>
      </c>
      <c r="G631" s="123">
        <f>P_resina!H636</f>
        <v>0</v>
      </c>
      <c r="H631" s="272">
        <f>K!G601</f>
        <v>0</v>
      </c>
      <c r="I631" s="125">
        <v>0</v>
      </c>
      <c r="J631" s="272">
        <f>'Ca2+'!G632</f>
        <v>0</v>
      </c>
      <c r="K631" s="272">
        <f>Mg²!G634</f>
        <v>0</v>
      </c>
      <c r="L631" s="279">
        <f>Al³!C633</f>
        <v>0</v>
      </c>
      <c r="M631" s="279">
        <f>'H + Al'!D633</f>
        <v>0</v>
      </c>
      <c r="N631" s="272">
        <f t="shared" si="65"/>
        <v>0</v>
      </c>
      <c r="O631" s="272">
        <f t="shared" si="66"/>
        <v>0</v>
      </c>
      <c r="P631" s="272">
        <f t="shared" si="67"/>
        <v>0</v>
      </c>
      <c r="Q631" s="293" t="e">
        <f t="shared" si="68"/>
        <v>#DIV/0!</v>
      </c>
      <c r="R631" s="293" t="e">
        <f t="shared" si="69"/>
        <v>#DIV/0!</v>
      </c>
      <c r="S631">
        <f>Prem!H633</f>
        <v>0</v>
      </c>
      <c r="T631" s="281">
        <f>S!H637</f>
        <v>0</v>
      </c>
      <c r="U631" s="274">
        <f>B!H632</f>
        <v>0</v>
      </c>
      <c r="V631" s="272">
        <f>Zn!G633</f>
        <v>0</v>
      </c>
      <c r="W631" s="272">
        <f>Cu!G633</f>
        <v>0</v>
      </c>
      <c r="X631" s="272">
        <f>Mn!G633</f>
        <v>0</v>
      </c>
      <c r="Y631" s="272">
        <f>Fe!G633</f>
        <v>0</v>
      </c>
      <c r="Z631" s="274">
        <f>M.O!H633</f>
        <v>0</v>
      </c>
      <c r="AA631" s="272" t="e">
        <f t="shared" si="70"/>
        <v>#DIV/0!</v>
      </c>
      <c r="AB631" s="272" t="e">
        <f t="shared" si="71"/>
        <v>#DIV/0!</v>
      </c>
      <c r="AC631" s="272" t="e">
        <f t="shared" si="72"/>
        <v>#DIV/0!</v>
      </c>
    </row>
    <row r="632" spans="1:29" x14ac:dyDescent="0.2">
      <c r="A632" s="106">
        <f>Cadastro!A636</f>
        <v>0</v>
      </c>
      <c r="B632" s="27">
        <f>Cadastro!E634</f>
        <v>0</v>
      </c>
      <c r="C632">
        <f>pH_água!C632</f>
        <v>0</v>
      </c>
      <c r="D632">
        <f>pH_KCl!B633</f>
        <v>0</v>
      </c>
      <c r="E632">
        <f>'pH CaCl2'!C632</f>
        <v>0</v>
      </c>
      <c r="F632" s="104">
        <f>P_Mehlich1!H617</f>
        <v>0</v>
      </c>
      <c r="G632" s="123">
        <f>P_resina!H637</f>
        <v>0</v>
      </c>
      <c r="H632" s="272">
        <f>K!G602</f>
        <v>0</v>
      </c>
      <c r="I632" s="125">
        <v>0</v>
      </c>
      <c r="J632" s="272">
        <f>'Ca2+'!G633</f>
        <v>0</v>
      </c>
      <c r="K632" s="272">
        <f>Mg²!G635</f>
        <v>0</v>
      </c>
      <c r="L632" s="279">
        <f>Al³!C634</f>
        <v>0</v>
      </c>
      <c r="M632" s="279">
        <f>'H + Al'!D634</f>
        <v>0</v>
      </c>
      <c r="N632" s="272">
        <f t="shared" si="65"/>
        <v>0</v>
      </c>
      <c r="O632" s="272">
        <f t="shared" si="66"/>
        <v>0</v>
      </c>
      <c r="P632" s="272">
        <f t="shared" si="67"/>
        <v>0</v>
      </c>
      <c r="Q632" s="293" t="e">
        <f t="shared" si="68"/>
        <v>#DIV/0!</v>
      </c>
      <c r="R632" s="293" t="e">
        <f t="shared" si="69"/>
        <v>#DIV/0!</v>
      </c>
      <c r="S632">
        <f>Prem!H634</f>
        <v>0</v>
      </c>
      <c r="T632" s="281">
        <f>S!H638</f>
        <v>0</v>
      </c>
      <c r="U632" s="274">
        <f>B!H633</f>
        <v>0</v>
      </c>
      <c r="V632" s="272">
        <f>Zn!G634</f>
        <v>0</v>
      </c>
      <c r="W632" s="272">
        <f>Cu!G634</f>
        <v>0</v>
      </c>
      <c r="X632" s="272">
        <f>Mn!G634</f>
        <v>0</v>
      </c>
      <c r="Y632" s="272">
        <f>Fe!G634</f>
        <v>0</v>
      </c>
      <c r="Z632" s="274">
        <f>M.O!H634</f>
        <v>0</v>
      </c>
      <c r="AA632" s="272" t="e">
        <f t="shared" si="70"/>
        <v>#DIV/0!</v>
      </c>
      <c r="AB632" s="272" t="e">
        <f t="shared" si="71"/>
        <v>#DIV/0!</v>
      </c>
      <c r="AC632" s="272" t="e">
        <f t="shared" si="72"/>
        <v>#DIV/0!</v>
      </c>
    </row>
    <row r="633" spans="1:29" x14ac:dyDescent="0.2">
      <c r="A633" s="106">
        <f>Cadastro!A637</f>
        <v>0</v>
      </c>
      <c r="B633" s="27">
        <f>Cadastro!E635</f>
        <v>0</v>
      </c>
      <c r="C633">
        <f>pH_água!C633</f>
        <v>0</v>
      </c>
      <c r="D633">
        <f>pH_KCl!B634</f>
        <v>0</v>
      </c>
      <c r="E633">
        <f>'pH CaCl2'!C633</f>
        <v>0</v>
      </c>
      <c r="F633" s="104">
        <f>P_Mehlich1!H618</f>
        <v>0</v>
      </c>
      <c r="G633" s="123">
        <f>P_resina!H638</f>
        <v>0</v>
      </c>
      <c r="H633" s="272">
        <f>K!G603</f>
        <v>0</v>
      </c>
      <c r="I633" s="125">
        <v>0</v>
      </c>
      <c r="J633" s="272">
        <f>'Ca2+'!G634</f>
        <v>0</v>
      </c>
      <c r="K633" s="272">
        <f>Mg²!G636</f>
        <v>0</v>
      </c>
      <c r="L633" s="279">
        <f>Al³!C635</f>
        <v>0</v>
      </c>
      <c r="M633" s="279">
        <f>'H + Al'!D635</f>
        <v>0</v>
      </c>
      <c r="N633" s="272">
        <f t="shared" si="65"/>
        <v>0</v>
      </c>
      <c r="O633" s="272">
        <f t="shared" si="66"/>
        <v>0</v>
      </c>
      <c r="P633" s="272">
        <f t="shared" si="67"/>
        <v>0</v>
      </c>
      <c r="Q633" s="293" t="e">
        <f t="shared" si="68"/>
        <v>#DIV/0!</v>
      </c>
      <c r="R633" s="293" t="e">
        <f t="shared" si="69"/>
        <v>#DIV/0!</v>
      </c>
      <c r="S633">
        <f>Prem!H635</f>
        <v>0</v>
      </c>
      <c r="T633" s="281">
        <f>S!H639</f>
        <v>0</v>
      </c>
      <c r="U633" s="274">
        <f>B!H634</f>
        <v>0</v>
      </c>
      <c r="V633" s="272">
        <f>Zn!G635</f>
        <v>0</v>
      </c>
      <c r="W633" s="272">
        <f>Cu!G635</f>
        <v>0</v>
      </c>
      <c r="X633" s="272">
        <f>Mn!G635</f>
        <v>0</v>
      </c>
      <c r="Y633" s="272">
        <f>Fe!G635</f>
        <v>0</v>
      </c>
      <c r="Z633" s="274">
        <f>M.O!H635</f>
        <v>0</v>
      </c>
      <c r="AA633" s="272" t="e">
        <f t="shared" si="70"/>
        <v>#DIV/0!</v>
      </c>
      <c r="AB633" s="272" t="e">
        <f t="shared" si="71"/>
        <v>#DIV/0!</v>
      </c>
      <c r="AC633" s="272" t="e">
        <f t="shared" si="72"/>
        <v>#DIV/0!</v>
      </c>
    </row>
    <row r="634" spans="1:29" x14ac:dyDescent="0.2">
      <c r="A634" s="106">
        <f>Cadastro!A638</f>
        <v>0</v>
      </c>
      <c r="B634" s="27">
        <f>Cadastro!E636</f>
        <v>0</v>
      </c>
      <c r="C634">
        <f>pH_água!C634</f>
        <v>0</v>
      </c>
      <c r="D634">
        <f>pH_KCl!B635</f>
        <v>0</v>
      </c>
      <c r="E634">
        <f>'pH CaCl2'!C634</f>
        <v>0</v>
      </c>
      <c r="F634" s="104">
        <f>P_Mehlich1!H619</f>
        <v>0</v>
      </c>
      <c r="G634" s="123">
        <f>P_resina!H639</f>
        <v>0</v>
      </c>
      <c r="H634" s="272">
        <f>K!G604</f>
        <v>0</v>
      </c>
      <c r="I634" s="125">
        <v>0</v>
      </c>
      <c r="J634" s="272">
        <f>'Ca2+'!G635</f>
        <v>0</v>
      </c>
      <c r="K634" s="272">
        <f>Mg²!G637</f>
        <v>0</v>
      </c>
      <c r="L634" s="279">
        <f>Al³!C636</f>
        <v>0</v>
      </c>
      <c r="M634" s="279">
        <f>'H + Al'!D636</f>
        <v>0</v>
      </c>
      <c r="N634" s="272">
        <f t="shared" si="65"/>
        <v>0</v>
      </c>
      <c r="O634" s="272">
        <f t="shared" si="66"/>
        <v>0</v>
      </c>
      <c r="P634" s="272">
        <f t="shared" si="67"/>
        <v>0</v>
      </c>
      <c r="Q634" s="293" t="e">
        <f t="shared" si="68"/>
        <v>#DIV/0!</v>
      </c>
      <c r="R634" s="293" t="e">
        <f t="shared" si="69"/>
        <v>#DIV/0!</v>
      </c>
      <c r="S634">
        <f>Prem!H636</f>
        <v>0</v>
      </c>
      <c r="T634" s="281">
        <f>S!H640</f>
        <v>0</v>
      </c>
      <c r="U634" s="274">
        <f>B!H635</f>
        <v>0</v>
      </c>
      <c r="V634" s="272">
        <f>Zn!G636</f>
        <v>0</v>
      </c>
      <c r="W634" s="272">
        <f>Cu!G636</f>
        <v>0</v>
      </c>
      <c r="X634" s="272">
        <f>Mn!G636</f>
        <v>0</v>
      </c>
      <c r="Y634" s="272">
        <f>Fe!G636</f>
        <v>0</v>
      </c>
      <c r="Z634" s="274">
        <f>M.O!H636</f>
        <v>0</v>
      </c>
      <c r="AA634" s="272" t="e">
        <f t="shared" si="70"/>
        <v>#DIV/0!</v>
      </c>
      <c r="AB634" s="272" t="e">
        <f t="shared" si="71"/>
        <v>#DIV/0!</v>
      </c>
      <c r="AC634" s="272" t="e">
        <f t="shared" si="72"/>
        <v>#DIV/0!</v>
      </c>
    </row>
    <row r="635" spans="1:29" x14ac:dyDescent="0.2">
      <c r="A635" s="106">
        <f>Cadastro!A639</f>
        <v>0</v>
      </c>
      <c r="B635" s="27">
        <f>Cadastro!E637</f>
        <v>0</v>
      </c>
      <c r="C635">
        <f>pH_água!C635</f>
        <v>0</v>
      </c>
      <c r="D635">
        <f>pH_KCl!B636</f>
        <v>0</v>
      </c>
      <c r="E635">
        <f>'pH CaCl2'!C635</f>
        <v>0</v>
      </c>
      <c r="F635" s="104">
        <f>P_Mehlich1!H620</f>
        <v>0</v>
      </c>
      <c r="G635" s="123">
        <f>P_resina!H640</f>
        <v>0</v>
      </c>
      <c r="H635" s="272">
        <f>K!G605</f>
        <v>0</v>
      </c>
      <c r="I635" s="125">
        <v>0</v>
      </c>
      <c r="J635" s="272">
        <f>'Ca2+'!G636</f>
        <v>0</v>
      </c>
      <c r="K635" s="272">
        <f>Mg²!G638</f>
        <v>0</v>
      </c>
      <c r="L635" s="279">
        <f>Al³!C637</f>
        <v>0</v>
      </c>
      <c r="M635" s="279">
        <f>'H + Al'!D637</f>
        <v>0</v>
      </c>
      <c r="N635" s="272">
        <f t="shared" si="65"/>
        <v>0</v>
      </c>
      <c r="O635" s="272">
        <f t="shared" si="66"/>
        <v>0</v>
      </c>
      <c r="P635" s="272">
        <f t="shared" si="67"/>
        <v>0</v>
      </c>
      <c r="Q635" s="293" t="e">
        <f t="shared" si="68"/>
        <v>#DIV/0!</v>
      </c>
      <c r="R635" s="293" t="e">
        <f t="shared" si="69"/>
        <v>#DIV/0!</v>
      </c>
      <c r="S635">
        <f>Prem!H637</f>
        <v>0</v>
      </c>
      <c r="T635" s="281">
        <f>S!H641</f>
        <v>0</v>
      </c>
      <c r="U635" s="274">
        <f>B!H636</f>
        <v>0</v>
      </c>
      <c r="V635" s="272">
        <f>Zn!G637</f>
        <v>0</v>
      </c>
      <c r="W635" s="272">
        <f>Cu!G637</f>
        <v>0</v>
      </c>
      <c r="X635" s="272">
        <f>Mn!G637</f>
        <v>0</v>
      </c>
      <c r="Y635" s="272">
        <f>Fe!G637</f>
        <v>0</v>
      </c>
      <c r="Z635" s="274">
        <f>M.O!H637</f>
        <v>0</v>
      </c>
      <c r="AA635" s="272" t="e">
        <f t="shared" si="70"/>
        <v>#DIV/0!</v>
      </c>
      <c r="AB635" s="272" t="e">
        <f t="shared" si="71"/>
        <v>#DIV/0!</v>
      </c>
      <c r="AC635" s="272" t="e">
        <f t="shared" si="72"/>
        <v>#DIV/0!</v>
      </c>
    </row>
    <row r="636" spans="1:29" x14ac:dyDescent="0.2">
      <c r="A636" s="106">
        <f>Cadastro!A640</f>
        <v>0</v>
      </c>
      <c r="B636" s="27">
        <f>Cadastro!E638</f>
        <v>0</v>
      </c>
      <c r="C636">
        <f>pH_água!C636</f>
        <v>0</v>
      </c>
      <c r="D636">
        <f>pH_KCl!B637</f>
        <v>0</v>
      </c>
      <c r="E636">
        <f>'pH CaCl2'!C636</f>
        <v>0</v>
      </c>
      <c r="F636" s="104">
        <f>P_Mehlich1!H621</f>
        <v>0</v>
      </c>
      <c r="G636" s="123">
        <f>P_resina!H641</f>
        <v>0</v>
      </c>
      <c r="H636" s="272">
        <f>K!G606</f>
        <v>0</v>
      </c>
      <c r="I636" s="125">
        <v>0</v>
      </c>
      <c r="J636" s="272">
        <f>'Ca2+'!G637</f>
        <v>0</v>
      </c>
      <c r="K636" s="272">
        <f>Mg²!G639</f>
        <v>0</v>
      </c>
      <c r="L636" s="279">
        <f>Al³!C638</f>
        <v>0</v>
      </c>
      <c r="M636" s="279">
        <f>'H + Al'!D638</f>
        <v>0</v>
      </c>
      <c r="N636" s="272">
        <f t="shared" si="65"/>
        <v>0</v>
      </c>
      <c r="O636" s="272">
        <f t="shared" si="66"/>
        <v>0</v>
      </c>
      <c r="P636" s="272">
        <f t="shared" si="67"/>
        <v>0</v>
      </c>
      <c r="Q636" s="293" t="e">
        <f t="shared" si="68"/>
        <v>#DIV/0!</v>
      </c>
      <c r="R636" s="293" t="e">
        <f t="shared" si="69"/>
        <v>#DIV/0!</v>
      </c>
      <c r="S636">
        <f>Prem!H638</f>
        <v>0</v>
      </c>
      <c r="T636" s="281">
        <f>S!H642</f>
        <v>0</v>
      </c>
      <c r="U636" s="274">
        <f>B!H637</f>
        <v>0</v>
      </c>
      <c r="V636" s="272">
        <f>Zn!G638</f>
        <v>0</v>
      </c>
      <c r="W636" s="272">
        <f>Cu!G638</f>
        <v>0</v>
      </c>
      <c r="X636" s="272">
        <f>Mn!G638</f>
        <v>0</v>
      </c>
      <c r="Y636" s="272">
        <f>Fe!G638</f>
        <v>0</v>
      </c>
      <c r="Z636" s="274">
        <f>M.O!H638</f>
        <v>0</v>
      </c>
      <c r="AA636" s="272" t="e">
        <f t="shared" si="70"/>
        <v>#DIV/0!</v>
      </c>
      <c r="AB636" s="272" t="e">
        <f t="shared" si="71"/>
        <v>#DIV/0!</v>
      </c>
      <c r="AC636" s="272" t="e">
        <f t="shared" si="72"/>
        <v>#DIV/0!</v>
      </c>
    </row>
    <row r="637" spans="1:29" x14ac:dyDescent="0.2">
      <c r="A637" s="106">
        <f>Cadastro!A641</f>
        <v>0</v>
      </c>
      <c r="B637" s="27">
        <f>Cadastro!E639</f>
        <v>0</v>
      </c>
      <c r="C637">
        <f>pH_água!C637</f>
        <v>0</v>
      </c>
      <c r="D637">
        <f>pH_KCl!B638</f>
        <v>0</v>
      </c>
      <c r="E637">
        <f>'pH CaCl2'!C637</f>
        <v>0</v>
      </c>
      <c r="F637" s="104">
        <f>P_Mehlich1!H622</f>
        <v>0</v>
      </c>
      <c r="G637" s="123">
        <f>P_resina!H642</f>
        <v>0</v>
      </c>
      <c r="H637" s="272">
        <f>K!G607</f>
        <v>0</v>
      </c>
      <c r="I637" s="125">
        <v>0</v>
      </c>
      <c r="J637" s="272">
        <f>'Ca2+'!G638</f>
        <v>0</v>
      </c>
      <c r="K637" s="272">
        <f>Mg²!G640</f>
        <v>0</v>
      </c>
      <c r="L637" s="279">
        <f>Al³!C639</f>
        <v>0</v>
      </c>
      <c r="M637" s="279">
        <f>'H + Al'!D639</f>
        <v>0</v>
      </c>
      <c r="N637" s="272">
        <f t="shared" si="65"/>
        <v>0</v>
      </c>
      <c r="O637" s="272">
        <f t="shared" si="66"/>
        <v>0</v>
      </c>
      <c r="P637" s="272">
        <f t="shared" si="67"/>
        <v>0</v>
      </c>
      <c r="Q637" s="293" t="e">
        <f t="shared" si="68"/>
        <v>#DIV/0!</v>
      </c>
      <c r="R637" s="293" t="e">
        <f t="shared" si="69"/>
        <v>#DIV/0!</v>
      </c>
      <c r="S637">
        <f>Prem!H639</f>
        <v>0</v>
      </c>
      <c r="T637" s="281">
        <f>S!H643</f>
        <v>0</v>
      </c>
      <c r="U637" s="274">
        <f>B!H638</f>
        <v>0</v>
      </c>
      <c r="V637" s="272">
        <f>Zn!G639</f>
        <v>0</v>
      </c>
      <c r="W637" s="272">
        <f>Cu!G639</f>
        <v>0</v>
      </c>
      <c r="X637" s="272">
        <f>Mn!G639</f>
        <v>0</v>
      </c>
      <c r="Y637" s="272">
        <f>Fe!G639</f>
        <v>0</v>
      </c>
      <c r="Z637" s="274">
        <f>M.O!H639</f>
        <v>0</v>
      </c>
      <c r="AA637" s="272" t="e">
        <f t="shared" si="70"/>
        <v>#DIV/0!</v>
      </c>
      <c r="AB637" s="272" t="e">
        <f t="shared" si="71"/>
        <v>#DIV/0!</v>
      </c>
      <c r="AC637" s="272" t="e">
        <f t="shared" si="72"/>
        <v>#DIV/0!</v>
      </c>
    </row>
    <row r="638" spans="1:29" x14ac:dyDescent="0.2">
      <c r="A638" s="106">
        <f>Cadastro!A642</f>
        <v>0</v>
      </c>
      <c r="B638" s="27">
        <f>Cadastro!E640</f>
        <v>0</v>
      </c>
      <c r="C638">
        <f>pH_água!C638</f>
        <v>0</v>
      </c>
      <c r="D638">
        <f>pH_KCl!B639</f>
        <v>0</v>
      </c>
      <c r="E638">
        <f>'pH CaCl2'!C638</f>
        <v>0</v>
      </c>
      <c r="F638" s="104">
        <f>P_Mehlich1!H623</f>
        <v>0</v>
      </c>
      <c r="G638" s="123">
        <f>P_resina!H643</f>
        <v>0</v>
      </c>
      <c r="H638" s="272">
        <f>K!G608</f>
        <v>0</v>
      </c>
      <c r="I638" s="125">
        <v>0</v>
      </c>
      <c r="J638" s="272">
        <f>'Ca2+'!G639</f>
        <v>0</v>
      </c>
      <c r="K638" s="272">
        <f>Mg²!G641</f>
        <v>0</v>
      </c>
      <c r="L638" s="279">
        <f>Al³!C640</f>
        <v>0</v>
      </c>
      <c r="M638" s="279">
        <f>'H + Al'!D640</f>
        <v>0</v>
      </c>
      <c r="N638" s="272">
        <f t="shared" si="65"/>
        <v>0</v>
      </c>
      <c r="O638" s="272">
        <f t="shared" si="66"/>
        <v>0</v>
      </c>
      <c r="P638" s="272">
        <f t="shared" si="67"/>
        <v>0</v>
      </c>
      <c r="Q638" s="293" t="e">
        <f t="shared" si="68"/>
        <v>#DIV/0!</v>
      </c>
      <c r="R638" s="293" t="e">
        <f t="shared" si="69"/>
        <v>#DIV/0!</v>
      </c>
      <c r="S638">
        <f>Prem!H640</f>
        <v>0</v>
      </c>
      <c r="T638" s="281">
        <f>S!H644</f>
        <v>0</v>
      </c>
      <c r="U638" s="274">
        <f>B!H639</f>
        <v>0</v>
      </c>
      <c r="V638" s="272">
        <f>Zn!G640</f>
        <v>0</v>
      </c>
      <c r="W638" s="272">
        <f>Cu!G640</f>
        <v>0</v>
      </c>
      <c r="X638" s="272">
        <f>Mn!G640</f>
        <v>0</v>
      </c>
      <c r="Y638" s="272">
        <f>Fe!G640</f>
        <v>0</v>
      </c>
      <c r="Z638" s="274">
        <f>M.O!H640</f>
        <v>0</v>
      </c>
      <c r="AA638" s="272" t="e">
        <f t="shared" si="70"/>
        <v>#DIV/0!</v>
      </c>
      <c r="AB638" s="272" t="e">
        <f t="shared" si="71"/>
        <v>#DIV/0!</v>
      </c>
      <c r="AC638" s="272" t="e">
        <f t="shared" si="72"/>
        <v>#DIV/0!</v>
      </c>
    </row>
    <row r="639" spans="1:29" x14ac:dyDescent="0.2">
      <c r="A639" s="106">
        <f>Cadastro!A643</f>
        <v>0</v>
      </c>
      <c r="B639" s="27">
        <f>Cadastro!E641</f>
        <v>0</v>
      </c>
      <c r="C639">
        <f>pH_água!C639</f>
        <v>0</v>
      </c>
      <c r="D639">
        <f>pH_KCl!B640</f>
        <v>0</v>
      </c>
      <c r="E639">
        <f>'pH CaCl2'!C639</f>
        <v>0</v>
      </c>
      <c r="F639" s="104">
        <f>P_Mehlich1!H624</f>
        <v>0</v>
      </c>
      <c r="G639" s="123">
        <f>P_resina!H644</f>
        <v>0</v>
      </c>
      <c r="H639" s="272">
        <f>K!G609</f>
        <v>0</v>
      </c>
      <c r="I639" s="125">
        <v>0</v>
      </c>
      <c r="J639" s="272">
        <f>'Ca2+'!G640</f>
        <v>0</v>
      </c>
      <c r="K639" s="272">
        <f>Mg²!G642</f>
        <v>0</v>
      </c>
      <c r="L639" s="279">
        <f>Al³!C641</f>
        <v>0</v>
      </c>
      <c r="M639" s="279">
        <f>'H + Al'!D641</f>
        <v>0</v>
      </c>
      <c r="N639" s="272">
        <f t="shared" si="65"/>
        <v>0</v>
      </c>
      <c r="O639" s="272">
        <f t="shared" si="66"/>
        <v>0</v>
      </c>
      <c r="P639" s="272">
        <f t="shared" si="67"/>
        <v>0</v>
      </c>
      <c r="Q639" s="293" t="e">
        <f t="shared" si="68"/>
        <v>#DIV/0!</v>
      </c>
      <c r="R639" s="293" t="e">
        <f t="shared" si="69"/>
        <v>#DIV/0!</v>
      </c>
      <c r="S639">
        <f>Prem!H641</f>
        <v>0</v>
      </c>
      <c r="T639" s="281">
        <f>S!H645</f>
        <v>0</v>
      </c>
      <c r="U639" s="274">
        <f>B!H640</f>
        <v>0</v>
      </c>
      <c r="V639" s="272">
        <f>Zn!G641</f>
        <v>0</v>
      </c>
      <c r="W639" s="272">
        <f>Cu!G641</f>
        <v>0</v>
      </c>
      <c r="X639" s="272">
        <f>Mn!G641</f>
        <v>0</v>
      </c>
      <c r="Y639" s="272">
        <f>Fe!G641</f>
        <v>0</v>
      </c>
      <c r="Z639" s="274">
        <f>M.O!H641</f>
        <v>0</v>
      </c>
      <c r="AA639" s="272" t="e">
        <f t="shared" si="70"/>
        <v>#DIV/0!</v>
      </c>
      <c r="AB639" s="272" t="e">
        <f t="shared" si="71"/>
        <v>#DIV/0!</v>
      </c>
      <c r="AC639" s="272" t="e">
        <f t="shared" si="72"/>
        <v>#DIV/0!</v>
      </c>
    </row>
    <row r="640" spans="1:29" x14ac:dyDescent="0.2">
      <c r="A640" s="106">
        <f>Cadastro!A644</f>
        <v>0</v>
      </c>
      <c r="B640" s="27">
        <f>Cadastro!E642</f>
        <v>0</v>
      </c>
      <c r="C640">
        <f>pH_água!C640</f>
        <v>0</v>
      </c>
      <c r="D640">
        <f>pH_KCl!B641</f>
        <v>0</v>
      </c>
      <c r="E640">
        <f>'pH CaCl2'!C640</f>
        <v>0</v>
      </c>
      <c r="F640" s="104">
        <f>P_Mehlich1!H625</f>
        <v>0</v>
      </c>
      <c r="G640" s="123">
        <f>P_resina!H645</f>
        <v>0</v>
      </c>
      <c r="H640" s="272">
        <f>K!G610</f>
        <v>0</v>
      </c>
      <c r="I640" s="125">
        <v>0</v>
      </c>
      <c r="J640" s="272">
        <f>'Ca2+'!G641</f>
        <v>0</v>
      </c>
      <c r="K640" s="272">
        <f>Mg²!G643</f>
        <v>0</v>
      </c>
      <c r="L640" s="279">
        <f>Al³!C642</f>
        <v>0</v>
      </c>
      <c r="M640" s="279">
        <f>'H + Al'!D642</f>
        <v>0</v>
      </c>
      <c r="N640" s="272">
        <f t="shared" si="65"/>
        <v>0</v>
      </c>
      <c r="O640" s="272">
        <f t="shared" si="66"/>
        <v>0</v>
      </c>
      <c r="P640" s="272">
        <f t="shared" si="67"/>
        <v>0</v>
      </c>
      <c r="Q640" s="293" t="e">
        <f t="shared" si="68"/>
        <v>#DIV/0!</v>
      </c>
      <c r="R640" s="293" t="e">
        <f t="shared" si="69"/>
        <v>#DIV/0!</v>
      </c>
      <c r="S640">
        <f>Prem!H642</f>
        <v>0</v>
      </c>
      <c r="T640" s="281">
        <f>S!H646</f>
        <v>0</v>
      </c>
      <c r="U640" s="274">
        <f>B!H641</f>
        <v>0</v>
      </c>
      <c r="V640" s="272">
        <f>Zn!G642</f>
        <v>0</v>
      </c>
      <c r="W640" s="272">
        <f>Cu!G642</f>
        <v>0</v>
      </c>
      <c r="X640" s="272">
        <f>Mn!G642</f>
        <v>0</v>
      </c>
      <c r="Y640" s="272">
        <f>Fe!G642</f>
        <v>0</v>
      </c>
      <c r="Z640" s="274">
        <f>M.O!H642</f>
        <v>0</v>
      </c>
      <c r="AA640" s="272" t="e">
        <f t="shared" si="70"/>
        <v>#DIV/0!</v>
      </c>
      <c r="AB640" s="272" t="e">
        <f t="shared" si="71"/>
        <v>#DIV/0!</v>
      </c>
      <c r="AC640" s="272" t="e">
        <f t="shared" si="72"/>
        <v>#DIV/0!</v>
      </c>
    </row>
    <row r="641" spans="1:29" x14ac:dyDescent="0.2">
      <c r="A641" s="106">
        <f>Cadastro!A645</f>
        <v>0</v>
      </c>
      <c r="B641" s="27">
        <f>Cadastro!E643</f>
        <v>0</v>
      </c>
      <c r="C641">
        <f>pH_água!C641</f>
        <v>0</v>
      </c>
      <c r="D641">
        <f>pH_KCl!B642</f>
        <v>0</v>
      </c>
      <c r="E641">
        <f>'pH CaCl2'!C641</f>
        <v>0</v>
      </c>
      <c r="F641" s="104">
        <f>P_Mehlich1!H626</f>
        <v>0</v>
      </c>
      <c r="G641" s="123">
        <f>P_resina!H646</f>
        <v>0</v>
      </c>
      <c r="H641" s="272">
        <f>K!G611</f>
        <v>0</v>
      </c>
      <c r="I641" s="125">
        <v>0</v>
      </c>
      <c r="J641" s="272">
        <f>'Ca2+'!G642</f>
        <v>0</v>
      </c>
      <c r="K641" s="272">
        <f>Mg²!G644</f>
        <v>0</v>
      </c>
      <c r="L641" s="279">
        <f>Al³!C643</f>
        <v>0</v>
      </c>
      <c r="M641" s="279">
        <f>'H + Al'!D643</f>
        <v>0</v>
      </c>
      <c r="N641" s="272">
        <f t="shared" si="65"/>
        <v>0</v>
      </c>
      <c r="O641" s="272">
        <f t="shared" si="66"/>
        <v>0</v>
      </c>
      <c r="P641" s="272">
        <f t="shared" si="67"/>
        <v>0</v>
      </c>
      <c r="Q641" s="293" t="e">
        <f t="shared" si="68"/>
        <v>#DIV/0!</v>
      </c>
      <c r="R641" s="293" t="e">
        <f t="shared" si="69"/>
        <v>#DIV/0!</v>
      </c>
      <c r="S641">
        <f>Prem!H643</f>
        <v>0</v>
      </c>
      <c r="T641" s="281">
        <f>S!H647</f>
        <v>0</v>
      </c>
      <c r="U641" s="274">
        <f>B!H642</f>
        <v>0</v>
      </c>
      <c r="V641" s="272">
        <f>Zn!G643</f>
        <v>0</v>
      </c>
      <c r="W641" s="272">
        <f>Cu!G643</f>
        <v>0</v>
      </c>
      <c r="X641" s="272">
        <f>Mn!G643</f>
        <v>0</v>
      </c>
      <c r="Y641" s="272">
        <f>Fe!G643</f>
        <v>0</v>
      </c>
      <c r="Z641" s="274">
        <f>M.O!H643</f>
        <v>0</v>
      </c>
      <c r="AA641" s="272" t="e">
        <f t="shared" si="70"/>
        <v>#DIV/0!</v>
      </c>
      <c r="AB641" s="272" t="e">
        <f t="shared" si="71"/>
        <v>#DIV/0!</v>
      </c>
      <c r="AC641" s="272" t="e">
        <f t="shared" si="72"/>
        <v>#DIV/0!</v>
      </c>
    </row>
    <row r="642" spans="1:29" x14ac:dyDescent="0.2">
      <c r="A642" s="106">
        <f>Cadastro!A646</f>
        <v>0</v>
      </c>
      <c r="B642" s="27">
        <f>Cadastro!E644</f>
        <v>0</v>
      </c>
      <c r="C642">
        <f>pH_água!C642</f>
        <v>0</v>
      </c>
      <c r="D642">
        <f>pH_KCl!B643</f>
        <v>0</v>
      </c>
      <c r="E642">
        <f>'pH CaCl2'!C642</f>
        <v>0</v>
      </c>
      <c r="F642" s="104">
        <f>P_Mehlich1!H627</f>
        <v>0</v>
      </c>
      <c r="G642" s="123">
        <f>P_resina!H647</f>
        <v>0</v>
      </c>
      <c r="H642" s="272">
        <f>K!G612</f>
        <v>0</v>
      </c>
      <c r="I642" s="125">
        <v>0</v>
      </c>
      <c r="J642" s="272">
        <f>'Ca2+'!G643</f>
        <v>0</v>
      </c>
      <c r="K642" s="272">
        <f>Mg²!G645</f>
        <v>0</v>
      </c>
      <c r="L642" s="279">
        <f>Al³!C644</f>
        <v>0</v>
      </c>
      <c r="M642" s="279">
        <f>'H + Al'!D644</f>
        <v>0</v>
      </c>
      <c r="N642" s="272">
        <f t="shared" si="65"/>
        <v>0</v>
      </c>
      <c r="O642" s="272">
        <f t="shared" si="66"/>
        <v>0</v>
      </c>
      <c r="P642" s="272">
        <f t="shared" si="67"/>
        <v>0</v>
      </c>
      <c r="Q642" s="293" t="e">
        <f t="shared" si="68"/>
        <v>#DIV/0!</v>
      </c>
      <c r="R642" s="293" t="e">
        <f t="shared" si="69"/>
        <v>#DIV/0!</v>
      </c>
      <c r="S642">
        <f>Prem!H644</f>
        <v>0</v>
      </c>
      <c r="T642" s="281">
        <f>S!H648</f>
        <v>0</v>
      </c>
      <c r="U642" s="274">
        <f>B!H643</f>
        <v>0</v>
      </c>
      <c r="V642" s="272">
        <f>Zn!G644</f>
        <v>0</v>
      </c>
      <c r="W642" s="272">
        <f>Cu!G644</f>
        <v>0</v>
      </c>
      <c r="X642" s="272">
        <f>Mn!G644</f>
        <v>0</v>
      </c>
      <c r="Y642" s="272">
        <f>Fe!G644</f>
        <v>0</v>
      </c>
      <c r="Z642" s="274">
        <f>M.O!H644</f>
        <v>0</v>
      </c>
      <c r="AA642" s="272" t="e">
        <f t="shared" si="70"/>
        <v>#DIV/0!</v>
      </c>
      <c r="AB642" s="272" t="e">
        <f t="shared" si="71"/>
        <v>#DIV/0!</v>
      </c>
      <c r="AC642" s="272" t="e">
        <f t="shared" si="72"/>
        <v>#DIV/0!</v>
      </c>
    </row>
    <row r="643" spans="1:29" x14ac:dyDescent="0.2">
      <c r="A643" s="106">
        <f>Cadastro!A647</f>
        <v>0</v>
      </c>
      <c r="B643" s="27">
        <f>Cadastro!E645</f>
        <v>0</v>
      </c>
      <c r="C643">
        <f>pH_água!C643</f>
        <v>0</v>
      </c>
      <c r="D643">
        <f>pH_KCl!B644</f>
        <v>0</v>
      </c>
      <c r="E643">
        <f>'pH CaCl2'!C643</f>
        <v>0</v>
      </c>
      <c r="F643" s="104">
        <f>P_Mehlich1!H628</f>
        <v>0</v>
      </c>
      <c r="G643" s="123">
        <f>P_resina!H648</f>
        <v>0</v>
      </c>
      <c r="H643" s="272">
        <f>K!G613</f>
        <v>0</v>
      </c>
      <c r="I643" s="125">
        <v>0</v>
      </c>
      <c r="J643" s="272">
        <f>'Ca2+'!G644</f>
        <v>0</v>
      </c>
      <c r="K643" s="272">
        <f>Mg²!G646</f>
        <v>0</v>
      </c>
      <c r="L643" s="279">
        <f>Al³!C645</f>
        <v>0</v>
      </c>
      <c r="M643" s="279">
        <f>'H + Al'!D645</f>
        <v>0</v>
      </c>
      <c r="N643" s="272">
        <f t="shared" si="65"/>
        <v>0</v>
      </c>
      <c r="O643" s="272">
        <f t="shared" si="66"/>
        <v>0</v>
      </c>
      <c r="P643" s="272">
        <f t="shared" si="67"/>
        <v>0</v>
      </c>
      <c r="Q643" s="293" t="e">
        <f t="shared" si="68"/>
        <v>#DIV/0!</v>
      </c>
      <c r="R643" s="293" t="e">
        <f t="shared" si="69"/>
        <v>#DIV/0!</v>
      </c>
      <c r="S643">
        <f>Prem!H645</f>
        <v>0</v>
      </c>
      <c r="T643" s="281">
        <f>S!H649</f>
        <v>0</v>
      </c>
      <c r="U643" s="274">
        <f>B!H644</f>
        <v>0</v>
      </c>
      <c r="V643" s="272">
        <f>Zn!G645</f>
        <v>0</v>
      </c>
      <c r="W643" s="272">
        <f>Cu!G645</f>
        <v>0</v>
      </c>
      <c r="X643" s="272">
        <f>Mn!G645</f>
        <v>0</v>
      </c>
      <c r="Y643" s="272">
        <f>Fe!G645</f>
        <v>0</v>
      </c>
      <c r="Z643" s="274">
        <f>M.O!H645</f>
        <v>0</v>
      </c>
      <c r="AA643" s="272" t="e">
        <f t="shared" si="70"/>
        <v>#DIV/0!</v>
      </c>
      <c r="AB643" s="272" t="e">
        <f t="shared" si="71"/>
        <v>#DIV/0!</v>
      </c>
      <c r="AC643" s="272" t="e">
        <f t="shared" si="72"/>
        <v>#DIV/0!</v>
      </c>
    </row>
    <row r="644" spans="1:29" x14ac:dyDescent="0.2">
      <c r="A644" s="106">
        <f>Cadastro!A648</f>
        <v>0</v>
      </c>
      <c r="B644" s="27">
        <f>Cadastro!E646</f>
        <v>0</v>
      </c>
      <c r="C644">
        <f>pH_água!C644</f>
        <v>0</v>
      </c>
      <c r="D644">
        <f>pH_KCl!B645</f>
        <v>0</v>
      </c>
      <c r="E644">
        <f>'pH CaCl2'!C644</f>
        <v>0</v>
      </c>
      <c r="F644" s="104">
        <f>P_Mehlich1!H629</f>
        <v>0</v>
      </c>
      <c r="G644" s="123">
        <f>P_resina!H649</f>
        <v>0</v>
      </c>
      <c r="H644" s="272">
        <f>K!G614</f>
        <v>0</v>
      </c>
      <c r="I644" s="125">
        <v>0</v>
      </c>
      <c r="J644" s="272">
        <f>'Ca2+'!G645</f>
        <v>0</v>
      </c>
      <c r="K644" s="272">
        <f>Mg²!G647</f>
        <v>0</v>
      </c>
      <c r="L644" s="279">
        <f>Al³!C646</f>
        <v>0</v>
      </c>
      <c r="M644" s="279">
        <f>'H + Al'!D646</f>
        <v>0</v>
      </c>
      <c r="N644" s="272">
        <f t="shared" si="65"/>
        <v>0</v>
      </c>
      <c r="O644" s="272">
        <f t="shared" si="66"/>
        <v>0</v>
      </c>
      <c r="P644" s="272">
        <f t="shared" si="67"/>
        <v>0</v>
      </c>
      <c r="Q644" s="293" t="e">
        <f t="shared" si="68"/>
        <v>#DIV/0!</v>
      </c>
      <c r="R644" s="293" t="e">
        <f t="shared" si="69"/>
        <v>#DIV/0!</v>
      </c>
      <c r="S644">
        <f>Prem!H646</f>
        <v>0</v>
      </c>
      <c r="T644" s="281">
        <f>S!H650</f>
        <v>0</v>
      </c>
      <c r="U644" s="274">
        <f>B!H645</f>
        <v>0</v>
      </c>
      <c r="V644" s="272">
        <f>Zn!G646</f>
        <v>0</v>
      </c>
      <c r="W644" s="272">
        <f>Cu!G646</f>
        <v>0</v>
      </c>
      <c r="X644" s="272">
        <f>Mn!G646</f>
        <v>0</v>
      </c>
      <c r="Y644" s="272">
        <f>Fe!G646</f>
        <v>0</v>
      </c>
      <c r="Z644" s="274">
        <f>M.O!H646</f>
        <v>0</v>
      </c>
      <c r="AA644" s="272" t="e">
        <f t="shared" si="70"/>
        <v>#DIV/0!</v>
      </c>
      <c r="AB644" s="272" t="e">
        <f t="shared" si="71"/>
        <v>#DIV/0!</v>
      </c>
      <c r="AC644" s="272" t="e">
        <f t="shared" si="72"/>
        <v>#DIV/0!</v>
      </c>
    </row>
    <row r="645" spans="1:29" x14ac:dyDescent="0.2">
      <c r="A645" s="106">
        <f>Cadastro!A649</f>
        <v>0</v>
      </c>
      <c r="B645" s="27">
        <f>Cadastro!E647</f>
        <v>0</v>
      </c>
      <c r="C645">
        <f>pH_água!C645</f>
        <v>0</v>
      </c>
      <c r="D645">
        <f>pH_KCl!B646</f>
        <v>0</v>
      </c>
      <c r="E645">
        <f>'pH CaCl2'!C645</f>
        <v>0</v>
      </c>
      <c r="F645" s="104">
        <f>P_Mehlich1!H630</f>
        <v>0</v>
      </c>
      <c r="G645" s="123">
        <f>P_resina!H650</f>
        <v>0</v>
      </c>
      <c r="H645" s="272">
        <f>K!G615</f>
        <v>0</v>
      </c>
      <c r="I645" s="125">
        <v>0</v>
      </c>
      <c r="J645" s="272">
        <f>'Ca2+'!G646</f>
        <v>0</v>
      </c>
      <c r="K645" s="272">
        <f>Mg²!G648</f>
        <v>0</v>
      </c>
      <c r="L645" s="279">
        <f>Al³!C647</f>
        <v>0</v>
      </c>
      <c r="M645" s="279">
        <f>'H + Al'!D647</f>
        <v>0</v>
      </c>
      <c r="N645" s="272">
        <f t="shared" si="65"/>
        <v>0</v>
      </c>
      <c r="O645" s="272">
        <f t="shared" si="66"/>
        <v>0</v>
      </c>
      <c r="P645" s="272">
        <f t="shared" si="67"/>
        <v>0</v>
      </c>
      <c r="Q645" s="293" t="e">
        <f t="shared" si="68"/>
        <v>#DIV/0!</v>
      </c>
      <c r="R645" s="293" t="e">
        <f t="shared" si="69"/>
        <v>#DIV/0!</v>
      </c>
      <c r="S645">
        <f>Prem!H647</f>
        <v>0</v>
      </c>
      <c r="T645" s="281">
        <f>S!H651</f>
        <v>0</v>
      </c>
      <c r="U645" s="274">
        <f>B!H646</f>
        <v>0</v>
      </c>
      <c r="V645" s="272">
        <f>Zn!G647</f>
        <v>0</v>
      </c>
      <c r="W645" s="272">
        <f>Cu!G647</f>
        <v>0</v>
      </c>
      <c r="X645" s="272">
        <f>Mn!G647</f>
        <v>0</v>
      </c>
      <c r="Y645" s="272">
        <f>Fe!G647</f>
        <v>0</v>
      </c>
      <c r="Z645" s="274">
        <f>M.O!H647</f>
        <v>0</v>
      </c>
      <c r="AA645" s="272" t="e">
        <f t="shared" si="70"/>
        <v>#DIV/0!</v>
      </c>
      <c r="AB645" s="272" t="e">
        <f t="shared" si="71"/>
        <v>#DIV/0!</v>
      </c>
      <c r="AC645" s="272" t="e">
        <f t="shared" si="72"/>
        <v>#DIV/0!</v>
      </c>
    </row>
    <row r="646" spans="1:29" x14ac:dyDescent="0.2">
      <c r="A646" s="106">
        <f>Cadastro!A650</f>
        <v>0</v>
      </c>
      <c r="B646" s="27">
        <f>Cadastro!E648</f>
        <v>0</v>
      </c>
      <c r="C646">
        <f>pH_água!C646</f>
        <v>0</v>
      </c>
      <c r="D646">
        <f>pH_KCl!B647</f>
        <v>0</v>
      </c>
      <c r="E646">
        <f>'pH CaCl2'!C646</f>
        <v>0</v>
      </c>
      <c r="F646" s="104">
        <f>P_Mehlich1!H631</f>
        <v>0</v>
      </c>
      <c r="G646" s="123">
        <f>P_resina!H651</f>
        <v>0</v>
      </c>
      <c r="H646" s="272">
        <f>K!G616</f>
        <v>0</v>
      </c>
      <c r="I646" s="125">
        <v>0</v>
      </c>
      <c r="J646" s="272">
        <f>'Ca2+'!G647</f>
        <v>0</v>
      </c>
      <c r="K646" s="272">
        <f>Mg²!G649</f>
        <v>0</v>
      </c>
      <c r="L646" s="279">
        <f>Al³!C648</f>
        <v>0</v>
      </c>
      <c r="M646" s="279">
        <f>'H + Al'!D648</f>
        <v>0</v>
      </c>
      <c r="N646" s="272">
        <f t="shared" si="65"/>
        <v>0</v>
      </c>
      <c r="O646" s="272">
        <f t="shared" si="66"/>
        <v>0</v>
      </c>
      <c r="P646" s="272">
        <f t="shared" si="67"/>
        <v>0</v>
      </c>
      <c r="Q646" s="293" t="e">
        <f t="shared" si="68"/>
        <v>#DIV/0!</v>
      </c>
      <c r="R646" s="293" t="e">
        <f t="shared" si="69"/>
        <v>#DIV/0!</v>
      </c>
      <c r="S646">
        <f>Prem!H648</f>
        <v>0</v>
      </c>
      <c r="T646" s="281">
        <f>S!H652</f>
        <v>0</v>
      </c>
      <c r="U646" s="274">
        <f>B!H647</f>
        <v>0</v>
      </c>
      <c r="V646" s="272">
        <f>Zn!G648</f>
        <v>0</v>
      </c>
      <c r="W646" s="272">
        <f>Cu!G648</f>
        <v>0</v>
      </c>
      <c r="X646" s="272">
        <f>Mn!G648</f>
        <v>0</v>
      </c>
      <c r="Y646" s="272">
        <f>Fe!G648</f>
        <v>0</v>
      </c>
      <c r="Z646" s="274">
        <f>M.O!H648</f>
        <v>0</v>
      </c>
      <c r="AA646" s="272" t="e">
        <f t="shared" si="70"/>
        <v>#DIV/0!</v>
      </c>
      <c r="AB646" s="272" t="e">
        <f t="shared" si="71"/>
        <v>#DIV/0!</v>
      </c>
      <c r="AC646" s="272" t="e">
        <f t="shared" si="72"/>
        <v>#DIV/0!</v>
      </c>
    </row>
    <row r="647" spans="1:29" x14ac:dyDescent="0.2">
      <c r="A647" s="106">
        <f>Cadastro!A651</f>
        <v>0</v>
      </c>
      <c r="B647" s="27">
        <f>Cadastro!E649</f>
        <v>0</v>
      </c>
      <c r="C647">
        <f>pH_água!C647</f>
        <v>0</v>
      </c>
      <c r="D647">
        <f>pH_KCl!B648</f>
        <v>0</v>
      </c>
      <c r="E647">
        <f>'pH CaCl2'!C647</f>
        <v>0</v>
      </c>
      <c r="F647" s="104">
        <f>P_Mehlich1!H632</f>
        <v>0</v>
      </c>
      <c r="G647" s="123">
        <f>P_resina!H652</f>
        <v>0</v>
      </c>
      <c r="H647" s="272">
        <f>K!G617</f>
        <v>0</v>
      </c>
      <c r="I647" s="125">
        <v>0</v>
      </c>
      <c r="J647" s="272">
        <f>'Ca2+'!G648</f>
        <v>0</v>
      </c>
      <c r="K647" s="272">
        <f>Mg²!G650</f>
        <v>0</v>
      </c>
      <c r="L647" s="279">
        <f>Al³!C649</f>
        <v>0</v>
      </c>
      <c r="M647" s="279">
        <f>'H + Al'!D649</f>
        <v>0</v>
      </c>
      <c r="N647" s="272">
        <f t="shared" si="65"/>
        <v>0</v>
      </c>
      <c r="O647" s="272">
        <f t="shared" si="66"/>
        <v>0</v>
      </c>
      <c r="P647" s="272">
        <f t="shared" si="67"/>
        <v>0</v>
      </c>
      <c r="Q647" s="293" t="e">
        <f t="shared" si="68"/>
        <v>#DIV/0!</v>
      </c>
      <c r="R647" s="293" t="e">
        <f t="shared" si="69"/>
        <v>#DIV/0!</v>
      </c>
      <c r="S647">
        <f>Prem!H649</f>
        <v>0</v>
      </c>
      <c r="T647" s="281">
        <f>S!H653</f>
        <v>0</v>
      </c>
      <c r="U647" s="274">
        <f>B!H648</f>
        <v>0</v>
      </c>
      <c r="V647" s="272">
        <f>Zn!G649</f>
        <v>0</v>
      </c>
      <c r="W647" s="272">
        <f>Cu!G649</f>
        <v>0</v>
      </c>
      <c r="X647" s="272">
        <f>Mn!G649</f>
        <v>0</v>
      </c>
      <c r="Y647" s="272">
        <f>Fe!G649</f>
        <v>0</v>
      </c>
      <c r="Z647" s="274">
        <f>M.O!H649</f>
        <v>0</v>
      </c>
      <c r="AA647" s="272" t="e">
        <f t="shared" si="70"/>
        <v>#DIV/0!</v>
      </c>
      <c r="AB647" s="272" t="e">
        <f t="shared" si="71"/>
        <v>#DIV/0!</v>
      </c>
      <c r="AC647" s="272" t="e">
        <f t="shared" si="72"/>
        <v>#DIV/0!</v>
      </c>
    </row>
    <row r="648" spans="1:29" x14ac:dyDescent="0.2">
      <c r="A648" s="106">
        <f>Cadastro!A652</f>
        <v>0</v>
      </c>
      <c r="B648" s="27">
        <f>Cadastro!E650</f>
        <v>0</v>
      </c>
      <c r="C648">
        <f>pH_água!C648</f>
        <v>0</v>
      </c>
      <c r="D648">
        <f>pH_KCl!B649</f>
        <v>0</v>
      </c>
      <c r="E648">
        <f>'pH CaCl2'!C648</f>
        <v>0</v>
      </c>
      <c r="F648" s="104">
        <f>P_Mehlich1!H633</f>
        <v>0</v>
      </c>
      <c r="G648" s="123">
        <f>P_resina!H653</f>
        <v>0</v>
      </c>
      <c r="H648" s="272">
        <f>K!G618</f>
        <v>0</v>
      </c>
      <c r="I648" s="125">
        <v>0</v>
      </c>
      <c r="J648" s="272">
        <f>'Ca2+'!G649</f>
        <v>0</v>
      </c>
      <c r="K648" s="272">
        <f>Mg²!G651</f>
        <v>0</v>
      </c>
      <c r="L648" s="279">
        <f>Al³!C650</f>
        <v>0</v>
      </c>
      <c r="M648" s="279">
        <f>'H + Al'!D650</f>
        <v>0</v>
      </c>
      <c r="N648" s="272">
        <f t="shared" si="65"/>
        <v>0</v>
      </c>
      <c r="O648" s="272">
        <f t="shared" si="66"/>
        <v>0</v>
      </c>
      <c r="P648" s="272">
        <f t="shared" si="67"/>
        <v>0</v>
      </c>
      <c r="Q648" s="293" t="e">
        <f t="shared" si="68"/>
        <v>#DIV/0!</v>
      </c>
      <c r="R648" s="293" t="e">
        <f t="shared" si="69"/>
        <v>#DIV/0!</v>
      </c>
      <c r="S648">
        <f>Prem!H650</f>
        <v>0</v>
      </c>
      <c r="T648" s="281">
        <f>S!H654</f>
        <v>0</v>
      </c>
      <c r="U648" s="274">
        <f>B!H649</f>
        <v>0</v>
      </c>
      <c r="V648" s="272">
        <f>Zn!G650</f>
        <v>0</v>
      </c>
      <c r="W648" s="272">
        <f>Cu!G650</f>
        <v>0</v>
      </c>
      <c r="X648" s="272">
        <f>Mn!G650</f>
        <v>0</v>
      </c>
      <c r="Y648" s="272">
        <f>Fe!G650</f>
        <v>0</v>
      </c>
      <c r="Z648" s="274">
        <f>M.O!H650</f>
        <v>0</v>
      </c>
      <c r="AA648" s="272" t="e">
        <f t="shared" si="70"/>
        <v>#DIV/0!</v>
      </c>
      <c r="AB648" s="272" t="e">
        <f t="shared" si="71"/>
        <v>#DIV/0!</v>
      </c>
      <c r="AC648" s="272" t="e">
        <f t="shared" si="72"/>
        <v>#DIV/0!</v>
      </c>
    </row>
    <row r="649" spans="1:29" x14ac:dyDescent="0.2">
      <c r="A649" s="106">
        <f>Cadastro!A653</f>
        <v>0</v>
      </c>
      <c r="B649" s="27">
        <f>Cadastro!E651</f>
        <v>0</v>
      </c>
      <c r="C649">
        <f>pH_água!C649</f>
        <v>0</v>
      </c>
      <c r="D649">
        <f>pH_KCl!B650</f>
        <v>0</v>
      </c>
      <c r="E649">
        <f>'pH CaCl2'!C649</f>
        <v>0</v>
      </c>
      <c r="F649" s="104">
        <f>P_Mehlich1!H634</f>
        <v>0</v>
      </c>
      <c r="G649" s="123">
        <f>P_resina!H654</f>
        <v>0</v>
      </c>
      <c r="H649" s="272">
        <f>K!G619</f>
        <v>0</v>
      </c>
      <c r="I649" s="125">
        <v>0</v>
      </c>
      <c r="J649" s="272">
        <f>'Ca2+'!G650</f>
        <v>0</v>
      </c>
      <c r="K649" s="272">
        <f>Mg²!G652</f>
        <v>0</v>
      </c>
      <c r="L649" s="279">
        <f>Al³!C651</f>
        <v>0</v>
      </c>
      <c r="M649" s="279">
        <f>'H + Al'!D651</f>
        <v>0</v>
      </c>
      <c r="N649" s="272">
        <f t="shared" si="65"/>
        <v>0</v>
      </c>
      <c r="O649" s="272">
        <f t="shared" si="66"/>
        <v>0</v>
      </c>
      <c r="P649" s="272">
        <f t="shared" si="67"/>
        <v>0</v>
      </c>
      <c r="Q649" s="293" t="e">
        <f t="shared" si="68"/>
        <v>#DIV/0!</v>
      </c>
      <c r="R649" s="293" t="e">
        <f t="shared" si="69"/>
        <v>#DIV/0!</v>
      </c>
      <c r="S649">
        <f>Prem!H651</f>
        <v>0</v>
      </c>
      <c r="T649" s="281">
        <f>S!H655</f>
        <v>0</v>
      </c>
      <c r="U649" s="274">
        <f>B!H650</f>
        <v>0</v>
      </c>
      <c r="V649" s="272">
        <f>Zn!G651</f>
        <v>0</v>
      </c>
      <c r="W649" s="272">
        <f>Cu!G651</f>
        <v>0</v>
      </c>
      <c r="X649" s="272">
        <f>Mn!G651</f>
        <v>0</v>
      </c>
      <c r="Y649" s="272">
        <f>Fe!G651</f>
        <v>0</v>
      </c>
      <c r="Z649" s="274">
        <f>M.O!H651</f>
        <v>0</v>
      </c>
      <c r="AA649" s="272" t="e">
        <f t="shared" si="70"/>
        <v>#DIV/0!</v>
      </c>
      <c r="AB649" s="272" t="e">
        <f t="shared" si="71"/>
        <v>#DIV/0!</v>
      </c>
      <c r="AC649" s="272" t="e">
        <f t="shared" si="72"/>
        <v>#DIV/0!</v>
      </c>
    </row>
    <row r="650" spans="1:29" x14ac:dyDescent="0.2">
      <c r="A650" s="106">
        <f>Cadastro!A654</f>
        <v>0</v>
      </c>
      <c r="B650" s="27">
        <f>Cadastro!E652</f>
        <v>0</v>
      </c>
      <c r="C650">
        <f>pH_água!C650</f>
        <v>0</v>
      </c>
      <c r="D650">
        <f>pH_KCl!B651</f>
        <v>0</v>
      </c>
      <c r="E650">
        <f>'pH CaCl2'!C650</f>
        <v>0</v>
      </c>
      <c r="F650" s="104">
        <f>P_Mehlich1!H635</f>
        <v>0</v>
      </c>
      <c r="G650" s="123">
        <f>P_resina!H655</f>
        <v>0</v>
      </c>
      <c r="H650" s="272">
        <f>K!G620</f>
        <v>0</v>
      </c>
      <c r="I650" s="125">
        <v>0</v>
      </c>
      <c r="J650" s="272">
        <f>'Ca2+'!G651</f>
        <v>0</v>
      </c>
      <c r="K650" s="272">
        <f>Mg²!G653</f>
        <v>0</v>
      </c>
      <c r="L650" s="279">
        <f>Al³!C652</f>
        <v>0</v>
      </c>
      <c r="M650" s="279">
        <f>'H + Al'!D652</f>
        <v>0</v>
      </c>
      <c r="N650" s="272">
        <f t="shared" si="65"/>
        <v>0</v>
      </c>
      <c r="O650" s="272">
        <f t="shared" si="66"/>
        <v>0</v>
      </c>
      <c r="P650" s="272">
        <f t="shared" si="67"/>
        <v>0</v>
      </c>
      <c r="Q650" s="293" t="e">
        <f t="shared" si="68"/>
        <v>#DIV/0!</v>
      </c>
      <c r="R650" s="293" t="e">
        <f t="shared" si="69"/>
        <v>#DIV/0!</v>
      </c>
      <c r="S650">
        <f>Prem!H652</f>
        <v>0</v>
      </c>
      <c r="T650" s="281">
        <f>S!H656</f>
        <v>0</v>
      </c>
      <c r="U650" s="274">
        <f>B!H651</f>
        <v>0</v>
      </c>
      <c r="V650" s="272">
        <f>Zn!G652</f>
        <v>0</v>
      </c>
      <c r="W650" s="272">
        <f>Cu!G652</f>
        <v>0</v>
      </c>
      <c r="X650" s="272">
        <f>Mn!G652</f>
        <v>0</v>
      </c>
      <c r="Y650" s="272">
        <f>Fe!G652</f>
        <v>0</v>
      </c>
      <c r="Z650" s="274">
        <f>M.O!H652</f>
        <v>0</v>
      </c>
      <c r="AA650" s="272" t="e">
        <f t="shared" si="70"/>
        <v>#DIV/0!</v>
      </c>
      <c r="AB650" s="272" t="e">
        <f t="shared" si="71"/>
        <v>#DIV/0!</v>
      </c>
      <c r="AC650" s="272" t="e">
        <f t="shared" si="72"/>
        <v>#DIV/0!</v>
      </c>
    </row>
    <row r="651" spans="1:29" x14ac:dyDescent="0.2">
      <c r="A651" s="106">
        <f>Cadastro!A655</f>
        <v>0</v>
      </c>
      <c r="B651" s="27">
        <f>Cadastro!E653</f>
        <v>0</v>
      </c>
      <c r="C651">
        <f>pH_água!C651</f>
        <v>0</v>
      </c>
      <c r="D651">
        <f>pH_KCl!B652</f>
        <v>0</v>
      </c>
      <c r="E651">
        <f>'pH CaCl2'!C651</f>
        <v>0</v>
      </c>
      <c r="F651" s="104">
        <f>P_Mehlich1!H636</f>
        <v>0</v>
      </c>
      <c r="G651" s="123">
        <f>P_resina!H656</f>
        <v>0</v>
      </c>
      <c r="H651" s="272">
        <f>K!G621</f>
        <v>0</v>
      </c>
      <c r="I651" s="125">
        <v>0</v>
      </c>
      <c r="J651" s="272">
        <f>'Ca2+'!G652</f>
        <v>0</v>
      </c>
      <c r="K651" s="272">
        <f>Mg²!G654</f>
        <v>0</v>
      </c>
      <c r="L651" s="279">
        <f>Al³!C653</f>
        <v>0</v>
      </c>
      <c r="M651" s="279">
        <f>'H + Al'!D653</f>
        <v>0</v>
      </c>
      <c r="N651" s="272">
        <f t="shared" si="65"/>
        <v>0</v>
      </c>
      <c r="O651" s="272">
        <f t="shared" si="66"/>
        <v>0</v>
      </c>
      <c r="P651" s="272">
        <f t="shared" si="67"/>
        <v>0</v>
      </c>
      <c r="Q651" s="293" t="e">
        <f t="shared" si="68"/>
        <v>#DIV/0!</v>
      </c>
      <c r="R651" s="293" t="e">
        <f t="shared" si="69"/>
        <v>#DIV/0!</v>
      </c>
      <c r="S651">
        <f>Prem!H653</f>
        <v>0</v>
      </c>
      <c r="T651" s="281">
        <f>S!H657</f>
        <v>0</v>
      </c>
      <c r="U651" s="274">
        <f>B!H652</f>
        <v>0</v>
      </c>
      <c r="V651" s="272">
        <f>Zn!G653</f>
        <v>0</v>
      </c>
      <c r="W651" s="272">
        <f>Cu!G653</f>
        <v>0</v>
      </c>
      <c r="X651" s="272">
        <f>Mn!G653</f>
        <v>0</v>
      </c>
      <c r="Y651" s="272">
        <f>Fe!G653</f>
        <v>0</v>
      </c>
      <c r="Z651" s="274">
        <f>M.O!H653</f>
        <v>0</v>
      </c>
      <c r="AA651" s="272" t="e">
        <f t="shared" si="70"/>
        <v>#DIV/0!</v>
      </c>
      <c r="AB651" s="272" t="e">
        <f t="shared" si="71"/>
        <v>#DIV/0!</v>
      </c>
      <c r="AC651" s="272" t="e">
        <f t="shared" si="72"/>
        <v>#DIV/0!</v>
      </c>
    </row>
    <row r="652" spans="1:29" x14ac:dyDescent="0.2">
      <c r="A652" s="106">
        <f>Cadastro!A656</f>
        <v>0</v>
      </c>
      <c r="B652" s="27">
        <f>Cadastro!E654</f>
        <v>0</v>
      </c>
      <c r="C652">
        <f>pH_água!C652</f>
        <v>0</v>
      </c>
      <c r="D652">
        <f>pH_KCl!B653</f>
        <v>0</v>
      </c>
      <c r="E652">
        <f>'pH CaCl2'!C652</f>
        <v>0</v>
      </c>
      <c r="F652" s="104">
        <f>P_Mehlich1!H637</f>
        <v>0</v>
      </c>
      <c r="G652" s="123">
        <f>P_resina!H657</f>
        <v>0</v>
      </c>
      <c r="H652" s="272">
        <f>K!G622</f>
        <v>0</v>
      </c>
      <c r="I652" s="125">
        <v>0</v>
      </c>
      <c r="J652" s="272">
        <f>'Ca2+'!G653</f>
        <v>0</v>
      </c>
      <c r="K652" s="272">
        <f>Mg²!G655</f>
        <v>0</v>
      </c>
      <c r="L652" s="279">
        <f>Al³!C654</f>
        <v>0</v>
      </c>
      <c r="M652" s="279">
        <f>'H + Al'!D654</f>
        <v>0</v>
      </c>
      <c r="N652" s="272">
        <f t="shared" si="65"/>
        <v>0</v>
      </c>
      <c r="O652" s="272">
        <f t="shared" si="66"/>
        <v>0</v>
      </c>
      <c r="P652" s="272">
        <f t="shared" si="67"/>
        <v>0</v>
      </c>
      <c r="Q652" s="293" t="e">
        <f t="shared" si="68"/>
        <v>#DIV/0!</v>
      </c>
      <c r="R652" s="293" t="e">
        <f t="shared" si="69"/>
        <v>#DIV/0!</v>
      </c>
      <c r="S652">
        <f>Prem!H654</f>
        <v>0</v>
      </c>
      <c r="T652" s="281">
        <f>S!H658</f>
        <v>0</v>
      </c>
      <c r="U652" s="274">
        <f>B!H653</f>
        <v>0</v>
      </c>
      <c r="V652" s="272">
        <f>Zn!G654</f>
        <v>0</v>
      </c>
      <c r="W652" s="272">
        <f>Cu!G654</f>
        <v>0</v>
      </c>
      <c r="X652" s="272">
        <f>Mn!G654</f>
        <v>0</v>
      </c>
      <c r="Y652" s="272">
        <f>Fe!G654</f>
        <v>0</v>
      </c>
      <c r="Z652" s="274">
        <f>M.O!H654</f>
        <v>0</v>
      </c>
      <c r="AA652" s="272" t="e">
        <f t="shared" si="70"/>
        <v>#DIV/0!</v>
      </c>
      <c r="AB652" s="272" t="e">
        <f t="shared" si="71"/>
        <v>#DIV/0!</v>
      </c>
      <c r="AC652" s="272" t="e">
        <f t="shared" si="72"/>
        <v>#DIV/0!</v>
      </c>
    </row>
    <row r="653" spans="1:29" x14ac:dyDescent="0.2">
      <c r="A653" s="106">
        <f>Cadastro!A657</f>
        <v>0</v>
      </c>
      <c r="B653" s="27">
        <f>Cadastro!E655</f>
        <v>0</v>
      </c>
      <c r="C653">
        <f>pH_água!C653</f>
        <v>0</v>
      </c>
      <c r="D653">
        <f>pH_KCl!B654</f>
        <v>0</v>
      </c>
      <c r="E653">
        <f>'pH CaCl2'!C653</f>
        <v>0</v>
      </c>
      <c r="F653" s="104">
        <f>P_Mehlich1!H638</f>
        <v>0</v>
      </c>
      <c r="G653" s="123">
        <f>P_resina!H658</f>
        <v>0</v>
      </c>
      <c r="H653" s="272">
        <f>K!G623</f>
        <v>0</v>
      </c>
      <c r="I653" s="125">
        <v>0</v>
      </c>
      <c r="J653" s="272">
        <f>'Ca2+'!G654</f>
        <v>0</v>
      </c>
      <c r="K653" s="272">
        <f>Mg²!G656</f>
        <v>0</v>
      </c>
      <c r="L653" s="279">
        <f>Al³!C655</f>
        <v>0</v>
      </c>
      <c r="M653" s="279">
        <f>'H + Al'!D655</f>
        <v>0</v>
      </c>
      <c r="N653" s="272">
        <f t="shared" si="65"/>
        <v>0</v>
      </c>
      <c r="O653" s="272">
        <f t="shared" si="66"/>
        <v>0</v>
      </c>
      <c r="P653" s="272">
        <f t="shared" si="67"/>
        <v>0</v>
      </c>
      <c r="Q653" s="293" t="e">
        <f t="shared" si="68"/>
        <v>#DIV/0!</v>
      </c>
      <c r="R653" s="293" t="e">
        <f t="shared" si="69"/>
        <v>#DIV/0!</v>
      </c>
      <c r="S653">
        <f>Prem!H655</f>
        <v>0</v>
      </c>
      <c r="T653" s="281">
        <f>S!H659</f>
        <v>0</v>
      </c>
      <c r="U653" s="274">
        <f>B!H654</f>
        <v>0</v>
      </c>
      <c r="V653" s="272">
        <f>Zn!G655</f>
        <v>0</v>
      </c>
      <c r="W653" s="272">
        <f>Cu!G655</f>
        <v>0</v>
      </c>
      <c r="X653" s="272">
        <f>Mn!G655</f>
        <v>0</v>
      </c>
      <c r="Y653" s="272">
        <f>Fe!G655</f>
        <v>0</v>
      </c>
      <c r="Z653" s="274">
        <f>M.O!H655</f>
        <v>0</v>
      </c>
      <c r="AA653" s="272" t="e">
        <f t="shared" si="70"/>
        <v>#DIV/0!</v>
      </c>
      <c r="AB653" s="272" t="e">
        <f t="shared" si="71"/>
        <v>#DIV/0!</v>
      </c>
      <c r="AC653" s="272" t="e">
        <f t="shared" si="72"/>
        <v>#DIV/0!</v>
      </c>
    </row>
    <row r="654" spans="1:29" x14ac:dyDescent="0.2">
      <c r="A654" s="106">
        <f>Cadastro!A658</f>
        <v>0</v>
      </c>
      <c r="B654" s="27">
        <f>Cadastro!E656</f>
        <v>0</v>
      </c>
      <c r="C654">
        <f>pH_água!C654</f>
        <v>0</v>
      </c>
      <c r="D654">
        <f>pH_KCl!B655</f>
        <v>0</v>
      </c>
      <c r="E654">
        <f>'pH CaCl2'!C654</f>
        <v>0</v>
      </c>
      <c r="F654" s="104">
        <f>P_Mehlich1!H639</f>
        <v>0</v>
      </c>
      <c r="G654" s="123">
        <f>P_resina!H659</f>
        <v>0</v>
      </c>
      <c r="H654" s="272">
        <f>K!G624</f>
        <v>0</v>
      </c>
      <c r="I654" s="125">
        <v>0</v>
      </c>
      <c r="J654" s="272">
        <f>'Ca2+'!G655</f>
        <v>0</v>
      </c>
      <c r="K654" s="272">
        <f>Mg²!G657</f>
        <v>0</v>
      </c>
      <c r="L654" s="279">
        <f>Al³!C656</f>
        <v>0</v>
      </c>
      <c r="M654" s="279">
        <f>'H + Al'!D656</f>
        <v>0</v>
      </c>
      <c r="N654" s="272">
        <f t="shared" si="65"/>
        <v>0</v>
      </c>
      <c r="O654" s="272">
        <f t="shared" si="66"/>
        <v>0</v>
      </c>
      <c r="P654" s="272">
        <f t="shared" si="67"/>
        <v>0</v>
      </c>
      <c r="Q654" s="293" t="e">
        <f t="shared" si="68"/>
        <v>#DIV/0!</v>
      </c>
      <c r="R654" s="293" t="e">
        <f t="shared" si="69"/>
        <v>#DIV/0!</v>
      </c>
      <c r="S654">
        <f>Prem!H656</f>
        <v>0</v>
      </c>
      <c r="T654" s="281">
        <f>S!H660</f>
        <v>0</v>
      </c>
      <c r="U654" s="274">
        <f>B!H655</f>
        <v>0</v>
      </c>
      <c r="V654" s="272">
        <f>Zn!G656</f>
        <v>0</v>
      </c>
      <c r="W654" s="272">
        <f>Cu!G656</f>
        <v>0</v>
      </c>
      <c r="X654" s="272">
        <f>Mn!G656</f>
        <v>0</v>
      </c>
      <c r="Y654" s="272">
        <f>Fe!G656</f>
        <v>0</v>
      </c>
      <c r="Z654" s="274">
        <f>M.O!H656</f>
        <v>0</v>
      </c>
      <c r="AA654" s="272" t="e">
        <f t="shared" si="70"/>
        <v>#DIV/0!</v>
      </c>
      <c r="AB654" s="272" t="e">
        <f t="shared" si="71"/>
        <v>#DIV/0!</v>
      </c>
      <c r="AC654" s="272" t="e">
        <f t="shared" si="72"/>
        <v>#DIV/0!</v>
      </c>
    </row>
    <row r="655" spans="1:29" x14ac:dyDescent="0.2">
      <c r="A655" s="106">
        <f>Cadastro!A659</f>
        <v>0</v>
      </c>
      <c r="B655" s="27">
        <f>Cadastro!E657</f>
        <v>0</v>
      </c>
      <c r="C655">
        <f>pH_água!C655</f>
        <v>0</v>
      </c>
      <c r="D655">
        <f>pH_KCl!B656</f>
        <v>0</v>
      </c>
      <c r="E655">
        <f>'pH CaCl2'!C655</f>
        <v>0</v>
      </c>
      <c r="F655" s="104">
        <f>P_Mehlich1!H640</f>
        <v>0</v>
      </c>
      <c r="G655" s="123">
        <f>P_resina!H660</f>
        <v>0</v>
      </c>
      <c r="H655" s="272">
        <f>K!G625</f>
        <v>0</v>
      </c>
      <c r="I655" s="125">
        <v>0</v>
      </c>
      <c r="J655" s="272">
        <f>'Ca2+'!G656</f>
        <v>0</v>
      </c>
      <c r="K655" s="272">
        <f>Mg²!G658</f>
        <v>0</v>
      </c>
      <c r="L655" s="279">
        <f>Al³!C657</f>
        <v>0</v>
      </c>
      <c r="M655" s="279">
        <f>'H + Al'!D657</f>
        <v>0</v>
      </c>
      <c r="N655" s="272">
        <f t="shared" si="65"/>
        <v>0</v>
      </c>
      <c r="O655" s="272">
        <f t="shared" si="66"/>
        <v>0</v>
      </c>
      <c r="P655" s="272">
        <f t="shared" si="67"/>
        <v>0</v>
      </c>
      <c r="Q655" s="293" t="e">
        <f t="shared" si="68"/>
        <v>#DIV/0!</v>
      </c>
      <c r="R655" s="293" t="e">
        <f t="shared" si="69"/>
        <v>#DIV/0!</v>
      </c>
      <c r="S655">
        <f>Prem!H657</f>
        <v>0</v>
      </c>
      <c r="T655" s="281">
        <f>S!H661</f>
        <v>0</v>
      </c>
      <c r="U655" s="274">
        <f>B!H656</f>
        <v>0</v>
      </c>
      <c r="V655" s="272">
        <f>Zn!G657</f>
        <v>0</v>
      </c>
      <c r="W655" s="272">
        <f>Cu!G657</f>
        <v>0</v>
      </c>
      <c r="X655" s="272">
        <f>Mn!G657</f>
        <v>0</v>
      </c>
      <c r="Y655" s="272">
        <f>Fe!G657</f>
        <v>0</v>
      </c>
      <c r="Z655" s="274">
        <f>M.O!H657</f>
        <v>0</v>
      </c>
      <c r="AA655" s="272" t="e">
        <f t="shared" si="70"/>
        <v>#DIV/0!</v>
      </c>
      <c r="AB655" s="272" t="e">
        <f t="shared" si="71"/>
        <v>#DIV/0!</v>
      </c>
      <c r="AC655" s="272" t="e">
        <f t="shared" si="72"/>
        <v>#DIV/0!</v>
      </c>
    </row>
    <row r="656" spans="1:29" x14ac:dyDescent="0.2">
      <c r="A656" s="106">
        <f>Cadastro!A660</f>
        <v>0</v>
      </c>
      <c r="B656" s="27">
        <f>Cadastro!E658</f>
        <v>0</v>
      </c>
      <c r="C656">
        <f>pH_água!C656</f>
        <v>0</v>
      </c>
      <c r="D656">
        <f>pH_KCl!B657</f>
        <v>0</v>
      </c>
      <c r="E656">
        <f>'pH CaCl2'!C656</f>
        <v>0</v>
      </c>
      <c r="F656" s="104">
        <f>P_Mehlich1!H641</f>
        <v>0</v>
      </c>
      <c r="G656" s="123">
        <f>P_resina!H661</f>
        <v>0</v>
      </c>
      <c r="H656" s="272">
        <f>K!G626</f>
        <v>0</v>
      </c>
      <c r="I656" s="125">
        <v>0</v>
      </c>
      <c r="J656" s="272">
        <f>'Ca2+'!G657</f>
        <v>0</v>
      </c>
      <c r="K656" s="272">
        <f>Mg²!G659</f>
        <v>0</v>
      </c>
      <c r="L656" s="279">
        <f>Al³!C658</f>
        <v>0</v>
      </c>
      <c r="M656" s="279">
        <f>'H + Al'!D658</f>
        <v>0</v>
      </c>
      <c r="N656" s="272">
        <f t="shared" si="65"/>
        <v>0</v>
      </c>
      <c r="O656" s="272">
        <f t="shared" si="66"/>
        <v>0</v>
      </c>
      <c r="P656" s="272">
        <f t="shared" si="67"/>
        <v>0</v>
      </c>
      <c r="Q656" s="293" t="e">
        <f t="shared" si="68"/>
        <v>#DIV/0!</v>
      </c>
      <c r="R656" s="293" t="e">
        <f t="shared" si="69"/>
        <v>#DIV/0!</v>
      </c>
      <c r="S656">
        <f>Prem!H658</f>
        <v>0</v>
      </c>
      <c r="T656" s="281">
        <f>S!H662</f>
        <v>0</v>
      </c>
      <c r="U656" s="274">
        <f>B!H657</f>
        <v>0</v>
      </c>
      <c r="V656" s="272">
        <f>Zn!G658</f>
        <v>0</v>
      </c>
      <c r="W656" s="272">
        <f>Cu!G658</f>
        <v>0</v>
      </c>
      <c r="X656" s="272">
        <f>Mn!G658</f>
        <v>0</v>
      </c>
      <c r="Y656" s="272">
        <f>Fe!G658</f>
        <v>0</v>
      </c>
      <c r="Z656" s="274">
        <f>M.O!H658</f>
        <v>0</v>
      </c>
      <c r="AA656" s="272" t="e">
        <f t="shared" si="70"/>
        <v>#DIV/0!</v>
      </c>
      <c r="AB656" s="272" t="e">
        <f t="shared" si="71"/>
        <v>#DIV/0!</v>
      </c>
      <c r="AC656" s="272" t="e">
        <f t="shared" si="72"/>
        <v>#DIV/0!</v>
      </c>
    </row>
    <row r="657" spans="1:29" x14ac:dyDescent="0.2">
      <c r="A657" s="106">
        <f>Cadastro!A661</f>
        <v>0</v>
      </c>
      <c r="B657" s="27">
        <f>Cadastro!E659</f>
        <v>0</v>
      </c>
      <c r="C657">
        <f>pH_água!C657</f>
        <v>0</v>
      </c>
      <c r="D657">
        <f>pH_KCl!B658</f>
        <v>0</v>
      </c>
      <c r="E657">
        <f>'pH CaCl2'!C657</f>
        <v>0</v>
      </c>
      <c r="F657" s="104">
        <f>P_Mehlich1!H642</f>
        <v>0</v>
      </c>
      <c r="G657" s="123">
        <f>P_resina!H662</f>
        <v>0</v>
      </c>
      <c r="H657" s="272">
        <f>K!G627</f>
        <v>0</v>
      </c>
      <c r="I657" s="125">
        <v>0</v>
      </c>
      <c r="J657" s="272">
        <f>'Ca2+'!G658</f>
        <v>0</v>
      </c>
      <c r="K657" s="272">
        <f>Mg²!G660</f>
        <v>0</v>
      </c>
      <c r="L657" s="279">
        <f>Al³!C659</f>
        <v>0</v>
      </c>
      <c r="M657" s="279">
        <f>'H + Al'!D659</f>
        <v>0</v>
      </c>
      <c r="N657" s="272">
        <f t="shared" si="65"/>
        <v>0</v>
      </c>
      <c r="O657" s="272">
        <f t="shared" si="66"/>
        <v>0</v>
      </c>
      <c r="P657" s="272">
        <f t="shared" si="67"/>
        <v>0</v>
      </c>
      <c r="Q657" s="293" t="e">
        <f t="shared" si="68"/>
        <v>#DIV/0!</v>
      </c>
      <c r="R657" s="293" t="e">
        <f t="shared" si="69"/>
        <v>#DIV/0!</v>
      </c>
      <c r="S657">
        <f>Prem!H659</f>
        <v>0</v>
      </c>
      <c r="T657" s="281">
        <f>S!H663</f>
        <v>0</v>
      </c>
      <c r="U657" s="274">
        <f>B!H658</f>
        <v>0</v>
      </c>
      <c r="V657" s="272">
        <f>Zn!G659</f>
        <v>0</v>
      </c>
      <c r="W657" s="272">
        <f>Cu!G659</f>
        <v>0</v>
      </c>
      <c r="X657" s="272">
        <f>Mn!G659</f>
        <v>0</v>
      </c>
      <c r="Y657" s="272">
        <f>Fe!G659</f>
        <v>0</v>
      </c>
      <c r="Z657" s="274">
        <f>M.O!H659</f>
        <v>0</v>
      </c>
      <c r="AA657" s="272" t="e">
        <f t="shared" si="70"/>
        <v>#DIV/0!</v>
      </c>
      <c r="AB657" s="272" t="e">
        <f t="shared" si="71"/>
        <v>#DIV/0!</v>
      </c>
      <c r="AC657" s="272" t="e">
        <f t="shared" si="72"/>
        <v>#DIV/0!</v>
      </c>
    </row>
    <row r="658" spans="1:29" x14ac:dyDescent="0.2">
      <c r="A658" s="106">
        <f>Cadastro!A662</f>
        <v>0</v>
      </c>
      <c r="B658" s="27">
        <f>Cadastro!E660</f>
        <v>0</v>
      </c>
      <c r="C658">
        <f>pH_água!C658</f>
        <v>0</v>
      </c>
      <c r="D658">
        <f>pH_KCl!B659</f>
        <v>0</v>
      </c>
      <c r="E658">
        <f>'pH CaCl2'!C658</f>
        <v>0</v>
      </c>
      <c r="F658" s="104">
        <f>P_Mehlich1!H643</f>
        <v>0</v>
      </c>
      <c r="G658" s="123">
        <f>P_resina!H663</f>
        <v>0</v>
      </c>
      <c r="H658" s="272">
        <f>K!G628</f>
        <v>0</v>
      </c>
      <c r="I658" s="125">
        <v>0</v>
      </c>
      <c r="J658" s="272">
        <f>'Ca2+'!G659</f>
        <v>0</v>
      </c>
      <c r="K658" s="272">
        <f>Mg²!G661</f>
        <v>0</v>
      </c>
      <c r="L658" s="279">
        <f>Al³!C660</f>
        <v>0</v>
      </c>
      <c r="M658" s="279">
        <f>'H + Al'!D660</f>
        <v>0</v>
      </c>
      <c r="N658" s="272">
        <f t="shared" si="65"/>
        <v>0</v>
      </c>
      <c r="O658" s="272">
        <f t="shared" si="66"/>
        <v>0</v>
      </c>
      <c r="P658" s="272">
        <f t="shared" si="67"/>
        <v>0</v>
      </c>
      <c r="Q658" s="293" t="e">
        <f t="shared" si="68"/>
        <v>#DIV/0!</v>
      </c>
      <c r="R658" s="293" t="e">
        <f t="shared" si="69"/>
        <v>#DIV/0!</v>
      </c>
      <c r="S658">
        <f>Prem!H660</f>
        <v>0</v>
      </c>
      <c r="T658" s="281">
        <f>S!H664</f>
        <v>0</v>
      </c>
      <c r="U658" s="274">
        <f>B!H659</f>
        <v>0</v>
      </c>
      <c r="V658" s="272">
        <f>Zn!G660</f>
        <v>0</v>
      </c>
      <c r="W658" s="272">
        <f>Cu!G660</f>
        <v>0</v>
      </c>
      <c r="X658" s="272">
        <f>Mn!G660</f>
        <v>0</v>
      </c>
      <c r="Y658" s="272">
        <f>Fe!G660</f>
        <v>0</v>
      </c>
      <c r="Z658" s="274">
        <f>M.O!H660</f>
        <v>0</v>
      </c>
      <c r="AA658" s="272" t="e">
        <f t="shared" si="70"/>
        <v>#DIV/0!</v>
      </c>
      <c r="AB658" s="272" t="e">
        <f t="shared" si="71"/>
        <v>#DIV/0!</v>
      </c>
      <c r="AC658" s="272" t="e">
        <f t="shared" si="72"/>
        <v>#DIV/0!</v>
      </c>
    </row>
    <row r="659" spans="1:29" x14ac:dyDescent="0.2">
      <c r="A659" s="106">
        <f>Cadastro!A663</f>
        <v>0</v>
      </c>
      <c r="B659" s="27">
        <f>Cadastro!E661</f>
        <v>0</v>
      </c>
      <c r="C659">
        <f>pH_água!C659</f>
        <v>0</v>
      </c>
      <c r="D659">
        <f>pH_KCl!B660</f>
        <v>0</v>
      </c>
      <c r="E659">
        <f>'pH CaCl2'!C659</f>
        <v>0</v>
      </c>
      <c r="F659" s="104">
        <f>P_Mehlich1!H644</f>
        <v>0</v>
      </c>
      <c r="G659" s="123">
        <f>P_resina!H664</f>
        <v>0</v>
      </c>
      <c r="H659" s="272">
        <f>K!G629</f>
        <v>0</v>
      </c>
      <c r="I659" s="125">
        <v>0</v>
      </c>
      <c r="J659" s="272">
        <f>'Ca2+'!G660</f>
        <v>0</v>
      </c>
      <c r="K659" s="272">
        <f>Mg²!G662</f>
        <v>0</v>
      </c>
      <c r="L659" s="279">
        <f>Al³!C661</f>
        <v>0</v>
      </c>
      <c r="M659" s="279">
        <f>'H + Al'!D661</f>
        <v>0</v>
      </c>
      <c r="N659" s="272">
        <f t="shared" si="65"/>
        <v>0</v>
      </c>
      <c r="O659" s="272">
        <f t="shared" si="66"/>
        <v>0</v>
      </c>
      <c r="P659" s="272">
        <f t="shared" si="67"/>
        <v>0</v>
      </c>
      <c r="Q659" s="293" t="e">
        <f t="shared" si="68"/>
        <v>#DIV/0!</v>
      </c>
      <c r="R659" s="293" t="e">
        <f t="shared" si="69"/>
        <v>#DIV/0!</v>
      </c>
      <c r="S659">
        <f>Prem!H661</f>
        <v>0</v>
      </c>
      <c r="T659" s="281">
        <f>S!H665</f>
        <v>0</v>
      </c>
      <c r="U659" s="274">
        <f>B!H660</f>
        <v>0</v>
      </c>
      <c r="V659" s="272">
        <f>Zn!G661</f>
        <v>0</v>
      </c>
      <c r="W659" s="272">
        <f>Cu!G661</f>
        <v>0</v>
      </c>
      <c r="X659" s="272">
        <f>Mn!G661</f>
        <v>0</v>
      </c>
      <c r="Y659" s="272">
        <f>Fe!G661</f>
        <v>0</v>
      </c>
      <c r="Z659" s="274">
        <f>M.O!H661</f>
        <v>0</v>
      </c>
      <c r="AA659" s="272" t="e">
        <f t="shared" si="70"/>
        <v>#DIV/0!</v>
      </c>
      <c r="AB659" s="272" t="e">
        <f t="shared" si="71"/>
        <v>#DIV/0!</v>
      </c>
      <c r="AC659" s="272" t="e">
        <f t="shared" si="72"/>
        <v>#DIV/0!</v>
      </c>
    </row>
    <row r="660" spans="1:29" x14ac:dyDescent="0.2">
      <c r="A660" s="106">
        <f>Cadastro!A664</f>
        <v>0</v>
      </c>
      <c r="B660" s="27">
        <f>Cadastro!E662</f>
        <v>0</v>
      </c>
      <c r="C660">
        <f>pH_água!C660</f>
        <v>0</v>
      </c>
      <c r="D660">
        <f>pH_KCl!B661</f>
        <v>0</v>
      </c>
      <c r="E660">
        <f>'pH CaCl2'!C660</f>
        <v>0</v>
      </c>
      <c r="F660" s="104">
        <f>P_Mehlich1!H645</f>
        <v>0</v>
      </c>
      <c r="G660" s="123">
        <f>P_resina!H665</f>
        <v>0</v>
      </c>
      <c r="H660" s="272">
        <f>K!G630</f>
        <v>0</v>
      </c>
      <c r="I660" s="125">
        <v>0</v>
      </c>
      <c r="J660" s="272">
        <f>'Ca2+'!G661</f>
        <v>0</v>
      </c>
      <c r="K660" s="272">
        <f>Mg²!G663</f>
        <v>0</v>
      </c>
      <c r="L660" s="279">
        <f>Al³!C662</f>
        <v>0</v>
      </c>
      <c r="M660" s="279">
        <f>'H + Al'!D662</f>
        <v>0</v>
      </c>
      <c r="N660" s="272">
        <f t="shared" si="65"/>
        <v>0</v>
      </c>
      <c r="O660" s="272">
        <f t="shared" si="66"/>
        <v>0</v>
      </c>
      <c r="P660" s="272">
        <f t="shared" si="67"/>
        <v>0</v>
      </c>
      <c r="Q660" s="293" t="e">
        <f t="shared" si="68"/>
        <v>#DIV/0!</v>
      </c>
      <c r="R660" s="293" t="e">
        <f t="shared" si="69"/>
        <v>#DIV/0!</v>
      </c>
      <c r="S660">
        <f>Prem!H662</f>
        <v>0</v>
      </c>
      <c r="T660" s="281">
        <f>S!H666</f>
        <v>0</v>
      </c>
      <c r="U660" s="274">
        <f>B!H661</f>
        <v>0</v>
      </c>
      <c r="V660" s="272">
        <f>Zn!G662</f>
        <v>0</v>
      </c>
      <c r="W660" s="272">
        <f>Cu!G662</f>
        <v>0</v>
      </c>
      <c r="X660" s="272">
        <f>Mn!G662</f>
        <v>0</v>
      </c>
      <c r="Y660" s="272">
        <f>Fe!G662</f>
        <v>0</v>
      </c>
      <c r="Z660" s="274">
        <f>M.O!H662</f>
        <v>0</v>
      </c>
      <c r="AA660" s="272" t="e">
        <f t="shared" si="70"/>
        <v>#DIV/0!</v>
      </c>
      <c r="AB660" s="272" t="e">
        <f t="shared" si="71"/>
        <v>#DIV/0!</v>
      </c>
      <c r="AC660" s="272" t="e">
        <f t="shared" si="72"/>
        <v>#DIV/0!</v>
      </c>
    </row>
    <row r="661" spans="1:29" x14ac:dyDescent="0.2">
      <c r="A661" s="106">
        <f>Cadastro!A665</f>
        <v>0</v>
      </c>
      <c r="B661" s="27">
        <f>Cadastro!E663</f>
        <v>0</v>
      </c>
      <c r="C661">
        <f>pH_água!C661</f>
        <v>0</v>
      </c>
      <c r="D661">
        <f>pH_KCl!B662</f>
        <v>0</v>
      </c>
      <c r="E661">
        <f>'pH CaCl2'!C661</f>
        <v>0</v>
      </c>
      <c r="F661" s="104">
        <f>P_Mehlich1!H646</f>
        <v>0</v>
      </c>
      <c r="G661" s="123">
        <f>P_resina!H666</f>
        <v>0</v>
      </c>
      <c r="H661" s="272">
        <f>K!G631</f>
        <v>0</v>
      </c>
      <c r="I661" s="125">
        <v>0</v>
      </c>
      <c r="J661" s="272">
        <f>'Ca2+'!G662</f>
        <v>0</v>
      </c>
      <c r="K661" s="272">
        <f>Mg²!G664</f>
        <v>0</v>
      </c>
      <c r="L661" s="279">
        <f>Al³!C663</f>
        <v>0</v>
      </c>
      <c r="M661" s="279">
        <f>'H + Al'!D663</f>
        <v>0</v>
      </c>
      <c r="N661" s="272">
        <f t="shared" si="65"/>
        <v>0</v>
      </c>
      <c r="O661" s="272">
        <f t="shared" si="66"/>
        <v>0</v>
      </c>
      <c r="P661" s="272">
        <f t="shared" si="67"/>
        <v>0</v>
      </c>
      <c r="Q661" s="293" t="e">
        <f t="shared" si="68"/>
        <v>#DIV/0!</v>
      </c>
      <c r="R661" s="293" t="e">
        <f t="shared" si="69"/>
        <v>#DIV/0!</v>
      </c>
      <c r="S661">
        <f>Prem!H663</f>
        <v>0</v>
      </c>
      <c r="T661" s="281">
        <f>S!H667</f>
        <v>0</v>
      </c>
      <c r="U661" s="274">
        <f>B!H662</f>
        <v>0</v>
      </c>
      <c r="V661" s="272">
        <f>Zn!G663</f>
        <v>0</v>
      </c>
      <c r="W661" s="272">
        <f>Cu!G663</f>
        <v>0</v>
      </c>
      <c r="X661" s="272">
        <f>Mn!G663</f>
        <v>0</v>
      </c>
      <c r="Y661" s="272">
        <f>Fe!G663</f>
        <v>0</v>
      </c>
      <c r="Z661" s="274">
        <f>M.O!H663</f>
        <v>0</v>
      </c>
      <c r="AA661" s="272" t="e">
        <f t="shared" si="70"/>
        <v>#DIV/0!</v>
      </c>
      <c r="AB661" s="272" t="e">
        <f t="shared" si="71"/>
        <v>#DIV/0!</v>
      </c>
      <c r="AC661" s="272" t="e">
        <f t="shared" si="72"/>
        <v>#DIV/0!</v>
      </c>
    </row>
    <row r="662" spans="1:29" x14ac:dyDescent="0.2">
      <c r="A662" s="106">
        <f>Cadastro!A666</f>
        <v>0</v>
      </c>
      <c r="B662" s="27">
        <f>Cadastro!E664</f>
        <v>0</v>
      </c>
      <c r="C662">
        <f>pH_água!C662</f>
        <v>0</v>
      </c>
      <c r="D662">
        <f>pH_KCl!B663</f>
        <v>0</v>
      </c>
      <c r="E662">
        <f>'pH CaCl2'!C662</f>
        <v>0</v>
      </c>
      <c r="F662" s="104">
        <f>P_Mehlich1!H647</f>
        <v>0</v>
      </c>
      <c r="G662" s="123">
        <f>P_resina!H667</f>
        <v>0</v>
      </c>
      <c r="H662" s="272">
        <f>K!G632</f>
        <v>0</v>
      </c>
      <c r="I662" s="125">
        <v>0</v>
      </c>
      <c r="J662" s="272">
        <f>'Ca2+'!G663</f>
        <v>0</v>
      </c>
      <c r="K662" s="272">
        <f>Mg²!G665</f>
        <v>0</v>
      </c>
      <c r="L662" s="279">
        <f>Al³!C664</f>
        <v>0</v>
      </c>
      <c r="M662" s="279">
        <f>'H + Al'!D664</f>
        <v>0</v>
      </c>
      <c r="N662" s="272">
        <f t="shared" si="65"/>
        <v>0</v>
      </c>
      <c r="O662" s="272">
        <f t="shared" si="66"/>
        <v>0</v>
      </c>
      <c r="P662" s="272">
        <f t="shared" si="67"/>
        <v>0</v>
      </c>
      <c r="Q662" s="293" t="e">
        <f t="shared" si="68"/>
        <v>#DIV/0!</v>
      </c>
      <c r="R662" s="293" t="e">
        <f t="shared" si="69"/>
        <v>#DIV/0!</v>
      </c>
      <c r="S662">
        <f>Prem!H664</f>
        <v>0</v>
      </c>
      <c r="T662" s="281">
        <f>S!H668</f>
        <v>0</v>
      </c>
      <c r="U662" s="274">
        <f>B!H663</f>
        <v>0</v>
      </c>
      <c r="V662" s="272">
        <f>Zn!G664</f>
        <v>0</v>
      </c>
      <c r="W662" s="272">
        <f>Cu!G664</f>
        <v>0</v>
      </c>
      <c r="X662" s="272">
        <f>Mn!G664</f>
        <v>0</v>
      </c>
      <c r="Y662" s="272">
        <f>Fe!G664</f>
        <v>0</v>
      </c>
      <c r="Z662" s="274">
        <f>M.O!H664</f>
        <v>0</v>
      </c>
      <c r="AA662" s="272" t="e">
        <f t="shared" si="70"/>
        <v>#DIV/0!</v>
      </c>
      <c r="AB662" s="272" t="e">
        <f t="shared" si="71"/>
        <v>#DIV/0!</v>
      </c>
      <c r="AC662" s="272" t="e">
        <f t="shared" si="72"/>
        <v>#DIV/0!</v>
      </c>
    </row>
    <row r="663" spans="1:29" x14ac:dyDescent="0.2">
      <c r="A663" s="106">
        <f>Cadastro!A667</f>
        <v>0</v>
      </c>
      <c r="B663" s="27">
        <f>Cadastro!E665</f>
        <v>0</v>
      </c>
      <c r="C663">
        <f>pH_água!C663</f>
        <v>0</v>
      </c>
      <c r="D663">
        <f>pH_KCl!B664</f>
        <v>0</v>
      </c>
      <c r="E663">
        <f>'pH CaCl2'!C663</f>
        <v>0</v>
      </c>
      <c r="F663" s="104">
        <f>P_Mehlich1!H648</f>
        <v>0</v>
      </c>
      <c r="G663" s="123">
        <f>P_resina!H668</f>
        <v>0</v>
      </c>
      <c r="H663" s="272">
        <f>K!G633</f>
        <v>0</v>
      </c>
      <c r="I663" s="125">
        <v>0</v>
      </c>
      <c r="J663" s="272">
        <f>'Ca2+'!G664</f>
        <v>0</v>
      </c>
      <c r="K663" s="272">
        <f>Mg²!G666</f>
        <v>0</v>
      </c>
      <c r="L663" s="279">
        <f>Al³!C665</f>
        <v>0</v>
      </c>
      <c r="M663" s="279">
        <f>'H + Al'!D665</f>
        <v>0</v>
      </c>
      <c r="N663" s="272">
        <f t="shared" si="65"/>
        <v>0</v>
      </c>
      <c r="O663" s="272">
        <f t="shared" si="66"/>
        <v>0</v>
      </c>
      <c r="P663" s="272">
        <f t="shared" si="67"/>
        <v>0</v>
      </c>
      <c r="Q663" s="293" t="e">
        <f t="shared" si="68"/>
        <v>#DIV/0!</v>
      </c>
      <c r="R663" s="293" t="e">
        <f t="shared" si="69"/>
        <v>#DIV/0!</v>
      </c>
      <c r="S663">
        <f>Prem!H665</f>
        <v>0</v>
      </c>
      <c r="T663" s="281">
        <f>S!H669</f>
        <v>0</v>
      </c>
      <c r="U663" s="274">
        <f>B!H664</f>
        <v>0</v>
      </c>
      <c r="V663" s="272">
        <f>Zn!G665</f>
        <v>0</v>
      </c>
      <c r="W663" s="272">
        <f>Cu!G665</f>
        <v>0</v>
      </c>
      <c r="X663" s="272">
        <f>Mn!G665</f>
        <v>0</v>
      </c>
      <c r="Y663" s="272">
        <f>Fe!G665</f>
        <v>0</v>
      </c>
      <c r="Z663" s="274">
        <f>M.O!H665</f>
        <v>0</v>
      </c>
      <c r="AA663" s="272" t="e">
        <f t="shared" si="70"/>
        <v>#DIV/0!</v>
      </c>
      <c r="AB663" s="272" t="e">
        <f t="shared" si="71"/>
        <v>#DIV/0!</v>
      </c>
      <c r="AC663" s="272" t="e">
        <f t="shared" si="72"/>
        <v>#DIV/0!</v>
      </c>
    </row>
    <row r="664" spans="1:29" x14ac:dyDescent="0.2">
      <c r="A664" s="106">
        <f>Cadastro!A668</f>
        <v>0</v>
      </c>
      <c r="B664" s="27">
        <f>Cadastro!E666</f>
        <v>0</v>
      </c>
      <c r="C664">
        <f>pH_água!C664</f>
        <v>0</v>
      </c>
      <c r="D664">
        <f>pH_KCl!B665</f>
        <v>0</v>
      </c>
      <c r="E664">
        <f>'pH CaCl2'!C664</f>
        <v>0</v>
      </c>
      <c r="F664" s="104">
        <f>P_Mehlich1!H649</f>
        <v>0</v>
      </c>
      <c r="G664" s="123">
        <f>P_resina!H669</f>
        <v>0</v>
      </c>
      <c r="H664" s="272">
        <f>K!G634</f>
        <v>0</v>
      </c>
      <c r="I664" s="125">
        <v>0</v>
      </c>
      <c r="J664" s="272">
        <f>'Ca2+'!G665</f>
        <v>0</v>
      </c>
      <c r="K664" s="272">
        <f>Mg²!G667</f>
        <v>0</v>
      </c>
      <c r="L664" s="279">
        <f>Al³!C666</f>
        <v>0</v>
      </c>
      <c r="M664" s="279">
        <f>'H + Al'!D666</f>
        <v>0</v>
      </c>
      <c r="N664" s="272">
        <f t="shared" si="65"/>
        <v>0</v>
      </c>
      <c r="O664" s="272">
        <f t="shared" si="66"/>
        <v>0</v>
      </c>
      <c r="P664" s="272">
        <f t="shared" si="67"/>
        <v>0</v>
      </c>
      <c r="Q664" s="293" t="e">
        <f t="shared" si="68"/>
        <v>#DIV/0!</v>
      </c>
      <c r="R664" s="293" t="e">
        <f t="shared" si="69"/>
        <v>#DIV/0!</v>
      </c>
      <c r="S664">
        <f>Prem!H666</f>
        <v>0</v>
      </c>
      <c r="T664" s="281">
        <f>S!H670</f>
        <v>0</v>
      </c>
      <c r="U664" s="274">
        <f>B!H665</f>
        <v>0</v>
      </c>
      <c r="V664" s="272">
        <f>Zn!G666</f>
        <v>0</v>
      </c>
      <c r="W664" s="272">
        <f>Cu!G666</f>
        <v>0</v>
      </c>
      <c r="X664" s="272">
        <f>Mn!G666</f>
        <v>0</v>
      </c>
      <c r="Y664" s="272">
        <f>Fe!G666</f>
        <v>0</v>
      </c>
      <c r="Z664" s="274">
        <f>M.O!H666</f>
        <v>0</v>
      </c>
      <c r="AA664" s="272" t="e">
        <f t="shared" si="70"/>
        <v>#DIV/0!</v>
      </c>
      <c r="AB664" s="272" t="e">
        <f t="shared" si="71"/>
        <v>#DIV/0!</v>
      </c>
      <c r="AC664" s="272" t="e">
        <f t="shared" si="72"/>
        <v>#DIV/0!</v>
      </c>
    </row>
    <row r="665" spans="1:29" x14ac:dyDescent="0.2">
      <c r="A665" s="106">
        <f>Cadastro!A669</f>
        <v>0</v>
      </c>
      <c r="B665" s="27">
        <f>Cadastro!E667</f>
        <v>0</v>
      </c>
      <c r="C665">
        <f>pH_água!C665</f>
        <v>0</v>
      </c>
      <c r="D665">
        <f>pH_KCl!B666</f>
        <v>0</v>
      </c>
      <c r="E665">
        <f>'pH CaCl2'!C665</f>
        <v>0</v>
      </c>
      <c r="F665" s="104">
        <f>P_Mehlich1!H650</f>
        <v>0</v>
      </c>
      <c r="G665" s="123">
        <f>P_resina!H670</f>
        <v>0</v>
      </c>
      <c r="H665" s="272">
        <f>K!G635</f>
        <v>0</v>
      </c>
      <c r="I665" s="125">
        <v>0</v>
      </c>
      <c r="J665" s="272">
        <f>'Ca2+'!G666</f>
        <v>0</v>
      </c>
      <c r="K665" s="272">
        <f>Mg²!G668</f>
        <v>0</v>
      </c>
      <c r="L665" s="279">
        <f>Al³!C667</f>
        <v>0</v>
      </c>
      <c r="M665" s="279">
        <f>'H + Al'!D667</f>
        <v>0</v>
      </c>
      <c r="N665" s="272">
        <f t="shared" si="65"/>
        <v>0</v>
      </c>
      <c r="O665" s="272">
        <f t="shared" si="66"/>
        <v>0</v>
      </c>
      <c r="P665" s="272">
        <f t="shared" si="67"/>
        <v>0</v>
      </c>
      <c r="Q665" s="293" t="e">
        <f t="shared" si="68"/>
        <v>#DIV/0!</v>
      </c>
      <c r="R665" s="293" t="e">
        <f t="shared" si="69"/>
        <v>#DIV/0!</v>
      </c>
      <c r="S665">
        <f>Prem!H667</f>
        <v>0</v>
      </c>
      <c r="T665" s="281">
        <f>S!H671</f>
        <v>0</v>
      </c>
      <c r="U665" s="274">
        <f>B!H666</f>
        <v>0</v>
      </c>
      <c r="V665" s="272">
        <f>Zn!G667</f>
        <v>0</v>
      </c>
      <c r="W665" s="272">
        <f>Cu!G667</f>
        <v>0</v>
      </c>
      <c r="X665" s="272">
        <f>Mn!G667</f>
        <v>0</v>
      </c>
      <c r="Y665" s="272">
        <f>Fe!G667</f>
        <v>0</v>
      </c>
      <c r="Z665" s="274">
        <f>M.O!H667</f>
        <v>0</v>
      </c>
      <c r="AA665" s="272" t="e">
        <f t="shared" si="70"/>
        <v>#DIV/0!</v>
      </c>
      <c r="AB665" s="272" t="e">
        <f t="shared" si="71"/>
        <v>#DIV/0!</v>
      </c>
      <c r="AC665" s="272" t="e">
        <f t="shared" si="72"/>
        <v>#DIV/0!</v>
      </c>
    </row>
    <row r="666" spans="1:29" x14ac:dyDescent="0.2">
      <c r="A666" s="106">
        <f>Cadastro!A670</f>
        <v>0</v>
      </c>
      <c r="B666" s="27">
        <f>Cadastro!E668</f>
        <v>0</v>
      </c>
      <c r="C666">
        <f>pH_água!C666</f>
        <v>0</v>
      </c>
      <c r="D666">
        <f>pH_KCl!B667</f>
        <v>0</v>
      </c>
      <c r="E666">
        <f>'pH CaCl2'!C666</f>
        <v>0</v>
      </c>
      <c r="F666" s="104">
        <f>P_Mehlich1!H651</f>
        <v>0</v>
      </c>
      <c r="G666" s="123">
        <f>P_resina!H671</f>
        <v>0</v>
      </c>
      <c r="H666" s="272">
        <f>K!G636</f>
        <v>0</v>
      </c>
      <c r="I666" s="125">
        <v>0</v>
      </c>
      <c r="J666" s="272">
        <f>'Ca2+'!G667</f>
        <v>0</v>
      </c>
      <c r="K666" s="272">
        <f>Mg²!G669</f>
        <v>0</v>
      </c>
      <c r="L666" s="279">
        <f>Al³!C668</f>
        <v>0</v>
      </c>
      <c r="M666" s="279">
        <f>'H + Al'!D668</f>
        <v>0</v>
      </c>
      <c r="N666" s="272">
        <f t="shared" si="65"/>
        <v>0</v>
      </c>
      <c r="O666" s="272">
        <f t="shared" si="66"/>
        <v>0</v>
      </c>
      <c r="P666" s="272">
        <f t="shared" si="67"/>
        <v>0</v>
      </c>
      <c r="Q666" s="293" t="e">
        <f t="shared" si="68"/>
        <v>#DIV/0!</v>
      </c>
      <c r="R666" s="293" t="e">
        <f t="shared" si="69"/>
        <v>#DIV/0!</v>
      </c>
      <c r="S666">
        <f>Prem!H668</f>
        <v>0</v>
      </c>
      <c r="T666" s="281">
        <f>S!H672</f>
        <v>0</v>
      </c>
      <c r="U666" s="274">
        <f>B!H667</f>
        <v>0</v>
      </c>
      <c r="V666" s="272">
        <f>Zn!G668</f>
        <v>0</v>
      </c>
      <c r="W666" s="272">
        <f>Cu!G668</f>
        <v>0</v>
      </c>
      <c r="X666" s="272">
        <f>Mn!G668</f>
        <v>0</v>
      </c>
      <c r="Y666" s="272">
        <f>Fe!G668</f>
        <v>0</v>
      </c>
      <c r="Z666" s="274">
        <f>M.O!H668</f>
        <v>0</v>
      </c>
      <c r="AA666" s="272" t="e">
        <f t="shared" si="70"/>
        <v>#DIV/0!</v>
      </c>
      <c r="AB666" s="272" t="e">
        <f t="shared" si="71"/>
        <v>#DIV/0!</v>
      </c>
      <c r="AC666" s="272" t="e">
        <f t="shared" si="72"/>
        <v>#DIV/0!</v>
      </c>
    </row>
    <row r="667" spans="1:29" x14ac:dyDescent="0.2">
      <c r="A667" s="106">
        <f>Cadastro!A671</f>
        <v>0</v>
      </c>
      <c r="B667" s="27">
        <f>Cadastro!E669</f>
        <v>0</v>
      </c>
      <c r="C667">
        <f>pH_água!C667</f>
        <v>0</v>
      </c>
      <c r="D667">
        <f>pH_KCl!B668</f>
        <v>0</v>
      </c>
      <c r="E667">
        <f>'pH CaCl2'!C667</f>
        <v>0</v>
      </c>
      <c r="F667" s="104">
        <f>P_Mehlich1!H652</f>
        <v>0</v>
      </c>
      <c r="G667" s="123">
        <f>P_resina!H672</f>
        <v>0</v>
      </c>
      <c r="H667" s="272">
        <f>K!G637</f>
        <v>0</v>
      </c>
      <c r="I667" s="125">
        <v>0</v>
      </c>
      <c r="J667" s="272">
        <f>'Ca2+'!G668</f>
        <v>0</v>
      </c>
      <c r="K667" s="272">
        <f>Mg²!G670</f>
        <v>0</v>
      </c>
      <c r="L667" s="279">
        <f>Al³!C669</f>
        <v>0</v>
      </c>
      <c r="M667" s="279">
        <f>'H + Al'!D669</f>
        <v>0</v>
      </c>
      <c r="N667" s="272">
        <f t="shared" si="65"/>
        <v>0</v>
      </c>
      <c r="O667" s="272">
        <f t="shared" si="66"/>
        <v>0</v>
      </c>
      <c r="P667" s="272">
        <f t="shared" si="67"/>
        <v>0</v>
      </c>
      <c r="Q667" s="293" t="e">
        <f t="shared" si="68"/>
        <v>#DIV/0!</v>
      </c>
      <c r="R667" s="293" t="e">
        <f t="shared" si="69"/>
        <v>#DIV/0!</v>
      </c>
      <c r="S667">
        <f>Prem!H669</f>
        <v>0</v>
      </c>
      <c r="T667" s="281">
        <f>S!H673</f>
        <v>0</v>
      </c>
      <c r="U667" s="274">
        <f>B!H668</f>
        <v>0</v>
      </c>
      <c r="V667" s="272">
        <f>Zn!G669</f>
        <v>0</v>
      </c>
      <c r="W667" s="272">
        <f>Cu!G669</f>
        <v>0</v>
      </c>
      <c r="X667" s="272">
        <f>Mn!G669</f>
        <v>0</v>
      </c>
      <c r="Y667" s="272">
        <f>Fe!G669</f>
        <v>0</v>
      </c>
      <c r="Z667" s="274">
        <f>M.O!H669</f>
        <v>0</v>
      </c>
      <c r="AA667" s="272" t="e">
        <f t="shared" si="70"/>
        <v>#DIV/0!</v>
      </c>
      <c r="AB667" s="272" t="e">
        <f t="shared" si="71"/>
        <v>#DIV/0!</v>
      </c>
      <c r="AC667" s="272" t="e">
        <f t="shared" si="72"/>
        <v>#DIV/0!</v>
      </c>
    </row>
    <row r="668" spans="1:29" x14ac:dyDescent="0.2">
      <c r="A668" s="106">
        <f>Cadastro!A672</f>
        <v>0</v>
      </c>
      <c r="B668" s="27">
        <f>Cadastro!E670</f>
        <v>0</v>
      </c>
      <c r="C668">
        <f>pH_água!C668</f>
        <v>0</v>
      </c>
      <c r="D668">
        <f>pH_KCl!B669</f>
        <v>0</v>
      </c>
      <c r="E668">
        <f>'pH CaCl2'!C668</f>
        <v>0</v>
      </c>
      <c r="F668" s="104">
        <f>P_Mehlich1!H653</f>
        <v>0</v>
      </c>
      <c r="G668" s="123">
        <f>P_resina!H673</f>
        <v>0</v>
      </c>
      <c r="H668" s="272">
        <f>K!G638</f>
        <v>0</v>
      </c>
      <c r="I668" s="125">
        <v>0</v>
      </c>
      <c r="J668" s="272">
        <f>'Ca2+'!G669</f>
        <v>0</v>
      </c>
      <c r="K668" s="272">
        <f>Mg²!G671</f>
        <v>0</v>
      </c>
      <c r="L668" s="279">
        <f>Al³!C670</f>
        <v>0</v>
      </c>
      <c r="M668" s="279">
        <f>'H + Al'!D670</f>
        <v>0</v>
      </c>
      <c r="N668" s="272">
        <f t="shared" si="65"/>
        <v>0</v>
      </c>
      <c r="O668" s="272">
        <f t="shared" si="66"/>
        <v>0</v>
      </c>
      <c r="P668" s="272">
        <f t="shared" si="67"/>
        <v>0</v>
      </c>
      <c r="Q668" s="293" t="e">
        <f t="shared" si="68"/>
        <v>#DIV/0!</v>
      </c>
      <c r="R668" s="293" t="e">
        <f t="shared" si="69"/>
        <v>#DIV/0!</v>
      </c>
      <c r="S668">
        <f>Prem!H670</f>
        <v>0</v>
      </c>
      <c r="T668" s="281">
        <f>S!H674</f>
        <v>0</v>
      </c>
      <c r="U668" s="274">
        <f>B!H669</f>
        <v>0</v>
      </c>
      <c r="V668" s="272">
        <f>Zn!G670</f>
        <v>0</v>
      </c>
      <c r="W668" s="272">
        <f>Cu!G670</f>
        <v>0</v>
      </c>
      <c r="X668" s="272">
        <f>Mn!G670</f>
        <v>0</v>
      </c>
      <c r="Y668" s="272">
        <f>Fe!G670</f>
        <v>0</v>
      </c>
      <c r="Z668" s="274">
        <f>M.O!H670</f>
        <v>0</v>
      </c>
      <c r="AA668" s="272" t="e">
        <f t="shared" si="70"/>
        <v>#DIV/0!</v>
      </c>
      <c r="AB668" s="272" t="e">
        <f t="shared" si="71"/>
        <v>#DIV/0!</v>
      </c>
      <c r="AC668" s="272" t="e">
        <f t="shared" si="72"/>
        <v>#DIV/0!</v>
      </c>
    </row>
    <row r="669" spans="1:29" x14ac:dyDescent="0.2">
      <c r="A669" s="106">
        <f>Cadastro!A673</f>
        <v>0</v>
      </c>
      <c r="B669" s="27">
        <f>Cadastro!E671</f>
        <v>0</v>
      </c>
      <c r="C669">
        <f>pH_água!C669</f>
        <v>0</v>
      </c>
      <c r="D669">
        <f>pH_KCl!B670</f>
        <v>0</v>
      </c>
      <c r="E669">
        <f>'pH CaCl2'!C669</f>
        <v>0</v>
      </c>
      <c r="F669" s="104">
        <f>P_Mehlich1!H654</f>
        <v>0</v>
      </c>
      <c r="G669" s="123">
        <f>P_resina!H674</f>
        <v>0</v>
      </c>
      <c r="H669" s="272">
        <f>K!G639</f>
        <v>0</v>
      </c>
      <c r="I669" s="125">
        <v>0</v>
      </c>
      <c r="J669" s="272">
        <f>'Ca2+'!G670</f>
        <v>0</v>
      </c>
      <c r="K669" s="272">
        <f>Mg²!G672</f>
        <v>0</v>
      </c>
      <c r="L669" s="279">
        <f>Al³!C671</f>
        <v>0</v>
      </c>
      <c r="M669" s="279">
        <f>'H + Al'!D671</f>
        <v>0</v>
      </c>
      <c r="N669" s="272">
        <f t="shared" si="65"/>
        <v>0</v>
      </c>
      <c r="O669" s="272">
        <f t="shared" si="66"/>
        <v>0</v>
      </c>
      <c r="P669" s="272">
        <f t="shared" si="67"/>
        <v>0</v>
      </c>
      <c r="Q669" s="293" t="e">
        <f t="shared" si="68"/>
        <v>#DIV/0!</v>
      </c>
      <c r="R669" s="293" t="e">
        <f t="shared" si="69"/>
        <v>#DIV/0!</v>
      </c>
      <c r="S669">
        <f>Prem!H671</f>
        <v>0</v>
      </c>
      <c r="T669" s="281">
        <f>S!H675</f>
        <v>0</v>
      </c>
      <c r="U669" s="274">
        <f>B!H670</f>
        <v>0</v>
      </c>
      <c r="V669" s="272">
        <f>Zn!G671</f>
        <v>0</v>
      </c>
      <c r="W669" s="272">
        <f>Cu!G671</f>
        <v>0</v>
      </c>
      <c r="X669" s="272">
        <f>Mn!G671</f>
        <v>0</v>
      </c>
      <c r="Y669" s="272">
        <f>Fe!G671</f>
        <v>0</v>
      </c>
      <c r="Z669" s="274">
        <f>M.O!H671</f>
        <v>0</v>
      </c>
      <c r="AA669" s="272" t="e">
        <f t="shared" si="70"/>
        <v>#DIV/0!</v>
      </c>
      <c r="AB669" s="272" t="e">
        <f t="shared" si="71"/>
        <v>#DIV/0!</v>
      </c>
      <c r="AC669" s="272" t="e">
        <f t="shared" si="72"/>
        <v>#DIV/0!</v>
      </c>
    </row>
    <row r="670" spans="1:29" x14ac:dyDescent="0.2">
      <c r="A670" s="106">
        <f>Cadastro!A674</f>
        <v>0</v>
      </c>
      <c r="B670" s="27">
        <f>Cadastro!E672</f>
        <v>0</v>
      </c>
      <c r="C670">
        <f>pH_água!C670</f>
        <v>0</v>
      </c>
      <c r="D670">
        <f>pH_KCl!B671</f>
        <v>0</v>
      </c>
      <c r="E670">
        <f>'pH CaCl2'!C670</f>
        <v>0</v>
      </c>
      <c r="F670" s="104">
        <f>P_Mehlich1!H655</f>
        <v>0</v>
      </c>
      <c r="G670" s="123">
        <f>P_resina!H675</f>
        <v>0</v>
      </c>
      <c r="H670" s="272">
        <f>K!G640</f>
        <v>0</v>
      </c>
      <c r="I670" s="125">
        <v>0</v>
      </c>
      <c r="J670" s="272">
        <f>'Ca2+'!G671</f>
        <v>0</v>
      </c>
      <c r="K670" s="272">
        <f>Mg²!G673</f>
        <v>0</v>
      </c>
      <c r="L670" s="279">
        <f>Al³!C672</f>
        <v>0</v>
      </c>
      <c r="M670" s="279">
        <f>'H + Al'!D672</f>
        <v>0</v>
      </c>
      <c r="N670" s="272">
        <f t="shared" si="65"/>
        <v>0</v>
      </c>
      <c r="O670" s="272">
        <f t="shared" si="66"/>
        <v>0</v>
      </c>
      <c r="P670" s="272">
        <f t="shared" si="67"/>
        <v>0</v>
      </c>
      <c r="Q670" s="293" t="e">
        <f t="shared" si="68"/>
        <v>#DIV/0!</v>
      </c>
      <c r="R670" s="293" t="e">
        <f t="shared" si="69"/>
        <v>#DIV/0!</v>
      </c>
      <c r="S670">
        <f>Prem!H672</f>
        <v>0</v>
      </c>
      <c r="T670" s="281">
        <f>S!H676</f>
        <v>0</v>
      </c>
      <c r="U670" s="274">
        <f>B!H671</f>
        <v>0</v>
      </c>
      <c r="V670" s="272">
        <f>Zn!G672</f>
        <v>0</v>
      </c>
      <c r="W670" s="272">
        <f>Cu!G672</f>
        <v>0</v>
      </c>
      <c r="X670" s="272">
        <f>Mn!G672</f>
        <v>0</v>
      </c>
      <c r="Y670" s="272">
        <f>Fe!G672</f>
        <v>0</v>
      </c>
      <c r="Z670" s="274">
        <f>M.O!H672</f>
        <v>0</v>
      </c>
      <c r="AA670" s="272" t="e">
        <f t="shared" si="70"/>
        <v>#DIV/0!</v>
      </c>
      <c r="AB670" s="272" t="e">
        <f t="shared" si="71"/>
        <v>#DIV/0!</v>
      </c>
      <c r="AC670" s="272" t="e">
        <f t="shared" si="72"/>
        <v>#DIV/0!</v>
      </c>
    </row>
    <row r="671" spans="1:29" x14ac:dyDescent="0.2">
      <c r="A671" s="106">
        <f>Cadastro!A675</f>
        <v>0</v>
      </c>
      <c r="B671" s="27">
        <f>Cadastro!E673</f>
        <v>0</v>
      </c>
      <c r="C671">
        <f>pH_água!C671</f>
        <v>0</v>
      </c>
      <c r="D671">
        <f>pH_KCl!B672</f>
        <v>0</v>
      </c>
      <c r="E671">
        <f>'pH CaCl2'!C671</f>
        <v>0</v>
      </c>
      <c r="F671" s="104">
        <f>P_Mehlich1!H656</f>
        <v>0</v>
      </c>
      <c r="G671" s="123">
        <f>P_resina!H676</f>
        <v>0</v>
      </c>
      <c r="H671" s="272">
        <f>K!G641</f>
        <v>0</v>
      </c>
      <c r="I671" s="125">
        <v>0</v>
      </c>
      <c r="J671" s="272">
        <f>'Ca2+'!G672</f>
        <v>0</v>
      </c>
      <c r="K671" s="272">
        <f>Mg²!G674</f>
        <v>0</v>
      </c>
      <c r="L671" s="279">
        <f>Al³!C673</f>
        <v>0</v>
      </c>
      <c r="M671" s="279">
        <f>'H + Al'!D673</f>
        <v>0</v>
      </c>
      <c r="N671" s="272">
        <f t="shared" si="65"/>
        <v>0</v>
      </c>
      <c r="O671" s="272">
        <f t="shared" si="66"/>
        <v>0</v>
      </c>
      <c r="P671" s="272">
        <f t="shared" si="67"/>
        <v>0</v>
      </c>
      <c r="Q671" s="293" t="e">
        <f t="shared" si="68"/>
        <v>#DIV/0!</v>
      </c>
      <c r="R671" s="293" t="e">
        <f t="shared" si="69"/>
        <v>#DIV/0!</v>
      </c>
      <c r="S671">
        <f>Prem!H673</f>
        <v>0</v>
      </c>
      <c r="T671" s="281">
        <f>S!H677</f>
        <v>0</v>
      </c>
      <c r="U671" s="274">
        <f>B!H672</f>
        <v>0</v>
      </c>
      <c r="V671" s="272">
        <f>Zn!G673</f>
        <v>0</v>
      </c>
      <c r="W671" s="272">
        <f>Cu!G673</f>
        <v>0</v>
      </c>
      <c r="X671" s="272">
        <f>Mn!G673</f>
        <v>0</v>
      </c>
      <c r="Y671" s="272">
        <f>Fe!G673</f>
        <v>0</v>
      </c>
      <c r="Z671" s="274">
        <f>M.O!H673</f>
        <v>0</v>
      </c>
      <c r="AA671" s="272" t="e">
        <f t="shared" si="70"/>
        <v>#DIV/0!</v>
      </c>
      <c r="AB671" s="272" t="e">
        <f t="shared" si="71"/>
        <v>#DIV/0!</v>
      </c>
      <c r="AC671" s="272" t="e">
        <f t="shared" si="72"/>
        <v>#DIV/0!</v>
      </c>
    </row>
    <row r="672" spans="1:29" x14ac:dyDescent="0.2">
      <c r="A672" s="106">
        <f>Cadastro!A676</f>
        <v>0</v>
      </c>
      <c r="B672" s="27">
        <f>Cadastro!E674</f>
        <v>0</v>
      </c>
      <c r="C672">
        <f>pH_água!C672</f>
        <v>0</v>
      </c>
      <c r="D672">
        <f>pH_KCl!B673</f>
        <v>0</v>
      </c>
      <c r="E672">
        <f>'pH CaCl2'!C672</f>
        <v>0</v>
      </c>
      <c r="F672" s="104">
        <f>P_Mehlich1!H657</f>
        <v>0</v>
      </c>
      <c r="G672" s="123">
        <f>P_resina!H677</f>
        <v>0</v>
      </c>
      <c r="H672" s="272">
        <f>K!G642</f>
        <v>0</v>
      </c>
      <c r="I672" s="125">
        <v>0</v>
      </c>
      <c r="J672" s="272">
        <f>'Ca2+'!G673</f>
        <v>0</v>
      </c>
      <c r="K672" s="272">
        <f>Mg²!G675</f>
        <v>0</v>
      </c>
      <c r="L672" s="279">
        <f>Al³!C674</f>
        <v>0</v>
      </c>
      <c r="M672" s="279">
        <f>'H + Al'!D674</f>
        <v>0</v>
      </c>
      <c r="N672" s="272">
        <f t="shared" si="65"/>
        <v>0</v>
      </c>
      <c r="O672" s="272">
        <f t="shared" si="66"/>
        <v>0</v>
      </c>
      <c r="P672" s="272">
        <f t="shared" si="67"/>
        <v>0</v>
      </c>
      <c r="Q672" s="293" t="e">
        <f t="shared" si="68"/>
        <v>#DIV/0!</v>
      </c>
      <c r="R672" s="293" t="e">
        <f t="shared" si="69"/>
        <v>#DIV/0!</v>
      </c>
      <c r="S672">
        <f>Prem!H674</f>
        <v>0</v>
      </c>
      <c r="T672" s="281">
        <f>S!H678</f>
        <v>0</v>
      </c>
      <c r="U672" s="274">
        <f>B!H673</f>
        <v>0</v>
      </c>
      <c r="V672" s="272">
        <f>Zn!G674</f>
        <v>0</v>
      </c>
      <c r="W672" s="272">
        <f>Cu!G674</f>
        <v>0</v>
      </c>
      <c r="X672" s="272">
        <f>Mn!G674</f>
        <v>0</v>
      </c>
      <c r="Y672" s="272">
        <f>Fe!G674</f>
        <v>0</v>
      </c>
      <c r="Z672" s="274">
        <f>M.O!H674</f>
        <v>0</v>
      </c>
      <c r="AA672" s="272" t="e">
        <f t="shared" si="70"/>
        <v>#DIV/0!</v>
      </c>
      <c r="AB672" s="272" t="e">
        <f t="shared" si="71"/>
        <v>#DIV/0!</v>
      </c>
      <c r="AC672" s="272" t="e">
        <f t="shared" si="72"/>
        <v>#DIV/0!</v>
      </c>
    </row>
    <row r="673" spans="1:29" x14ac:dyDescent="0.2">
      <c r="A673" s="106">
        <f>Cadastro!A677</f>
        <v>0</v>
      </c>
      <c r="B673" s="27">
        <f>Cadastro!E675</f>
        <v>0</v>
      </c>
      <c r="C673">
        <f>pH_água!C673</f>
        <v>0</v>
      </c>
      <c r="D673">
        <f>pH_KCl!B674</f>
        <v>0</v>
      </c>
      <c r="E673">
        <f>'pH CaCl2'!C673</f>
        <v>0</v>
      </c>
      <c r="F673" s="104">
        <f>P_Mehlich1!H658</f>
        <v>0</v>
      </c>
      <c r="G673" s="123">
        <f>P_resina!H678</f>
        <v>0</v>
      </c>
      <c r="H673" s="272">
        <f>K!G643</f>
        <v>0</v>
      </c>
      <c r="I673" s="125">
        <v>0</v>
      </c>
      <c r="J673" s="272">
        <f>'Ca2+'!G674</f>
        <v>0</v>
      </c>
      <c r="K673" s="272">
        <f>Mg²!G676</f>
        <v>0</v>
      </c>
      <c r="L673" s="279">
        <f>Al³!C675</f>
        <v>0</v>
      </c>
      <c r="M673" s="279">
        <f>'H + Al'!D675</f>
        <v>0</v>
      </c>
      <c r="N673" s="272">
        <f t="shared" si="65"/>
        <v>0</v>
      </c>
      <c r="O673" s="272">
        <f t="shared" si="66"/>
        <v>0</v>
      </c>
      <c r="P673" s="272">
        <f t="shared" si="67"/>
        <v>0</v>
      </c>
      <c r="Q673" s="293" t="e">
        <f t="shared" si="68"/>
        <v>#DIV/0!</v>
      </c>
      <c r="R673" s="293" t="e">
        <f t="shared" si="69"/>
        <v>#DIV/0!</v>
      </c>
      <c r="S673">
        <f>Prem!H675</f>
        <v>0</v>
      </c>
      <c r="T673" s="281">
        <f>S!H679</f>
        <v>0</v>
      </c>
      <c r="U673" s="274">
        <f>B!H674</f>
        <v>0</v>
      </c>
      <c r="V673" s="272">
        <f>Zn!G675</f>
        <v>0</v>
      </c>
      <c r="W673" s="272">
        <f>Cu!G675</f>
        <v>0</v>
      </c>
      <c r="X673" s="272">
        <f>Mn!G675</f>
        <v>0</v>
      </c>
      <c r="Y673" s="272">
        <f>Fe!G675</f>
        <v>0</v>
      </c>
      <c r="Z673" s="274">
        <f>M.O!H675</f>
        <v>0</v>
      </c>
      <c r="AA673" s="272" t="e">
        <f t="shared" si="70"/>
        <v>#DIV/0!</v>
      </c>
      <c r="AB673" s="272" t="e">
        <f t="shared" si="71"/>
        <v>#DIV/0!</v>
      </c>
      <c r="AC673" s="272" t="e">
        <f t="shared" si="72"/>
        <v>#DIV/0!</v>
      </c>
    </row>
    <row r="674" spans="1:29" x14ac:dyDescent="0.2">
      <c r="A674" s="106">
        <f>Cadastro!A678</f>
        <v>0</v>
      </c>
      <c r="B674" s="27">
        <f>Cadastro!E676</f>
        <v>0</v>
      </c>
      <c r="C674">
        <f>pH_água!C674</f>
        <v>0</v>
      </c>
      <c r="D674">
        <f>pH_KCl!B675</f>
        <v>0</v>
      </c>
      <c r="E674">
        <f>'pH CaCl2'!C674</f>
        <v>0</v>
      </c>
      <c r="F674" s="104">
        <f>P_Mehlich1!H659</f>
        <v>0</v>
      </c>
      <c r="G674" s="123">
        <f>P_resina!H679</f>
        <v>0</v>
      </c>
      <c r="H674" s="272">
        <f>K!G644</f>
        <v>0</v>
      </c>
      <c r="I674" s="125">
        <v>0</v>
      </c>
      <c r="J674" s="272">
        <f>'Ca2+'!G675</f>
        <v>0</v>
      </c>
      <c r="K674" s="272">
        <f>Mg²!G677</f>
        <v>0</v>
      </c>
      <c r="L674" s="279">
        <f>Al³!C676</f>
        <v>0</v>
      </c>
      <c r="M674" s="279">
        <f>'H + Al'!D676</f>
        <v>0</v>
      </c>
      <c r="N674" s="272">
        <f t="shared" si="65"/>
        <v>0</v>
      </c>
      <c r="O674" s="272">
        <f t="shared" si="66"/>
        <v>0</v>
      </c>
      <c r="P674" s="272">
        <f t="shared" si="67"/>
        <v>0</v>
      </c>
      <c r="Q674" s="293" t="e">
        <f t="shared" si="68"/>
        <v>#DIV/0!</v>
      </c>
      <c r="R674" s="293" t="e">
        <f t="shared" si="69"/>
        <v>#DIV/0!</v>
      </c>
      <c r="S674">
        <f>Prem!H676</f>
        <v>0</v>
      </c>
      <c r="T674" s="281">
        <f>S!H680</f>
        <v>0</v>
      </c>
      <c r="U674" s="274">
        <f>B!H675</f>
        <v>0</v>
      </c>
      <c r="V674" s="272">
        <f>Zn!G676</f>
        <v>0</v>
      </c>
      <c r="W674" s="272">
        <f>Cu!G676</f>
        <v>0</v>
      </c>
      <c r="X674" s="272">
        <f>Mn!G676</f>
        <v>0</v>
      </c>
      <c r="Y674" s="272">
        <f>Fe!G676</f>
        <v>0</v>
      </c>
      <c r="Z674" s="274">
        <f>M.O!H676</f>
        <v>0</v>
      </c>
      <c r="AA674" s="272" t="e">
        <f t="shared" si="70"/>
        <v>#DIV/0!</v>
      </c>
      <c r="AB674" s="272" t="e">
        <f t="shared" si="71"/>
        <v>#DIV/0!</v>
      </c>
      <c r="AC674" s="272" t="e">
        <f t="shared" si="72"/>
        <v>#DIV/0!</v>
      </c>
    </row>
    <row r="675" spans="1:29" x14ac:dyDescent="0.2">
      <c r="A675" s="106">
        <f>Cadastro!A679</f>
        <v>0</v>
      </c>
      <c r="B675" s="27">
        <f>Cadastro!E677</f>
        <v>0</v>
      </c>
      <c r="C675">
        <f>pH_água!C675</f>
        <v>0</v>
      </c>
      <c r="D675">
        <f>pH_KCl!B676</f>
        <v>0</v>
      </c>
      <c r="E675">
        <f>'pH CaCl2'!C675</f>
        <v>0</v>
      </c>
      <c r="F675" s="104">
        <f>P_Mehlich1!H660</f>
        <v>0</v>
      </c>
      <c r="G675" s="123">
        <f>P_resina!H680</f>
        <v>0</v>
      </c>
      <c r="H675" s="272">
        <f>K!G645</f>
        <v>0</v>
      </c>
      <c r="I675" s="125">
        <v>0</v>
      </c>
      <c r="J675" s="272">
        <f>'Ca2+'!G676</f>
        <v>0</v>
      </c>
      <c r="K675" s="272">
        <f>Mg²!G678</f>
        <v>0</v>
      </c>
      <c r="L675" s="279">
        <f>Al³!C677</f>
        <v>0</v>
      </c>
      <c r="M675" s="279">
        <f>'H + Al'!D677</f>
        <v>0</v>
      </c>
      <c r="N675" s="272">
        <f t="shared" si="65"/>
        <v>0</v>
      </c>
      <c r="O675" s="272">
        <f t="shared" si="66"/>
        <v>0</v>
      </c>
      <c r="P675" s="272">
        <f t="shared" si="67"/>
        <v>0</v>
      </c>
      <c r="Q675" s="293" t="e">
        <f t="shared" si="68"/>
        <v>#DIV/0!</v>
      </c>
      <c r="R675" s="293" t="e">
        <f t="shared" si="69"/>
        <v>#DIV/0!</v>
      </c>
      <c r="S675">
        <f>Prem!H677</f>
        <v>0</v>
      </c>
      <c r="T675" s="281">
        <f>S!H681</f>
        <v>0</v>
      </c>
      <c r="U675" s="274">
        <f>B!H676</f>
        <v>0</v>
      </c>
      <c r="V675" s="272">
        <f>Zn!G677</f>
        <v>0</v>
      </c>
      <c r="W675" s="272">
        <f>Cu!G677</f>
        <v>0</v>
      </c>
      <c r="X675" s="272">
        <f>Mn!G677</f>
        <v>0</v>
      </c>
      <c r="Y675" s="272">
        <f>Fe!G677</f>
        <v>0</v>
      </c>
      <c r="Z675" s="274">
        <f>M.O!H677</f>
        <v>0</v>
      </c>
      <c r="AA675" s="272" t="e">
        <f t="shared" si="70"/>
        <v>#DIV/0!</v>
      </c>
      <c r="AB675" s="272" t="e">
        <f t="shared" si="71"/>
        <v>#DIV/0!</v>
      </c>
      <c r="AC675" s="272" t="e">
        <f t="shared" si="72"/>
        <v>#DIV/0!</v>
      </c>
    </row>
    <row r="676" spans="1:29" x14ac:dyDescent="0.2">
      <c r="A676" s="106">
        <f>Cadastro!A680</f>
        <v>0</v>
      </c>
      <c r="B676" s="27">
        <f>Cadastro!E678</f>
        <v>0</v>
      </c>
      <c r="C676">
        <f>pH_água!C676</f>
        <v>0</v>
      </c>
      <c r="D676">
        <f>pH_KCl!B677</f>
        <v>0</v>
      </c>
      <c r="E676">
        <f>'pH CaCl2'!C676</f>
        <v>0</v>
      </c>
      <c r="F676" s="104">
        <f>P_Mehlich1!H661</f>
        <v>0</v>
      </c>
      <c r="G676" s="123">
        <f>P_resina!H681</f>
        <v>0</v>
      </c>
      <c r="H676" s="272">
        <f>K!G646</f>
        <v>0</v>
      </c>
      <c r="I676" s="125">
        <v>0</v>
      </c>
      <c r="J676" s="272">
        <f>'Ca2+'!G677</f>
        <v>0</v>
      </c>
      <c r="K676" s="272">
        <f>Mg²!G679</f>
        <v>0</v>
      </c>
      <c r="L676" s="279">
        <f>Al³!C678</f>
        <v>0</v>
      </c>
      <c r="M676" s="279">
        <f>'H + Al'!D678</f>
        <v>0</v>
      </c>
      <c r="N676" s="272">
        <f t="shared" si="65"/>
        <v>0</v>
      </c>
      <c r="O676" s="272">
        <f t="shared" si="66"/>
        <v>0</v>
      </c>
      <c r="P676" s="272">
        <f t="shared" si="67"/>
        <v>0</v>
      </c>
      <c r="Q676" s="293" t="e">
        <f t="shared" si="68"/>
        <v>#DIV/0!</v>
      </c>
      <c r="R676" s="293" t="e">
        <f t="shared" si="69"/>
        <v>#DIV/0!</v>
      </c>
      <c r="S676">
        <f>Prem!H678</f>
        <v>0</v>
      </c>
      <c r="T676" s="281">
        <f>S!H682</f>
        <v>0</v>
      </c>
      <c r="U676" s="274">
        <f>B!H677</f>
        <v>0</v>
      </c>
      <c r="V676" s="272">
        <f>Zn!G678</f>
        <v>0</v>
      </c>
      <c r="W676" s="272">
        <f>Cu!G678</f>
        <v>0</v>
      </c>
      <c r="X676" s="272">
        <f>Mn!G678</f>
        <v>0</v>
      </c>
      <c r="Y676" s="272">
        <f>Fe!G678</f>
        <v>0</v>
      </c>
      <c r="Z676" s="274">
        <f>M.O!H678</f>
        <v>0</v>
      </c>
      <c r="AA676" s="272" t="e">
        <f t="shared" si="70"/>
        <v>#DIV/0!</v>
      </c>
      <c r="AB676" s="272" t="e">
        <f t="shared" si="71"/>
        <v>#DIV/0!</v>
      </c>
      <c r="AC676" s="272" t="e">
        <f t="shared" si="72"/>
        <v>#DIV/0!</v>
      </c>
    </row>
    <row r="677" spans="1:29" x14ac:dyDescent="0.2">
      <c r="A677" s="106">
        <f>Cadastro!A681</f>
        <v>0</v>
      </c>
      <c r="B677" s="27">
        <f>Cadastro!E679</f>
        <v>0</v>
      </c>
      <c r="C677">
        <f>pH_água!C677</f>
        <v>0</v>
      </c>
      <c r="D677">
        <f>pH_KCl!B678</f>
        <v>0</v>
      </c>
      <c r="E677">
        <f>'pH CaCl2'!C677</f>
        <v>0</v>
      </c>
      <c r="F677" s="104">
        <f>P_Mehlich1!H662</f>
        <v>0</v>
      </c>
      <c r="G677" s="123">
        <f>P_resina!H682</f>
        <v>0</v>
      </c>
      <c r="H677" s="272">
        <f>K!G647</f>
        <v>0</v>
      </c>
      <c r="I677" s="125">
        <v>0</v>
      </c>
      <c r="J677" s="272">
        <f>'Ca2+'!G678</f>
        <v>0</v>
      </c>
      <c r="K677" s="272">
        <f>Mg²!G680</f>
        <v>0</v>
      </c>
      <c r="L677" s="279">
        <f>Al³!C679</f>
        <v>0</v>
      </c>
      <c r="M677" s="279">
        <f>'H + Al'!D679</f>
        <v>0</v>
      </c>
      <c r="N677" s="272">
        <f t="shared" si="65"/>
        <v>0</v>
      </c>
      <c r="O677" s="272">
        <f t="shared" si="66"/>
        <v>0</v>
      </c>
      <c r="P677" s="272">
        <f t="shared" si="67"/>
        <v>0</v>
      </c>
      <c r="Q677" s="293" t="e">
        <f t="shared" si="68"/>
        <v>#DIV/0!</v>
      </c>
      <c r="R677" s="293" t="e">
        <f t="shared" si="69"/>
        <v>#DIV/0!</v>
      </c>
      <c r="S677">
        <f>Prem!H679</f>
        <v>0</v>
      </c>
      <c r="T677" s="281">
        <f>S!H683</f>
        <v>0</v>
      </c>
      <c r="U677" s="274">
        <f>B!H678</f>
        <v>0</v>
      </c>
      <c r="V677" s="272">
        <f>Zn!G679</f>
        <v>0</v>
      </c>
      <c r="W677" s="272">
        <f>Cu!G679</f>
        <v>0</v>
      </c>
      <c r="X677" s="272">
        <f>Mn!G679</f>
        <v>0</v>
      </c>
      <c r="Y677" s="272">
        <f>Fe!G679</f>
        <v>0</v>
      </c>
      <c r="Z677" s="274">
        <f>M.O!H679</f>
        <v>0</v>
      </c>
      <c r="AA677" s="272" t="e">
        <f t="shared" si="70"/>
        <v>#DIV/0!</v>
      </c>
      <c r="AB677" s="272" t="e">
        <f t="shared" si="71"/>
        <v>#DIV/0!</v>
      </c>
      <c r="AC677" s="272" t="e">
        <f t="shared" si="72"/>
        <v>#DIV/0!</v>
      </c>
    </row>
    <row r="678" spans="1:29" x14ac:dyDescent="0.2">
      <c r="A678" s="106">
        <f>Cadastro!A682</f>
        <v>0</v>
      </c>
      <c r="B678" s="27">
        <f>Cadastro!E680</f>
        <v>0</v>
      </c>
      <c r="C678">
        <f>pH_água!C678</f>
        <v>0</v>
      </c>
      <c r="D678">
        <f>pH_KCl!B679</f>
        <v>0</v>
      </c>
      <c r="E678">
        <f>'pH CaCl2'!C678</f>
        <v>0</v>
      </c>
      <c r="F678" s="104">
        <f>P_Mehlich1!H663</f>
        <v>0</v>
      </c>
      <c r="G678" s="123">
        <f>P_resina!H683</f>
        <v>0</v>
      </c>
      <c r="H678" s="272">
        <f>K!G648</f>
        <v>0</v>
      </c>
      <c r="I678" s="125">
        <v>0</v>
      </c>
      <c r="J678" s="272">
        <f>'Ca2+'!G679</f>
        <v>0</v>
      </c>
      <c r="K678" s="272">
        <f>Mg²!G681</f>
        <v>0</v>
      </c>
      <c r="L678" s="279">
        <f>Al³!C680</f>
        <v>0</v>
      </c>
      <c r="M678" s="279">
        <f>'H + Al'!D680</f>
        <v>0</v>
      </c>
      <c r="N678" s="272">
        <f t="shared" si="65"/>
        <v>0</v>
      </c>
      <c r="O678" s="272">
        <f t="shared" si="66"/>
        <v>0</v>
      </c>
      <c r="P678" s="272">
        <f t="shared" si="67"/>
        <v>0</v>
      </c>
      <c r="Q678" s="293" t="e">
        <f t="shared" si="68"/>
        <v>#DIV/0!</v>
      </c>
      <c r="R678" s="293" t="e">
        <f t="shared" si="69"/>
        <v>#DIV/0!</v>
      </c>
      <c r="S678">
        <f>Prem!H680</f>
        <v>0</v>
      </c>
      <c r="T678" s="281">
        <f>S!H684</f>
        <v>0</v>
      </c>
      <c r="U678" s="274">
        <f>B!H679</f>
        <v>0</v>
      </c>
      <c r="V678" s="272">
        <f>Zn!G680</f>
        <v>0</v>
      </c>
      <c r="W678" s="272">
        <f>Cu!G680</f>
        <v>0</v>
      </c>
      <c r="X678" s="272">
        <f>Mn!G680</f>
        <v>0</v>
      </c>
      <c r="Y678" s="272">
        <f>Fe!G680</f>
        <v>0</v>
      </c>
      <c r="Z678" s="274">
        <f>M.O!H680</f>
        <v>0</v>
      </c>
      <c r="AA678" s="272" t="e">
        <f t="shared" si="70"/>
        <v>#DIV/0!</v>
      </c>
      <c r="AB678" s="272" t="e">
        <f t="shared" si="71"/>
        <v>#DIV/0!</v>
      </c>
      <c r="AC678" s="272" t="e">
        <f t="shared" si="72"/>
        <v>#DIV/0!</v>
      </c>
    </row>
    <row r="679" spans="1:29" x14ac:dyDescent="0.2">
      <c r="A679" s="106">
        <f>Cadastro!A683</f>
        <v>0</v>
      </c>
      <c r="B679" s="27">
        <f>Cadastro!E681</f>
        <v>0</v>
      </c>
      <c r="C679">
        <f>pH_água!C679</f>
        <v>0</v>
      </c>
      <c r="D679">
        <f>pH_KCl!B680</f>
        <v>0</v>
      </c>
      <c r="E679">
        <f>'pH CaCl2'!C679</f>
        <v>0</v>
      </c>
      <c r="F679" s="104">
        <f>P_Mehlich1!H664</f>
        <v>0</v>
      </c>
      <c r="G679" s="123">
        <f>P_resina!H684</f>
        <v>0</v>
      </c>
      <c r="H679" s="272">
        <f>K!G649</f>
        <v>0</v>
      </c>
      <c r="I679" s="125">
        <v>0</v>
      </c>
      <c r="J679" s="272">
        <f>'Ca2+'!G680</f>
        <v>0</v>
      </c>
      <c r="K679" s="272">
        <f>Mg²!G682</f>
        <v>0</v>
      </c>
      <c r="L679" s="279">
        <f>Al³!C681</f>
        <v>0</v>
      </c>
      <c r="M679" s="279">
        <f>'H + Al'!D681</f>
        <v>0</v>
      </c>
      <c r="N679" s="272">
        <f t="shared" si="65"/>
        <v>0</v>
      </c>
      <c r="O679" s="272">
        <f t="shared" si="66"/>
        <v>0</v>
      </c>
      <c r="P679" s="272">
        <f t="shared" si="67"/>
        <v>0</v>
      </c>
      <c r="Q679" s="293" t="e">
        <f t="shared" si="68"/>
        <v>#DIV/0!</v>
      </c>
      <c r="R679" s="293" t="e">
        <f t="shared" si="69"/>
        <v>#DIV/0!</v>
      </c>
      <c r="S679">
        <f>Prem!H681</f>
        <v>0</v>
      </c>
      <c r="T679" s="281">
        <f>S!H685</f>
        <v>0</v>
      </c>
      <c r="U679" s="274">
        <f>B!H680</f>
        <v>0</v>
      </c>
      <c r="V679" s="272">
        <f>Zn!G681</f>
        <v>0</v>
      </c>
      <c r="W679" s="272">
        <f>Cu!G681</f>
        <v>0</v>
      </c>
      <c r="X679" s="272">
        <f>Mn!G681</f>
        <v>0</v>
      </c>
      <c r="Y679" s="272">
        <f>Fe!G681</f>
        <v>0</v>
      </c>
      <c r="Z679" s="274">
        <f>M.O!H681</f>
        <v>0</v>
      </c>
      <c r="AA679" s="272" t="e">
        <f t="shared" si="70"/>
        <v>#DIV/0!</v>
      </c>
      <c r="AB679" s="272" t="e">
        <f t="shared" si="71"/>
        <v>#DIV/0!</v>
      </c>
      <c r="AC679" s="272" t="e">
        <f t="shared" si="72"/>
        <v>#DIV/0!</v>
      </c>
    </row>
    <row r="680" spans="1:29" x14ac:dyDescent="0.2">
      <c r="A680" s="106">
        <f>Cadastro!A684</f>
        <v>0</v>
      </c>
      <c r="B680" s="27">
        <f>Cadastro!E682</f>
        <v>0</v>
      </c>
      <c r="C680">
        <f>pH_água!C680</f>
        <v>0</v>
      </c>
      <c r="D680">
        <f>pH_KCl!B681</f>
        <v>0</v>
      </c>
      <c r="E680">
        <f>'pH CaCl2'!C680</f>
        <v>0</v>
      </c>
      <c r="F680" s="104">
        <f>P_Mehlich1!H665</f>
        <v>0</v>
      </c>
      <c r="G680" s="123">
        <f>P_resina!H685</f>
        <v>0</v>
      </c>
      <c r="H680" s="272">
        <f>K!G650</f>
        <v>0</v>
      </c>
      <c r="I680" s="125">
        <v>0</v>
      </c>
      <c r="J680" s="272">
        <f>'Ca2+'!G681</f>
        <v>0</v>
      </c>
      <c r="K680" s="272">
        <f>Mg²!G683</f>
        <v>0</v>
      </c>
      <c r="L680" s="279">
        <f>Al³!C682</f>
        <v>0</v>
      </c>
      <c r="M680" s="279">
        <f>'H + Al'!D682</f>
        <v>0</v>
      </c>
      <c r="N680" s="272">
        <f t="shared" si="65"/>
        <v>0</v>
      </c>
      <c r="O680" s="272">
        <f t="shared" si="66"/>
        <v>0</v>
      </c>
      <c r="P680" s="272">
        <f t="shared" si="67"/>
        <v>0</v>
      </c>
      <c r="Q680" s="293" t="e">
        <f t="shared" si="68"/>
        <v>#DIV/0!</v>
      </c>
      <c r="R680" s="293" t="e">
        <f t="shared" si="69"/>
        <v>#DIV/0!</v>
      </c>
      <c r="S680">
        <f>Prem!H682</f>
        <v>0</v>
      </c>
      <c r="T680" s="281">
        <f>S!H686</f>
        <v>0</v>
      </c>
      <c r="U680" s="274">
        <f>B!H681</f>
        <v>0</v>
      </c>
      <c r="V680" s="272">
        <f>Zn!G682</f>
        <v>0</v>
      </c>
      <c r="W680" s="272">
        <f>Cu!G682</f>
        <v>0</v>
      </c>
      <c r="X680" s="272">
        <f>Mn!G682</f>
        <v>0</v>
      </c>
      <c r="Y680" s="272">
        <f>Fe!G682</f>
        <v>0</v>
      </c>
      <c r="Z680" s="274">
        <f>M.O!H682</f>
        <v>0</v>
      </c>
      <c r="AA680" s="272" t="e">
        <f t="shared" si="70"/>
        <v>#DIV/0!</v>
      </c>
      <c r="AB680" s="272" t="e">
        <f t="shared" si="71"/>
        <v>#DIV/0!</v>
      </c>
      <c r="AC680" s="272" t="e">
        <f t="shared" si="72"/>
        <v>#DIV/0!</v>
      </c>
    </row>
    <row r="681" spans="1:29" x14ac:dyDescent="0.2">
      <c r="A681" s="106">
        <f>Cadastro!A685</f>
        <v>0</v>
      </c>
      <c r="B681" s="27">
        <f>Cadastro!E683</f>
        <v>0</v>
      </c>
      <c r="C681">
        <f>pH_água!C681</f>
        <v>0</v>
      </c>
      <c r="D681">
        <f>pH_KCl!B682</f>
        <v>0</v>
      </c>
      <c r="E681">
        <f>'pH CaCl2'!C681</f>
        <v>0</v>
      </c>
      <c r="F681" s="104">
        <f>P_Mehlich1!H666</f>
        <v>0</v>
      </c>
      <c r="G681" s="123">
        <f>P_resina!H686</f>
        <v>0</v>
      </c>
      <c r="H681" s="272">
        <f>K!G651</f>
        <v>0</v>
      </c>
      <c r="I681" s="125">
        <v>0</v>
      </c>
      <c r="J681" s="272">
        <f>'Ca2+'!G682</f>
        <v>0</v>
      </c>
      <c r="K681" s="272">
        <f>Mg²!G684</f>
        <v>0</v>
      </c>
      <c r="L681" s="279">
        <f>Al³!C683</f>
        <v>0</v>
      </c>
      <c r="M681" s="279">
        <f>'H + Al'!D683</f>
        <v>0</v>
      </c>
      <c r="N681" s="272">
        <f t="shared" si="65"/>
        <v>0</v>
      </c>
      <c r="O681" s="272">
        <f t="shared" si="66"/>
        <v>0</v>
      </c>
      <c r="P681" s="272">
        <f t="shared" si="67"/>
        <v>0</v>
      </c>
      <c r="Q681" s="293" t="e">
        <f t="shared" si="68"/>
        <v>#DIV/0!</v>
      </c>
      <c r="R681" s="293" t="e">
        <f t="shared" si="69"/>
        <v>#DIV/0!</v>
      </c>
      <c r="S681">
        <f>Prem!H683</f>
        <v>0</v>
      </c>
      <c r="T681" s="281">
        <f>S!H687</f>
        <v>0</v>
      </c>
      <c r="U681" s="274">
        <f>B!H682</f>
        <v>0</v>
      </c>
      <c r="V681" s="272">
        <f>Zn!G683</f>
        <v>0</v>
      </c>
      <c r="W681" s="272">
        <f>Cu!G683</f>
        <v>0</v>
      </c>
      <c r="X681" s="272">
        <f>Mn!G683</f>
        <v>0</v>
      </c>
      <c r="Y681" s="272">
        <f>Fe!G683</f>
        <v>0</v>
      </c>
      <c r="Z681" s="274">
        <f>M.O!H683</f>
        <v>0</v>
      </c>
      <c r="AA681" s="272" t="e">
        <f t="shared" si="70"/>
        <v>#DIV/0!</v>
      </c>
      <c r="AB681" s="272" t="e">
        <f t="shared" si="71"/>
        <v>#DIV/0!</v>
      </c>
      <c r="AC681" s="272" t="e">
        <f t="shared" si="72"/>
        <v>#DIV/0!</v>
      </c>
    </row>
    <row r="682" spans="1:29" x14ac:dyDescent="0.2">
      <c r="A682" s="106">
        <f>Cadastro!A686</f>
        <v>0</v>
      </c>
      <c r="B682" s="27">
        <f>Cadastro!E684</f>
        <v>0</v>
      </c>
      <c r="C682">
        <f>pH_água!C682</f>
        <v>0</v>
      </c>
      <c r="D682">
        <f>pH_KCl!B683</f>
        <v>0</v>
      </c>
      <c r="E682">
        <f>'pH CaCl2'!C682</f>
        <v>0</v>
      </c>
      <c r="F682" s="104">
        <f>P_Mehlich1!H667</f>
        <v>0</v>
      </c>
      <c r="G682" s="123">
        <f>P_resina!H687</f>
        <v>0</v>
      </c>
      <c r="H682" s="272">
        <f>K!G652</f>
        <v>0</v>
      </c>
      <c r="I682" s="125">
        <v>0</v>
      </c>
      <c r="J682" s="272">
        <f>'Ca2+'!G683</f>
        <v>0</v>
      </c>
      <c r="K682" s="272">
        <f>Mg²!G685</f>
        <v>0</v>
      </c>
      <c r="L682" s="279">
        <f>Al³!C684</f>
        <v>0</v>
      </c>
      <c r="M682" s="279">
        <f>'H + Al'!D684</f>
        <v>0</v>
      </c>
      <c r="N682" s="272">
        <f t="shared" si="65"/>
        <v>0</v>
      </c>
      <c r="O682" s="272">
        <f t="shared" si="66"/>
        <v>0</v>
      </c>
      <c r="P682" s="272">
        <f t="shared" si="67"/>
        <v>0</v>
      </c>
      <c r="Q682" s="293" t="e">
        <f t="shared" si="68"/>
        <v>#DIV/0!</v>
      </c>
      <c r="R682" s="293" t="e">
        <f t="shared" si="69"/>
        <v>#DIV/0!</v>
      </c>
      <c r="S682">
        <f>Prem!H684</f>
        <v>0</v>
      </c>
      <c r="T682" s="281">
        <f>S!H688</f>
        <v>0</v>
      </c>
      <c r="U682" s="274">
        <f>B!H683</f>
        <v>0</v>
      </c>
      <c r="V682" s="272">
        <f>Zn!G684</f>
        <v>0</v>
      </c>
      <c r="W682" s="272">
        <f>Cu!G684</f>
        <v>0</v>
      </c>
      <c r="X682" s="272">
        <f>Mn!G684</f>
        <v>0</v>
      </c>
      <c r="Y682" s="272">
        <f>Fe!G684</f>
        <v>0</v>
      </c>
      <c r="Z682" s="274">
        <f>M.O!H684</f>
        <v>0</v>
      </c>
      <c r="AA682" s="272" t="e">
        <f t="shared" si="70"/>
        <v>#DIV/0!</v>
      </c>
      <c r="AB682" s="272" t="e">
        <f t="shared" si="71"/>
        <v>#DIV/0!</v>
      </c>
      <c r="AC682" s="272" t="e">
        <f t="shared" si="72"/>
        <v>#DIV/0!</v>
      </c>
    </row>
    <row r="683" spans="1:29" x14ac:dyDescent="0.2">
      <c r="A683" s="106">
        <f>Cadastro!A687</f>
        <v>0</v>
      </c>
      <c r="B683" s="27">
        <f>Cadastro!E685</f>
        <v>0</v>
      </c>
      <c r="C683">
        <f>pH_água!C683</f>
        <v>0</v>
      </c>
      <c r="D683">
        <f>pH_KCl!B684</f>
        <v>0</v>
      </c>
      <c r="E683">
        <f>'pH CaCl2'!C683</f>
        <v>0</v>
      </c>
      <c r="F683" s="104">
        <f>P_Mehlich1!H668</f>
        <v>0</v>
      </c>
      <c r="G683" s="123">
        <f>P_resina!H688</f>
        <v>0</v>
      </c>
      <c r="H683" s="272">
        <f>K!G653</f>
        <v>0</v>
      </c>
      <c r="I683" s="125">
        <v>0</v>
      </c>
      <c r="J683" s="272">
        <f>'Ca2+'!G684</f>
        <v>0</v>
      </c>
      <c r="K683" s="272">
        <f>Mg²!G686</f>
        <v>0</v>
      </c>
      <c r="L683" s="279">
        <f>Al³!C685</f>
        <v>0</v>
      </c>
      <c r="M683" s="279">
        <f>'H + Al'!D685</f>
        <v>0</v>
      </c>
      <c r="N683" s="272">
        <f t="shared" si="65"/>
        <v>0</v>
      </c>
      <c r="O683" s="272">
        <f t="shared" si="66"/>
        <v>0</v>
      </c>
      <c r="P683" s="272">
        <f t="shared" si="67"/>
        <v>0</v>
      </c>
      <c r="Q683" s="293" t="e">
        <f t="shared" si="68"/>
        <v>#DIV/0!</v>
      </c>
      <c r="R683" s="293" t="e">
        <f t="shared" si="69"/>
        <v>#DIV/0!</v>
      </c>
      <c r="S683">
        <f>Prem!H685</f>
        <v>0</v>
      </c>
      <c r="T683" s="281">
        <f>S!H689</f>
        <v>0</v>
      </c>
      <c r="U683" s="274">
        <f>B!H684</f>
        <v>0</v>
      </c>
      <c r="V683" s="272">
        <f>Zn!G685</f>
        <v>0</v>
      </c>
      <c r="W683" s="272">
        <f>Cu!G685</f>
        <v>0</v>
      </c>
      <c r="X683" s="272">
        <f>Mn!G685</f>
        <v>0</v>
      </c>
      <c r="Y683" s="272">
        <f>Fe!G685</f>
        <v>0</v>
      </c>
      <c r="Z683" s="274">
        <f>M.O!H685</f>
        <v>0</v>
      </c>
      <c r="AA683" s="272" t="e">
        <f t="shared" si="70"/>
        <v>#DIV/0!</v>
      </c>
      <c r="AB683" s="272" t="e">
        <f t="shared" si="71"/>
        <v>#DIV/0!</v>
      </c>
      <c r="AC683" s="272" t="e">
        <f t="shared" si="72"/>
        <v>#DIV/0!</v>
      </c>
    </row>
    <row r="684" spans="1:29" x14ac:dyDescent="0.2">
      <c r="A684" s="106">
        <f>Cadastro!A688</f>
        <v>0</v>
      </c>
      <c r="B684" s="27">
        <f>Cadastro!E686</f>
        <v>0</v>
      </c>
      <c r="C684">
        <f>pH_água!C684</f>
        <v>0</v>
      </c>
      <c r="D684">
        <f>pH_KCl!B685</f>
        <v>0</v>
      </c>
      <c r="E684">
        <f>'pH CaCl2'!C684</f>
        <v>0</v>
      </c>
      <c r="F684" s="104">
        <f>P_Mehlich1!H669</f>
        <v>0</v>
      </c>
      <c r="G684" s="123">
        <f>P_resina!H689</f>
        <v>0</v>
      </c>
      <c r="H684" s="272">
        <f>K!G654</f>
        <v>0</v>
      </c>
      <c r="I684" s="125">
        <v>0</v>
      </c>
      <c r="J684" s="272">
        <f>'Ca2+'!G685</f>
        <v>0</v>
      </c>
      <c r="K684" s="272">
        <f>Mg²!G687</f>
        <v>0</v>
      </c>
      <c r="L684" s="279">
        <f>Al³!C686</f>
        <v>0</v>
      </c>
      <c r="M684" s="279">
        <f>'H + Al'!D686</f>
        <v>0</v>
      </c>
      <c r="N684" s="272">
        <f t="shared" si="65"/>
        <v>0</v>
      </c>
      <c r="O684" s="272">
        <f t="shared" si="66"/>
        <v>0</v>
      </c>
      <c r="P684" s="272">
        <f t="shared" si="67"/>
        <v>0</v>
      </c>
      <c r="Q684" s="293" t="e">
        <f t="shared" si="68"/>
        <v>#DIV/0!</v>
      </c>
      <c r="R684" s="293" t="e">
        <f t="shared" si="69"/>
        <v>#DIV/0!</v>
      </c>
      <c r="S684">
        <f>Prem!H686</f>
        <v>0</v>
      </c>
      <c r="T684" s="281">
        <f>S!H690</f>
        <v>0</v>
      </c>
      <c r="U684" s="274">
        <f>B!H685</f>
        <v>0</v>
      </c>
      <c r="V684" s="272">
        <f>Zn!G686</f>
        <v>0</v>
      </c>
      <c r="W684" s="272">
        <f>Cu!G686</f>
        <v>0</v>
      </c>
      <c r="X684" s="272">
        <f>Mn!G686</f>
        <v>0</v>
      </c>
      <c r="Y684" s="272">
        <f>Fe!G686</f>
        <v>0</v>
      </c>
      <c r="Z684" s="274">
        <f>M.O!H686</f>
        <v>0</v>
      </c>
      <c r="AA684" s="272" t="e">
        <f t="shared" si="70"/>
        <v>#DIV/0!</v>
      </c>
      <c r="AB684" s="272" t="e">
        <f t="shared" si="71"/>
        <v>#DIV/0!</v>
      </c>
      <c r="AC684" s="272" t="e">
        <f t="shared" si="72"/>
        <v>#DIV/0!</v>
      </c>
    </row>
    <row r="685" spans="1:29" x14ac:dyDescent="0.2">
      <c r="A685" s="106">
        <f>Cadastro!A689</f>
        <v>0</v>
      </c>
      <c r="B685" s="27">
        <f>Cadastro!E687</f>
        <v>0</v>
      </c>
      <c r="C685">
        <f>pH_água!C685</f>
        <v>0</v>
      </c>
      <c r="D685">
        <f>pH_KCl!B686</f>
        <v>0</v>
      </c>
      <c r="E685">
        <f>'pH CaCl2'!C685</f>
        <v>0</v>
      </c>
      <c r="F685" s="104">
        <f>P_Mehlich1!H670</f>
        <v>0</v>
      </c>
      <c r="G685" s="123">
        <f>P_resina!H690</f>
        <v>0</v>
      </c>
      <c r="H685" s="272">
        <f>K!G655</f>
        <v>0</v>
      </c>
      <c r="I685" s="125">
        <v>0</v>
      </c>
      <c r="J685" s="272">
        <f>'Ca2+'!G686</f>
        <v>0</v>
      </c>
      <c r="K685" s="272">
        <f>Mg²!G688</f>
        <v>0</v>
      </c>
      <c r="L685" s="279">
        <f>Al³!C687</f>
        <v>0</v>
      </c>
      <c r="M685" s="279">
        <f>'H + Al'!D687</f>
        <v>0</v>
      </c>
      <c r="N685" s="272">
        <f t="shared" si="65"/>
        <v>0</v>
      </c>
      <c r="O685" s="272">
        <f t="shared" si="66"/>
        <v>0</v>
      </c>
      <c r="P685" s="272">
        <f t="shared" si="67"/>
        <v>0</v>
      </c>
      <c r="Q685" s="293" t="e">
        <f t="shared" si="68"/>
        <v>#DIV/0!</v>
      </c>
      <c r="R685" s="293" t="e">
        <f t="shared" si="69"/>
        <v>#DIV/0!</v>
      </c>
      <c r="S685">
        <f>Prem!H687</f>
        <v>0</v>
      </c>
      <c r="T685" s="281">
        <f>S!H691</f>
        <v>0</v>
      </c>
      <c r="U685" s="274">
        <f>B!H686</f>
        <v>0</v>
      </c>
      <c r="V685" s="272">
        <f>Zn!G687</f>
        <v>0</v>
      </c>
      <c r="W685" s="272">
        <f>Cu!G687</f>
        <v>0</v>
      </c>
      <c r="X685" s="272">
        <f>Mn!G687</f>
        <v>0</v>
      </c>
      <c r="Y685" s="272">
        <f>Fe!G687</f>
        <v>0</v>
      </c>
      <c r="Z685" s="274">
        <f>M.O!H687</f>
        <v>0</v>
      </c>
      <c r="AA685" s="272" t="e">
        <f t="shared" si="70"/>
        <v>#DIV/0!</v>
      </c>
      <c r="AB685" s="272" t="e">
        <f t="shared" si="71"/>
        <v>#DIV/0!</v>
      </c>
      <c r="AC685" s="272" t="e">
        <f t="shared" si="72"/>
        <v>#DIV/0!</v>
      </c>
    </row>
    <row r="686" spans="1:29" x14ac:dyDescent="0.2">
      <c r="A686" s="106">
        <f>Cadastro!A690</f>
        <v>0</v>
      </c>
      <c r="B686" s="27">
        <f>Cadastro!E688</f>
        <v>0</v>
      </c>
      <c r="C686">
        <f>pH_água!C686</f>
        <v>0</v>
      </c>
      <c r="D686">
        <f>pH_KCl!B687</f>
        <v>0</v>
      </c>
      <c r="E686">
        <f>'pH CaCl2'!C686</f>
        <v>0</v>
      </c>
      <c r="F686" s="104">
        <f>P_Mehlich1!H671</f>
        <v>0</v>
      </c>
      <c r="G686" s="123">
        <f>P_resina!H691</f>
        <v>0</v>
      </c>
      <c r="H686" s="272">
        <f>K!G656</f>
        <v>0</v>
      </c>
      <c r="I686" s="125">
        <v>0</v>
      </c>
      <c r="J686" s="272">
        <f>'Ca2+'!G687</f>
        <v>0</v>
      </c>
      <c r="K686" s="272">
        <f>Mg²!G689</f>
        <v>0</v>
      </c>
      <c r="L686" s="279">
        <f>Al³!C688</f>
        <v>0</v>
      </c>
      <c r="M686" s="279">
        <f>'H + Al'!D688</f>
        <v>0</v>
      </c>
      <c r="N686" s="272">
        <f t="shared" si="65"/>
        <v>0</v>
      </c>
      <c r="O686" s="272">
        <f t="shared" si="66"/>
        <v>0</v>
      </c>
      <c r="P686" s="272">
        <f t="shared" si="67"/>
        <v>0</v>
      </c>
      <c r="Q686" s="293" t="e">
        <f t="shared" si="68"/>
        <v>#DIV/0!</v>
      </c>
      <c r="R686" s="293" t="e">
        <f t="shared" si="69"/>
        <v>#DIV/0!</v>
      </c>
      <c r="S686">
        <f>Prem!H688</f>
        <v>0</v>
      </c>
      <c r="T686" s="281">
        <f>S!H692</f>
        <v>0</v>
      </c>
      <c r="U686" s="274">
        <f>B!H687</f>
        <v>0</v>
      </c>
      <c r="V686" s="272">
        <f>Zn!G688</f>
        <v>0</v>
      </c>
      <c r="W686" s="272">
        <f>Cu!G688</f>
        <v>0</v>
      </c>
      <c r="X686" s="272">
        <f>Mn!G688</f>
        <v>0</v>
      </c>
      <c r="Y686" s="272">
        <f>Fe!G688</f>
        <v>0</v>
      </c>
      <c r="Z686" s="274">
        <f>M.O!H688</f>
        <v>0</v>
      </c>
      <c r="AA686" s="272" t="e">
        <f t="shared" si="70"/>
        <v>#DIV/0!</v>
      </c>
      <c r="AB686" s="272" t="e">
        <f t="shared" si="71"/>
        <v>#DIV/0!</v>
      </c>
      <c r="AC686" s="272" t="e">
        <f t="shared" si="72"/>
        <v>#DIV/0!</v>
      </c>
    </row>
    <row r="687" spans="1:29" x14ac:dyDescent="0.2">
      <c r="A687" s="106">
        <f>Cadastro!A691</f>
        <v>0</v>
      </c>
      <c r="B687" s="27">
        <f>Cadastro!E689</f>
        <v>0</v>
      </c>
      <c r="C687">
        <f>pH_água!C687</f>
        <v>0</v>
      </c>
      <c r="D687">
        <f>pH_KCl!B688</f>
        <v>0</v>
      </c>
      <c r="E687">
        <f>'pH CaCl2'!C687</f>
        <v>0</v>
      </c>
      <c r="F687" s="104">
        <f>P_Mehlich1!H672</f>
        <v>0</v>
      </c>
      <c r="G687" s="123">
        <f>P_resina!H692</f>
        <v>0</v>
      </c>
      <c r="H687" s="272">
        <f>K!G657</f>
        <v>0</v>
      </c>
      <c r="I687" s="125">
        <v>0</v>
      </c>
      <c r="J687" s="272">
        <f>'Ca2+'!G688</f>
        <v>0</v>
      </c>
      <c r="K687" s="272">
        <f>Mg²!G690</f>
        <v>0</v>
      </c>
      <c r="L687" s="279">
        <f>Al³!C689</f>
        <v>0</v>
      </c>
      <c r="M687" s="279">
        <f>'H + Al'!D689</f>
        <v>0</v>
      </c>
      <c r="N687" s="272">
        <f t="shared" si="65"/>
        <v>0</v>
      </c>
      <c r="O687" s="272">
        <f t="shared" si="66"/>
        <v>0</v>
      </c>
      <c r="P687" s="272">
        <f t="shared" si="67"/>
        <v>0</v>
      </c>
      <c r="Q687" s="293" t="e">
        <f t="shared" si="68"/>
        <v>#DIV/0!</v>
      </c>
      <c r="R687" s="293" t="e">
        <f t="shared" si="69"/>
        <v>#DIV/0!</v>
      </c>
      <c r="S687">
        <f>Prem!H689</f>
        <v>0</v>
      </c>
      <c r="T687" s="281">
        <f>S!H693</f>
        <v>0</v>
      </c>
      <c r="U687" s="274">
        <f>B!H688</f>
        <v>0</v>
      </c>
      <c r="V687" s="272">
        <f>Zn!G689</f>
        <v>0</v>
      </c>
      <c r="W687" s="272">
        <f>Cu!G689</f>
        <v>0</v>
      </c>
      <c r="X687" s="272">
        <f>Mn!G689</f>
        <v>0</v>
      </c>
      <c r="Y687" s="272">
        <f>Fe!G689</f>
        <v>0</v>
      </c>
      <c r="Z687" s="274">
        <f>M.O!H689</f>
        <v>0</v>
      </c>
      <c r="AA687" s="272" t="e">
        <f t="shared" si="70"/>
        <v>#DIV/0!</v>
      </c>
      <c r="AB687" s="272" t="e">
        <f t="shared" si="71"/>
        <v>#DIV/0!</v>
      </c>
      <c r="AC687" s="272" t="e">
        <f t="shared" si="72"/>
        <v>#DIV/0!</v>
      </c>
    </row>
    <row r="688" spans="1:29" x14ac:dyDescent="0.2">
      <c r="A688" s="106">
        <f>Cadastro!A692</f>
        <v>0</v>
      </c>
      <c r="B688" s="27">
        <f>Cadastro!E690</f>
        <v>0</v>
      </c>
      <c r="C688">
        <f>pH_água!C688</f>
        <v>0</v>
      </c>
      <c r="D688">
        <f>pH_KCl!B689</f>
        <v>0</v>
      </c>
      <c r="E688">
        <f>'pH CaCl2'!C688</f>
        <v>0</v>
      </c>
      <c r="F688" s="104">
        <f>P_Mehlich1!H673</f>
        <v>0</v>
      </c>
      <c r="G688" s="123">
        <f>P_resina!H693</f>
        <v>0</v>
      </c>
      <c r="H688" s="272">
        <f>K!G658</f>
        <v>0</v>
      </c>
      <c r="I688" s="125">
        <v>0</v>
      </c>
      <c r="J688" s="272">
        <f>'Ca2+'!G689</f>
        <v>0</v>
      </c>
      <c r="K688" s="272">
        <f>Mg²!G691</f>
        <v>0</v>
      </c>
      <c r="L688" s="279">
        <f>Al³!C690</f>
        <v>0</v>
      </c>
      <c r="M688" s="279">
        <f>'H + Al'!D690</f>
        <v>0</v>
      </c>
      <c r="N688" s="272">
        <f t="shared" si="65"/>
        <v>0</v>
      </c>
      <c r="O688" s="272">
        <f t="shared" si="66"/>
        <v>0</v>
      </c>
      <c r="P688" s="272">
        <f t="shared" si="67"/>
        <v>0</v>
      </c>
      <c r="Q688" s="293" t="e">
        <f t="shared" si="68"/>
        <v>#DIV/0!</v>
      </c>
      <c r="R688" s="293" t="e">
        <f t="shared" si="69"/>
        <v>#DIV/0!</v>
      </c>
      <c r="S688">
        <f>Prem!H690</f>
        <v>0</v>
      </c>
      <c r="T688" s="281">
        <f>S!H694</f>
        <v>0</v>
      </c>
      <c r="U688" s="274">
        <f>B!H689</f>
        <v>0</v>
      </c>
      <c r="V688" s="272">
        <f>Zn!G690</f>
        <v>0</v>
      </c>
      <c r="W688" s="272">
        <f>Cu!G690</f>
        <v>0</v>
      </c>
      <c r="X688" s="272">
        <f>Mn!G690</f>
        <v>0</v>
      </c>
      <c r="Y688" s="272">
        <f>Fe!G690</f>
        <v>0</v>
      </c>
      <c r="Z688" s="274">
        <f>M.O!H690</f>
        <v>0</v>
      </c>
      <c r="AA688" s="272" t="e">
        <f t="shared" si="70"/>
        <v>#DIV/0!</v>
      </c>
      <c r="AB688" s="272" t="e">
        <f t="shared" si="71"/>
        <v>#DIV/0!</v>
      </c>
      <c r="AC688" s="272" t="e">
        <f t="shared" si="72"/>
        <v>#DIV/0!</v>
      </c>
    </row>
    <row r="689" spans="1:29" x14ac:dyDescent="0.2">
      <c r="A689" s="106">
        <f>Cadastro!A693</f>
        <v>0</v>
      </c>
      <c r="B689" s="27">
        <f>Cadastro!E691</f>
        <v>0</v>
      </c>
      <c r="C689">
        <f>pH_água!C689</f>
        <v>0</v>
      </c>
      <c r="D689">
        <f>pH_KCl!B690</f>
        <v>0</v>
      </c>
      <c r="E689">
        <f>'pH CaCl2'!C689</f>
        <v>0</v>
      </c>
      <c r="F689" s="104">
        <f>P_Mehlich1!H674</f>
        <v>0</v>
      </c>
      <c r="G689" s="123">
        <f>P_resina!H694</f>
        <v>0</v>
      </c>
      <c r="H689" s="272">
        <f>K!G659</f>
        <v>0</v>
      </c>
      <c r="I689" s="125">
        <v>0</v>
      </c>
      <c r="J689" s="272">
        <f>'Ca2+'!G690</f>
        <v>0</v>
      </c>
      <c r="K689" s="272">
        <f>Mg²!G692</f>
        <v>0</v>
      </c>
      <c r="L689" s="279">
        <f>Al³!C691</f>
        <v>0</v>
      </c>
      <c r="M689" s="279">
        <f>'H + Al'!D691</f>
        <v>0</v>
      </c>
      <c r="N689" s="272">
        <f t="shared" si="65"/>
        <v>0</v>
      </c>
      <c r="O689" s="272">
        <f t="shared" si="66"/>
        <v>0</v>
      </c>
      <c r="P689" s="272">
        <f t="shared" si="67"/>
        <v>0</v>
      </c>
      <c r="Q689" s="293" t="e">
        <f t="shared" si="68"/>
        <v>#DIV/0!</v>
      </c>
      <c r="R689" s="293" t="e">
        <f t="shared" si="69"/>
        <v>#DIV/0!</v>
      </c>
      <c r="S689">
        <f>Prem!H691</f>
        <v>0</v>
      </c>
      <c r="T689" s="281">
        <f>S!H695</f>
        <v>0</v>
      </c>
      <c r="U689" s="274">
        <f>B!H690</f>
        <v>0</v>
      </c>
      <c r="V689" s="272">
        <f>Zn!G691</f>
        <v>0</v>
      </c>
      <c r="W689" s="272">
        <f>Cu!G691</f>
        <v>0</v>
      </c>
      <c r="X689" s="272">
        <f>Mn!G691</f>
        <v>0</v>
      </c>
      <c r="Y689" s="272">
        <f>Fe!G691</f>
        <v>0</v>
      </c>
      <c r="Z689" s="274">
        <f>M.O!H691</f>
        <v>0</v>
      </c>
      <c r="AA689" s="272" t="e">
        <f t="shared" si="70"/>
        <v>#DIV/0!</v>
      </c>
      <c r="AB689" s="272" t="e">
        <f t="shared" si="71"/>
        <v>#DIV/0!</v>
      </c>
      <c r="AC689" s="272" t="e">
        <f t="shared" si="72"/>
        <v>#DIV/0!</v>
      </c>
    </row>
    <row r="690" spans="1:29" x14ac:dyDescent="0.2">
      <c r="A690" s="106">
        <f>Cadastro!A694</f>
        <v>0</v>
      </c>
      <c r="B690" s="27">
        <f>Cadastro!E692</f>
        <v>0</v>
      </c>
      <c r="C690">
        <f>pH_água!C690</f>
        <v>0</v>
      </c>
      <c r="D690">
        <f>pH_KCl!B691</f>
        <v>0</v>
      </c>
      <c r="E690">
        <f>'pH CaCl2'!C690</f>
        <v>0</v>
      </c>
      <c r="F690" s="104">
        <f>P_Mehlich1!H675</f>
        <v>0</v>
      </c>
      <c r="G690" s="123">
        <f>P_resina!H695</f>
        <v>0</v>
      </c>
      <c r="H690" s="272">
        <f>K!G660</f>
        <v>0</v>
      </c>
      <c r="I690" s="125">
        <v>0</v>
      </c>
      <c r="J690" s="272">
        <f>'Ca2+'!G691</f>
        <v>0</v>
      </c>
      <c r="K690" s="272">
        <f>Mg²!G693</f>
        <v>0</v>
      </c>
      <c r="L690" s="279">
        <f>Al³!C692</f>
        <v>0</v>
      </c>
      <c r="M690" s="279">
        <f>'H + Al'!D692</f>
        <v>0</v>
      </c>
      <c r="N690" s="272">
        <f t="shared" si="65"/>
        <v>0</v>
      </c>
      <c r="O690" s="272">
        <f t="shared" si="66"/>
        <v>0</v>
      </c>
      <c r="P690" s="272">
        <f t="shared" si="67"/>
        <v>0</v>
      </c>
      <c r="Q690" s="293" t="e">
        <f t="shared" si="68"/>
        <v>#DIV/0!</v>
      </c>
      <c r="R690" s="293" t="e">
        <f t="shared" si="69"/>
        <v>#DIV/0!</v>
      </c>
      <c r="S690">
        <f>Prem!H692</f>
        <v>0</v>
      </c>
      <c r="T690" s="281">
        <f>S!H696</f>
        <v>0</v>
      </c>
      <c r="U690" s="274">
        <f>B!H691</f>
        <v>0</v>
      </c>
      <c r="V690" s="272">
        <f>Zn!G692</f>
        <v>0</v>
      </c>
      <c r="W690" s="272">
        <f>Cu!G692</f>
        <v>0</v>
      </c>
      <c r="X690" s="272">
        <f>Mn!G692</f>
        <v>0</v>
      </c>
      <c r="Y690" s="272">
        <f>Fe!G692</f>
        <v>0</v>
      </c>
      <c r="Z690" s="274">
        <f>M.O!H692</f>
        <v>0</v>
      </c>
      <c r="AA690" s="272" t="e">
        <f t="shared" si="70"/>
        <v>#DIV/0!</v>
      </c>
      <c r="AB690" s="272" t="e">
        <f t="shared" si="71"/>
        <v>#DIV/0!</v>
      </c>
      <c r="AC690" s="272" t="e">
        <f t="shared" si="72"/>
        <v>#DIV/0!</v>
      </c>
    </row>
    <row r="691" spans="1:29" x14ac:dyDescent="0.2">
      <c r="A691" s="106">
        <f>Cadastro!A695</f>
        <v>0</v>
      </c>
      <c r="B691" s="27">
        <f>Cadastro!E693</f>
        <v>0</v>
      </c>
      <c r="C691">
        <f>pH_água!C691</f>
        <v>0</v>
      </c>
      <c r="D691">
        <f>pH_KCl!B692</f>
        <v>0</v>
      </c>
      <c r="E691">
        <f>'pH CaCl2'!C691</f>
        <v>0</v>
      </c>
      <c r="F691" s="104">
        <f>P_Mehlich1!H676</f>
        <v>0</v>
      </c>
      <c r="G691" s="123">
        <f>P_resina!H696</f>
        <v>0</v>
      </c>
      <c r="H691" s="272">
        <f>K!G661</f>
        <v>0</v>
      </c>
      <c r="I691" s="125">
        <v>0</v>
      </c>
      <c r="J691" s="272">
        <f>'Ca2+'!G692</f>
        <v>0</v>
      </c>
      <c r="K691" s="272">
        <f>Mg²!G694</f>
        <v>0</v>
      </c>
      <c r="L691" s="279">
        <f>Al³!C693</f>
        <v>0</v>
      </c>
      <c r="M691" s="279">
        <f>'H + Al'!D693</f>
        <v>0</v>
      </c>
      <c r="N691" s="272">
        <f t="shared" si="65"/>
        <v>0</v>
      </c>
      <c r="O691" s="272">
        <f t="shared" si="66"/>
        <v>0</v>
      </c>
      <c r="P691" s="272">
        <f t="shared" si="67"/>
        <v>0</v>
      </c>
      <c r="Q691" s="293" t="e">
        <f t="shared" si="68"/>
        <v>#DIV/0!</v>
      </c>
      <c r="R691" s="293" t="e">
        <f t="shared" si="69"/>
        <v>#DIV/0!</v>
      </c>
      <c r="S691">
        <f>Prem!H693</f>
        <v>0</v>
      </c>
      <c r="T691" s="281">
        <f>S!H697</f>
        <v>0</v>
      </c>
      <c r="U691" s="274">
        <f>B!H692</f>
        <v>0</v>
      </c>
      <c r="V691" s="272">
        <f>Zn!G693</f>
        <v>0</v>
      </c>
      <c r="W691" s="272">
        <f>Cu!G693</f>
        <v>0</v>
      </c>
      <c r="X691" s="272">
        <f>Mn!G693</f>
        <v>0</v>
      </c>
      <c r="Y691" s="272">
        <f>Fe!G693</f>
        <v>0</v>
      </c>
      <c r="Z691" s="274">
        <f>M.O!H693</f>
        <v>0</v>
      </c>
      <c r="AA691" s="272" t="e">
        <f t="shared" si="70"/>
        <v>#DIV/0!</v>
      </c>
      <c r="AB691" s="272" t="e">
        <f t="shared" si="71"/>
        <v>#DIV/0!</v>
      </c>
      <c r="AC691" s="272" t="e">
        <f t="shared" si="72"/>
        <v>#DIV/0!</v>
      </c>
    </row>
    <row r="692" spans="1:29" x14ac:dyDescent="0.2">
      <c r="A692" s="106">
        <f>Cadastro!A696</f>
        <v>0</v>
      </c>
      <c r="B692" s="27">
        <f>Cadastro!E694</f>
        <v>0</v>
      </c>
      <c r="C692">
        <f>pH_água!C692</f>
        <v>0</v>
      </c>
      <c r="D692">
        <f>pH_KCl!B693</f>
        <v>0</v>
      </c>
      <c r="E692">
        <f>'pH CaCl2'!C692</f>
        <v>0</v>
      </c>
      <c r="F692" s="104">
        <f>P_Mehlich1!H677</f>
        <v>0</v>
      </c>
      <c r="G692" s="123">
        <f>P_resina!H697</f>
        <v>0</v>
      </c>
      <c r="H692" s="272">
        <f>K!G662</f>
        <v>0</v>
      </c>
      <c r="I692" s="125">
        <v>0</v>
      </c>
      <c r="J692" s="272">
        <f>'Ca2+'!G693</f>
        <v>0</v>
      </c>
      <c r="K692" s="272">
        <f>Mg²!G695</f>
        <v>0</v>
      </c>
      <c r="L692" s="279">
        <f>Al³!C694</f>
        <v>0</v>
      </c>
      <c r="M692" s="279">
        <f>'H + Al'!D694</f>
        <v>0</v>
      </c>
      <c r="N692" s="272">
        <f t="shared" ref="N692:N755" si="73">(H692/390)+(I692/230)+J692+K692</f>
        <v>0</v>
      </c>
      <c r="O692" s="272">
        <f t="shared" ref="O692:O755" si="74">N692+L692</f>
        <v>0</v>
      </c>
      <c r="P692" s="272">
        <f t="shared" ref="P692:P755" si="75">N692+M692</f>
        <v>0</v>
      </c>
      <c r="Q692" s="293" t="e">
        <f t="shared" ref="Q692:Q755" si="76">(N692/P692)*100</f>
        <v>#DIV/0!</v>
      </c>
      <c r="R692" s="293" t="e">
        <f t="shared" ref="R692:R755" si="77">(L692/O692)*100</f>
        <v>#DIV/0!</v>
      </c>
      <c r="S692">
        <f>Prem!H694</f>
        <v>0</v>
      </c>
      <c r="T692" s="281">
        <f>S!H698</f>
        <v>0</v>
      </c>
      <c r="U692" s="274">
        <f>B!H693</f>
        <v>0</v>
      </c>
      <c r="V692" s="272">
        <f>Zn!G694</f>
        <v>0</v>
      </c>
      <c r="W692" s="272">
        <f>Cu!G694</f>
        <v>0</v>
      </c>
      <c r="X692" s="272">
        <f>Mn!G694</f>
        <v>0</v>
      </c>
      <c r="Y692" s="272">
        <f>Fe!G694</f>
        <v>0</v>
      </c>
      <c r="Z692" s="274">
        <f>M.O!H694</f>
        <v>0</v>
      </c>
      <c r="AA692" s="272" t="e">
        <f t="shared" ref="AA692:AA705" si="78">J692/K692</f>
        <v>#DIV/0!</v>
      </c>
      <c r="AB692" s="272" t="e">
        <f t="shared" ref="AB692:AB705" si="79">J692/(H692/390)</f>
        <v>#DIV/0!</v>
      </c>
      <c r="AC692" s="272" t="e">
        <f t="shared" ref="AC692:AC705" si="80">K692/(H692/390)</f>
        <v>#DIV/0!</v>
      </c>
    </row>
    <row r="693" spans="1:29" x14ac:dyDescent="0.2">
      <c r="A693" s="106">
        <f>Cadastro!A697</f>
        <v>0</v>
      </c>
      <c r="B693" s="27">
        <f>Cadastro!E695</f>
        <v>0</v>
      </c>
      <c r="C693">
        <f>pH_água!C693</f>
        <v>0</v>
      </c>
      <c r="D693">
        <f>pH_KCl!B694</f>
        <v>0</v>
      </c>
      <c r="E693">
        <f>'pH CaCl2'!C693</f>
        <v>0</v>
      </c>
      <c r="F693" s="104">
        <f>P_Mehlich1!H678</f>
        <v>0</v>
      </c>
      <c r="G693" s="123">
        <f>P_resina!H698</f>
        <v>0</v>
      </c>
      <c r="H693" s="272">
        <f>K!G663</f>
        <v>0</v>
      </c>
      <c r="I693" s="125">
        <v>0</v>
      </c>
      <c r="J693" s="272">
        <f>'Ca2+'!G694</f>
        <v>0</v>
      </c>
      <c r="K693" s="272">
        <f>Mg²!G696</f>
        <v>0</v>
      </c>
      <c r="L693" s="279">
        <f>Al³!C695</f>
        <v>0</v>
      </c>
      <c r="M693" s="279">
        <f>'H + Al'!D695</f>
        <v>0</v>
      </c>
      <c r="N693" s="272">
        <f t="shared" si="73"/>
        <v>0</v>
      </c>
      <c r="O693" s="272">
        <f t="shared" si="74"/>
        <v>0</v>
      </c>
      <c r="P693" s="272">
        <f t="shared" si="75"/>
        <v>0</v>
      </c>
      <c r="Q693" s="293" t="e">
        <f t="shared" si="76"/>
        <v>#DIV/0!</v>
      </c>
      <c r="R693" s="293" t="e">
        <f t="shared" si="77"/>
        <v>#DIV/0!</v>
      </c>
      <c r="S693">
        <f>Prem!H695</f>
        <v>0</v>
      </c>
      <c r="T693" s="281">
        <f>S!H699</f>
        <v>0</v>
      </c>
      <c r="U693" s="274">
        <f>B!H694</f>
        <v>0</v>
      </c>
      <c r="V693" s="272">
        <f>Zn!G695</f>
        <v>0</v>
      </c>
      <c r="W693" s="272">
        <f>Cu!G695</f>
        <v>0</v>
      </c>
      <c r="X693" s="272">
        <f>Mn!G695</f>
        <v>0</v>
      </c>
      <c r="Y693" s="272">
        <f>Fe!G695</f>
        <v>0</v>
      </c>
      <c r="Z693" s="274">
        <f>M.O!H695</f>
        <v>0</v>
      </c>
      <c r="AA693" s="272" t="e">
        <f t="shared" si="78"/>
        <v>#DIV/0!</v>
      </c>
      <c r="AB693" s="272" t="e">
        <f t="shared" si="79"/>
        <v>#DIV/0!</v>
      </c>
      <c r="AC693" s="272" t="e">
        <f t="shared" si="80"/>
        <v>#DIV/0!</v>
      </c>
    </row>
    <row r="694" spans="1:29" x14ac:dyDescent="0.2">
      <c r="A694" s="106">
        <f>Cadastro!A698</f>
        <v>0</v>
      </c>
      <c r="B694" s="27">
        <f>Cadastro!E696</f>
        <v>0</v>
      </c>
      <c r="C694">
        <f>pH_água!C694</f>
        <v>0</v>
      </c>
      <c r="D694">
        <f>pH_KCl!B695</f>
        <v>0</v>
      </c>
      <c r="E694">
        <f>'pH CaCl2'!C694</f>
        <v>0</v>
      </c>
      <c r="F694" s="104">
        <f>P_Mehlich1!H679</f>
        <v>0</v>
      </c>
      <c r="G694" s="123">
        <f>P_resina!H699</f>
        <v>0</v>
      </c>
      <c r="H694" s="272">
        <f>K!G664</f>
        <v>0</v>
      </c>
      <c r="I694" s="125">
        <v>0</v>
      </c>
      <c r="J694" s="272">
        <f>'Ca2+'!G695</f>
        <v>0</v>
      </c>
      <c r="K694" s="272">
        <f>Mg²!G697</f>
        <v>0</v>
      </c>
      <c r="L694" s="279">
        <f>Al³!C696</f>
        <v>0</v>
      </c>
      <c r="M694" s="279">
        <f>'H + Al'!D696</f>
        <v>0</v>
      </c>
      <c r="N694" s="272">
        <f t="shared" si="73"/>
        <v>0</v>
      </c>
      <c r="O694" s="272">
        <f t="shared" si="74"/>
        <v>0</v>
      </c>
      <c r="P694" s="272">
        <f t="shared" si="75"/>
        <v>0</v>
      </c>
      <c r="Q694" s="293" t="e">
        <f t="shared" si="76"/>
        <v>#DIV/0!</v>
      </c>
      <c r="R694" s="293" t="e">
        <f t="shared" si="77"/>
        <v>#DIV/0!</v>
      </c>
      <c r="S694">
        <f>Prem!H696</f>
        <v>0</v>
      </c>
      <c r="T694" s="281">
        <f>S!H700</f>
        <v>0</v>
      </c>
      <c r="U694" s="274">
        <f>B!H695</f>
        <v>0</v>
      </c>
      <c r="V694" s="272">
        <f>Zn!G696</f>
        <v>0</v>
      </c>
      <c r="W694" s="272">
        <f>Cu!G696</f>
        <v>0</v>
      </c>
      <c r="X694" s="272">
        <f>Mn!G696</f>
        <v>0</v>
      </c>
      <c r="Y694" s="272">
        <f>Fe!G696</f>
        <v>0</v>
      </c>
      <c r="Z694" s="274">
        <f>M.O!H696</f>
        <v>0</v>
      </c>
      <c r="AA694" s="272" t="e">
        <f t="shared" si="78"/>
        <v>#DIV/0!</v>
      </c>
      <c r="AB694" s="272" t="e">
        <f t="shared" si="79"/>
        <v>#DIV/0!</v>
      </c>
      <c r="AC694" s="272" t="e">
        <f t="shared" si="80"/>
        <v>#DIV/0!</v>
      </c>
    </row>
    <row r="695" spans="1:29" x14ac:dyDescent="0.2">
      <c r="A695" s="106">
        <f>Cadastro!A699</f>
        <v>0</v>
      </c>
      <c r="B695" s="27">
        <f>Cadastro!E697</f>
        <v>0</v>
      </c>
      <c r="C695">
        <f>pH_água!C695</f>
        <v>0</v>
      </c>
      <c r="D695">
        <f>pH_KCl!B696</f>
        <v>0</v>
      </c>
      <c r="E695">
        <f>'pH CaCl2'!C695</f>
        <v>0</v>
      </c>
      <c r="F695" s="104">
        <f>P_Mehlich1!H680</f>
        <v>0</v>
      </c>
      <c r="G695" s="123">
        <f>P_resina!H700</f>
        <v>0</v>
      </c>
      <c r="H695" s="272">
        <f>K!G665</f>
        <v>0</v>
      </c>
      <c r="I695" s="125">
        <v>0</v>
      </c>
      <c r="J695" s="272">
        <f>'Ca2+'!G696</f>
        <v>0</v>
      </c>
      <c r="K695" s="272">
        <f>Mg²!G698</f>
        <v>0</v>
      </c>
      <c r="L695" s="279">
        <f>Al³!C697</f>
        <v>0</v>
      </c>
      <c r="M695" s="279">
        <f>'H + Al'!D697</f>
        <v>0</v>
      </c>
      <c r="N695" s="272">
        <f t="shared" si="73"/>
        <v>0</v>
      </c>
      <c r="O695" s="272">
        <f t="shared" si="74"/>
        <v>0</v>
      </c>
      <c r="P695" s="272">
        <f t="shared" si="75"/>
        <v>0</v>
      </c>
      <c r="Q695" s="293" t="e">
        <f t="shared" si="76"/>
        <v>#DIV/0!</v>
      </c>
      <c r="R695" s="293" t="e">
        <f t="shared" si="77"/>
        <v>#DIV/0!</v>
      </c>
      <c r="S695">
        <f>Prem!H697</f>
        <v>0</v>
      </c>
      <c r="T695" s="281">
        <f>S!H701</f>
        <v>0</v>
      </c>
      <c r="U695" s="274">
        <f>B!H696</f>
        <v>0</v>
      </c>
      <c r="V695" s="272">
        <f>Zn!G697</f>
        <v>0</v>
      </c>
      <c r="W695" s="272">
        <f>Cu!G697</f>
        <v>0</v>
      </c>
      <c r="X695" s="272">
        <f>Mn!G697</f>
        <v>0</v>
      </c>
      <c r="Y695" s="272">
        <f>Fe!G697</f>
        <v>0</v>
      </c>
      <c r="Z695" s="274">
        <f>M.O!H697</f>
        <v>0</v>
      </c>
      <c r="AA695" s="272" t="e">
        <f t="shared" si="78"/>
        <v>#DIV/0!</v>
      </c>
      <c r="AB695" s="272" t="e">
        <f t="shared" si="79"/>
        <v>#DIV/0!</v>
      </c>
      <c r="AC695" s="272" t="e">
        <f t="shared" si="80"/>
        <v>#DIV/0!</v>
      </c>
    </row>
    <row r="696" spans="1:29" x14ac:dyDescent="0.2">
      <c r="A696" s="106">
        <f>Cadastro!A700</f>
        <v>0</v>
      </c>
      <c r="B696" s="27">
        <f>Cadastro!E698</f>
        <v>0</v>
      </c>
      <c r="C696">
        <f>pH_água!C696</f>
        <v>0</v>
      </c>
      <c r="D696">
        <f>pH_KCl!B697</f>
        <v>0</v>
      </c>
      <c r="E696">
        <f>'pH CaCl2'!C696</f>
        <v>0</v>
      </c>
      <c r="F696" s="104">
        <f>P_Mehlich1!H681</f>
        <v>0</v>
      </c>
      <c r="G696" s="123">
        <f>P_resina!H701</f>
        <v>0</v>
      </c>
      <c r="H696" s="272">
        <f>K!G666</f>
        <v>0</v>
      </c>
      <c r="I696" s="125">
        <v>0</v>
      </c>
      <c r="J696" s="272">
        <f>'Ca2+'!G697</f>
        <v>0</v>
      </c>
      <c r="K696" s="272">
        <f>Mg²!G699</f>
        <v>0</v>
      </c>
      <c r="L696" s="279">
        <f>Al³!C698</f>
        <v>0</v>
      </c>
      <c r="M696" s="279">
        <f>'H + Al'!D698</f>
        <v>0</v>
      </c>
      <c r="N696" s="272">
        <f t="shared" si="73"/>
        <v>0</v>
      </c>
      <c r="O696" s="272">
        <f t="shared" si="74"/>
        <v>0</v>
      </c>
      <c r="P696" s="272">
        <f t="shared" si="75"/>
        <v>0</v>
      </c>
      <c r="Q696" s="293" t="e">
        <f t="shared" si="76"/>
        <v>#DIV/0!</v>
      </c>
      <c r="R696" s="293" t="e">
        <f t="shared" si="77"/>
        <v>#DIV/0!</v>
      </c>
      <c r="S696">
        <f>Prem!H698</f>
        <v>0</v>
      </c>
      <c r="T696" s="281">
        <f>S!H702</f>
        <v>0</v>
      </c>
      <c r="U696" s="274">
        <f>B!H697</f>
        <v>0</v>
      </c>
      <c r="V696" s="272">
        <f>Zn!G698</f>
        <v>0</v>
      </c>
      <c r="W696" s="272">
        <f>Cu!G698</f>
        <v>0</v>
      </c>
      <c r="X696" s="272">
        <f>Mn!G698</f>
        <v>0</v>
      </c>
      <c r="Y696" s="272">
        <f>Fe!G698</f>
        <v>0</v>
      </c>
      <c r="Z696" s="274">
        <f>M.O!H698</f>
        <v>0</v>
      </c>
      <c r="AA696" s="272" t="e">
        <f t="shared" si="78"/>
        <v>#DIV/0!</v>
      </c>
      <c r="AB696" s="272" t="e">
        <f t="shared" si="79"/>
        <v>#DIV/0!</v>
      </c>
      <c r="AC696" s="272" t="e">
        <f t="shared" si="80"/>
        <v>#DIV/0!</v>
      </c>
    </row>
    <row r="697" spans="1:29" x14ac:dyDescent="0.2">
      <c r="A697" s="106">
        <f>Cadastro!A701</f>
        <v>0</v>
      </c>
      <c r="B697" s="27">
        <f>Cadastro!E699</f>
        <v>0</v>
      </c>
      <c r="C697">
        <f>pH_água!C697</f>
        <v>0</v>
      </c>
      <c r="D697">
        <f>pH_KCl!B698</f>
        <v>0</v>
      </c>
      <c r="E697">
        <f>'pH CaCl2'!C697</f>
        <v>0</v>
      </c>
      <c r="F697" s="104">
        <f>P_Mehlich1!H682</f>
        <v>0</v>
      </c>
      <c r="G697" s="123">
        <f>P_resina!H702</f>
        <v>0</v>
      </c>
      <c r="H697" s="272">
        <f>K!G667</f>
        <v>0</v>
      </c>
      <c r="I697" s="125">
        <v>0</v>
      </c>
      <c r="J697" s="272">
        <f>'Ca2+'!G698</f>
        <v>0</v>
      </c>
      <c r="K697" s="272">
        <f>Mg²!G700</f>
        <v>0</v>
      </c>
      <c r="L697" s="279">
        <f>Al³!C699</f>
        <v>0</v>
      </c>
      <c r="M697" s="279">
        <f>'H + Al'!D699</f>
        <v>0</v>
      </c>
      <c r="N697" s="272">
        <f t="shared" si="73"/>
        <v>0</v>
      </c>
      <c r="O697" s="272">
        <f t="shared" si="74"/>
        <v>0</v>
      </c>
      <c r="P697" s="272">
        <f t="shared" si="75"/>
        <v>0</v>
      </c>
      <c r="Q697" s="293" t="e">
        <f t="shared" si="76"/>
        <v>#DIV/0!</v>
      </c>
      <c r="R697" s="293" t="e">
        <f t="shared" si="77"/>
        <v>#DIV/0!</v>
      </c>
      <c r="S697">
        <f>Prem!H699</f>
        <v>0</v>
      </c>
      <c r="T697" s="281">
        <f>S!H703</f>
        <v>0</v>
      </c>
      <c r="U697" s="274">
        <f>B!H698</f>
        <v>0</v>
      </c>
      <c r="V697" s="272">
        <f>Zn!G699</f>
        <v>0</v>
      </c>
      <c r="W697" s="272">
        <f>Cu!G699</f>
        <v>0</v>
      </c>
      <c r="X697" s="272">
        <f>Mn!G699</f>
        <v>0</v>
      </c>
      <c r="Y697" s="272">
        <f>Fe!G699</f>
        <v>0</v>
      </c>
      <c r="Z697" s="274">
        <f>M.O!H699</f>
        <v>0</v>
      </c>
      <c r="AA697" s="272" t="e">
        <f t="shared" si="78"/>
        <v>#DIV/0!</v>
      </c>
      <c r="AB697" s="272" t="e">
        <f t="shared" si="79"/>
        <v>#DIV/0!</v>
      </c>
      <c r="AC697" s="272" t="e">
        <f t="shared" si="80"/>
        <v>#DIV/0!</v>
      </c>
    </row>
    <row r="698" spans="1:29" x14ac:dyDescent="0.2">
      <c r="A698" s="106">
        <f>Cadastro!A702</f>
        <v>0</v>
      </c>
      <c r="B698" s="27">
        <f>Cadastro!E700</f>
        <v>0</v>
      </c>
      <c r="C698">
        <f>pH_água!C698</f>
        <v>0</v>
      </c>
      <c r="D698">
        <f>pH_KCl!B699</f>
        <v>0</v>
      </c>
      <c r="E698">
        <f>'pH CaCl2'!C698</f>
        <v>0</v>
      </c>
      <c r="F698" s="104">
        <f>P_Mehlich1!H683</f>
        <v>0</v>
      </c>
      <c r="G698" s="123">
        <f>P_resina!H703</f>
        <v>0</v>
      </c>
      <c r="H698" s="272">
        <f>K!G668</f>
        <v>0</v>
      </c>
      <c r="I698" s="125">
        <v>0</v>
      </c>
      <c r="J698" s="272">
        <f>'Ca2+'!G699</f>
        <v>0</v>
      </c>
      <c r="K698" s="272">
        <f>Mg²!G701</f>
        <v>0</v>
      </c>
      <c r="L698" s="279">
        <f>Al³!C700</f>
        <v>0</v>
      </c>
      <c r="M698" s="279">
        <f>'H + Al'!D700</f>
        <v>0</v>
      </c>
      <c r="N698" s="272">
        <f t="shared" si="73"/>
        <v>0</v>
      </c>
      <c r="O698" s="272">
        <f t="shared" si="74"/>
        <v>0</v>
      </c>
      <c r="P698" s="272">
        <f t="shared" si="75"/>
        <v>0</v>
      </c>
      <c r="Q698" s="293" t="e">
        <f t="shared" si="76"/>
        <v>#DIV/0!</v>
      </c>
      <c r="R698" s="293" t="e">
        <f t="shared" si="77"/>
        <v>#DIV/0!</v>
      </c>
      <c r="S698">
        <f>Prem!H700</f>
        <v>0</v>
      </c>
      <c r="T698" s="281">
        <f>S!H704</f>
        <v>0</v>
      </c>
      <c r="U698" s="274">
        <f>B!H699</f>
        <v>0</v>
      </c>
      <c r="V698" s="272">
        <f>Zn!G700</f>
        <v>0</v>
      </c>
      <c r="W698" s="272">
        <f>Cu!G700</f>
        <v>0</v>
      </c>
      <c r="X698" s="272">
        <f>Mn!G700</f>
        <v>0</v>
      </c>
      <c r="Y698" s="272">
        <f>Fe!G700</f>
        <v>0</v>
      </c>
      <c r="Z698" s="274">
        <f>M.O!H700</f>
        <v>0</v>
      </c>
      <c r="AA698" s="272" t="e">
        <f t="shared" si="78"/>
        <v>#DIV/0!</v>
      </c>
      <c r="AB698" s="272" t="e">
        <f t="shared" si="79"/>
        <v>#DIV/0!</v>
      </c>
      <c r="AC698" s="272" t="e">
        <f t="shared" si="80"/>
        <v>#DIV/0!</v>
      </c>
    </row>
    <row r="699" spans="1:29" x14ac:dyDescent="0.2">
      <c r="A699" s="106">
        <f>Cadastro!A703</f>
        <v>0</v>
      </c>
      <c r="B699" s="27">
        <f>Cadastro!E701</f>
        <v>0</v>
      </c>
      <c r="C699">
        <f>pH_água!C699</f>
        <v>0</v>
      </c>
      <c r="D699">
        <f>pH_KCl!B700</f>
        <v>0</v>
      </c>
      <c r="E699">
        <f>'pH CaCl2'!C699</f>
        <v>0</v>
      </c>
      <c r="F699" s="104">
        <f>P_Mehlich1!H684</f>
        <v>0</v>
      </c>
      <c r="G699" s="123">
        <f>P_resina!H704</f>
        <v>0</v>
      </c>
      <c r="H699" s="272">
        <f>K!G669</f>
        <v>0</v>
      </c>
      <c r="I699" s="125">
        <v>0</v>
      </c>
      <c r="J699" s="272">
        <f>'Ca2+'!G700</f>
        <v>0</v>
      </c>
      <c r="K699" s="272">
        <f>Mg²!G702</f>
        <v>0</v>
      </c>
      <c r="L699" s="279">
        <f>Al³!C701</f>
        <v>0</v>
      </c>
      <c r="M699" s="279">
        <f>'H + Al'!D701</f>
        <v>0</v>
      </c>
      <c r="N699" s="272">
        <f t="shared" si="73"/>
        <v>0</v>
      </c>
      <c r="O699" s="272">
        <f t="shared" si="74"/>
        <v>0</v>
      </c>
      <c r="P699" s="272">
        <f t="shared" si="75"/>
        <v>0</v>
      </c>
      <c r="Q699" s="293" t="e">
        <f t="shared" si="76"/>
        <v>#DIV/0!</v>
      </c>
      <c r="R699" s="293" t="e">
        <f t="shared" si="77"/>
        <v>#DIV/0!</v>
      </c>
      <c r="S699">
        <f>Prem!H701</f>
        <v>0</v>
      </c>
      <c r="T699" s="281">
        <f>S!H705</f>
        <v>0</v>
      </c>
      <c r="U699" s="274">
        <f>B!H700</f>
        <v>0</v>
      </c>
      <c r="V699" s="272">
        <f>Zn!G701</f>
        <v>0</v>
      </c>
      <c r="W699" s="272">
        <f>Cu!G701</f>
        <v>0</v>
      </c>
      <c r="X699" s="272">
        <f>Mn!G701</f>
        <v>0</v>
      </c>
      <c r="Y699" s="272">
        <f>Fe!G701</f>
        <v>0</v>
      </c>
      <c r="Z699" s="274">
        <f>M.O!H701</f>
        <v>0</v>
      </c>
      <c r="AA699" s="272" t="e">
        <f t="shared" si="78"/>
        <v>#DIV/0!</v>
      </c>
      <c r="AB699" s="272" t="e">
        <f t="shared" si="79"/>
        <v>#DIV/0!</v>
      </c>
      <c r="AC699" s="272" t="e">
        <f t="shared" si="80"/>
        <v>#DIV/0!</v>
      </c>
    </row>
    <row r="700" spans="1:29" x14ac:dyDescent="0.2">
      <c r="A700" s="106">
        <f>Cadastro!A704</f>
        <v>0</v>
      </c>
      <c r="B700" s="27">
        <f>Cadastro!E702</f>
        <v>0</v>
      </c>
      <c r="C700">
        <f>pH_água!C700</f>
        <v>0</v>
      </c>
      <c r="D700">
        <f>pH_KCl!B701</f>
        <v>0</v>
      </c>
      <c r="E700">
        <f>'pH CaCl2'!C700</f>
        <v>0</v>
      </c>
      <c r="F700" s="104">
        <f>P_Mehlich1!H685</f>
        <v>0</v>
      </c>
      <c r="G700" s="123">
        <f>P_resina!H705</f>
        <v>0</v>
      </c>
      <c r="H700" s="272">
        <f>K!G670</f>
        <v>0</v>
      </c>
      <c r="I700" s="125">
        <v>0</v>
      </c>
      <c r="J700" s="272">
        <f>'Ca2+'!G701</f>
        <v>0</v>
      </c>
      <c r="K700" s="272">
        <f>Mg²!G703</f>
        <v>0</v>
      </c>
      <c r="L700" s="279">
        <f>Al³!C702</f>
        <v>0</v>
      </c>
      <c r="M700" s="279">
        <f>'H + Al'!D702</f>
        <v>0</v>
      </c>
      <c r="N700" s="272">
        <f t="shared" si="73"/>
        <v>0</v>
      </c>
      <c r="O700" s="272">
        <f t="shared" si="74"/>
        <v>0</v>
      </c>
      <c r="P700" s="272">
        <f t="shared" si="75"/>
        <v>0</v>
      </c>
      <c r="Q700" s="293" t="e">
        <f t="shared" si="76"/>
        <v>#DIV/0!</v>
      </c>
      <c r="R700" s="293" t="e">
        <f t="shared" si="77"/>
        <v>#DIV/0!</v>
      </c>
      <c r="S700">
        <f>Prem!H702</f>
        <v>0</v>
      </c>
      <c r="T700" s="281">
        <f>S!H706</f>
        <v>0</v>
      </c>
      <c r="U700" s="274">
        <f>B!H701</f>
        <v>0</v>
      </c>
      <c r="V700" s="272">
        <f>Zn!G702</f>
        <v>0</v>
      </c>
      <c r="W700" s="272">
        <f>Cu!G702</f>
        <v>0</v>
      </c>
      <c r="X700" s="272">
        <f>Mn!G702</f>
        <v>0</v>
      </c>
      <c r="Y700" s="272">
        <f>Fe!G702</f>
        <v>0</v>
      </c>
      <c r="Z700" s="274">
        <f>M.O!H702</f>
        <v>0</v>
      </c>
      <c r="AA700" s="272" t="e">
        <f t="shared" si="78"/>
        <v>#DIV/0!</v>
      </c>
      <c r="AB700" s="272" t="e">
        <f t="shared" si="79"/>
        <v>#DIV/0!</v>
      </c>
      <c r="AC700" s="272" t="e">
        <f t="shared" si="80"/>
        <v>#DIV/0!</v>
      </c>
    </row>
    <row r="701" spans="1:29" x14ac:dyDescent="0.2">
      <c r="A701" s="106">
        <f>Cadastro!A705</f>
        <v>0</v>
      </c>
      <c r="B701" s="27">
        <f>Cadastro!E703</f>
        <v>0</v>
      </c>
      <c r="C701">
        <f>pH_água!C701</f>
        <v>0</v>
      </c>
      <c r="D701">
        <f>pH_KCl!B702</f>
        <v>0</v>
      </c>
      <c r="E701">
        <f>'pH CaCl2'!C701</f>
        <v>0</v>
      </c>
      <c r="F701" s="104">
        <f>P_Mehlich1!H686</f>
        <v>0</v>
      </c>
      <c r="G701" s="123">
        <f>P_resina!H706</f>
        <v>0</v>
      </c>
      <c r="H701" s="272">
        <f>K!G671</f>
        <v>0</v>
      </c>
      <c r="I701" s="125">
        <v>0</v>
      </c>
      <c r="J701" s="272">
        <f>'Ca2+'!G702</f>
        <v>0</v>
      </c>
      <c r="K701" s="272">
        <f>Mg²!G704</f>
        <v>0</v>
      </c>
      <c r="L701" s="279">
        <f>Al³!C703</f>
        <v>0</v>
      </c>
      <c r="M701" s="279">
        <f>'H + Al'!D703</f>
        <v>0</v>
      </c>
      <c r="N701" s="272">
        <f t="shared" si="73"/>
        <v>0</v>
      </c>
      <c r="O701" s="272">
        <f t="shared" si="74"/>
        <v>0</v>
      </c>
      <c r="P701" s="272">
        <f t="shared" si="75"/>
        <v>0</v>
      </c>
      <c r="Q701" s="293" t="e">
        <f t="shared" si="76"/>
        <v>#DIV/0!</v>
      </c>
      <c r="R701" s="293" t="e">
        <f t="shared" si="77"/>
        <v>#DIV/0!</v>
      </c>
      <c r="S701">
        <f>Prem!H703</f>
        <v>0</v>
      </c>
      <c r="T701" s="281">
        <f>S!H707</f>
        <v>0</v>
      </c>
      <c r="U701" s="274">
        <f>B!H702</f>
        <v>0</v>
      </c>
      <c r="V701" s="272">
        <f>Zn!G703</f>
        <v>0</v>
      </c>
      <c r="W701" s="272">
        <f>Cu!G703</f>
        <v>0</v>
      </c>
      <c r="X701" s="272">
        <f>Mn!G703</f>
        <v>0</v>
      </c>
      <c r="Y701" s="272">
        <f>Fe!G703</f>
        <v>0</v>
      </c>
      <c r="Z701" s="274">
        <f>M.O!H703</f>
        <v>0</v>
      </c>
      <c r="AA701" s="272" t="e">
        <f t="shared" si="78"/>
        <v>#DIV/0!</v>
      </c>
      <c r="AB701" s="272" t="e">
        <f t="shared" si="79"/>
        <v>#DIV/0!</v>
      </c>
      <c r="AC701" s="272" t="e">
        <f t="shared" si="80"/>
        <v>#DIV/0!</v>
      </c>
    </row>
    <row r="702" spans="1:29" x14ac:dyDescent="0.2">
      <c r="A702" s="106">
        <f>Cadastro!A706</f>
        <v>0</v>
      </c>
      <c r="B702" s="27">
        <f>Cadastro!E704</f>
        <v>0</v>
      </c>
      <c r="C702">
        <f>pH_água!C702</f>
        <v>0</v>
      </c>
      <c r="D702">
        <f>pH_KCl!B703</f>
        <v>0</v>
      </c>
      <c r="E702">
        <f>'pH CaCl2'!C702</f>
        <v>0</v>
      </c>
      <c r="F702" s="104">
        <f>P_Mehlich1!H687</f>
        <v>0</v>
      </c>
      <c r="G702" s="123">
        <f>P_resina!H707</f>
        <v>0</v>
      </c>
      <c r="H702" s="272">
        <f>K!G672</f>
        <v>0</v>
      </c>
      <c r="I702" s="125">
        <v>0</v>
      </c>
      <c r="J702" s="272">
        <f>'Ca2+'!G703</f>
        <v>0</v>
      </c>
      <c r="K702" s="272">
        <f>Mg²!G705</f>
        <v>0</v>
      </c>
      <c r="L702" s="279">
        <f>Al³!C704</f>
        <v>0</v>
      </c>
      <c r="M702" s="279">
        <f>'H + Al'!D704</f>
        <v>0</v>
      </c>
      <c r="N702" s="272">
        <f t="shared" si="73"/>
        <v>0</v>
      </c>
      <c r="O702" s="272">
        <f t="shared" si="74"/>
        <v>0</v>
      </c>
      <c r="P702" s="272">
        <f t="shared" si="75"/>
        <v>0</v>
      </c>
      <c r="Q702" s="293" t="e">
        <f t="shared" si="76"/>
        <v>#DIV/0!</v>
      </c>
      <c r="R702" s="293" t="e">
        <f t="shared" si="77"/>
        <v>#DIV/0!</v>
      </c>
      <c r="S702">
        <f>Prem!H704</f>
        <v>0</v>
      </c>
      <c r="T702" s="281">
        <f>S!H708</f>
        <v>0</v>
      </c>
      <c r="U702" s="274">
        <f>B!H703</f>
        <v>0</v>
      </c>
      <c r="V702" s="272">
        <f>Zn!G704</f>
        <v>0</v>
      </c>
      <c r="W702" s="272">
        <f>Cu!G704</f>
        <v>0</v>
      </c>
      <c r="X702" s="272">
        <f>Mn!G704</f>
        <v>0</v>
      </c>
      <c r="Y702" s="272">
        <f>Fe!G704</f>
        <v>0</v>
      </c>
      <c r="Z702" s="274">
        <f>M.O!H704</f>
        <v>0</v>
      </c>
      <c r="AA702" s="272" t="e">
        <f t="shared" si="78"/>
        <v>#DIV/0!</v>
      </c>
      <c r="AB702" s="272" t="e">
        <f t="shared" si="79"/>
        <v>#DIV/0!</v>
      </c>
      <c r="AC702" s="272" t="e">
        <f t="shared" si="80"/>
        <v>#DIV/0!</v>
      </c>
    </row>
    <row r="703" spans="1:29" x14ac:dyDescent="0.2">
      <c r="A703" s="106">
        <f>Cadastro!A707</f>
        <v>0</v>
      </c>
      <c r="B703" s="27">
        <f>Cadastro!E705</f>
        <v>0</v>
      </c>
      <c r="C703">
        <f>pH_água!C703</f>
        <v>0</v>
      </c>
      <c r="D703">
        <f>pH_KCl!B704</f>
        <v>0</v>
      </c>
      <c r="E703">
        <f>'pH CaCl2'!C703</f>
        <v>0</v>
      </c>
      <c r="F703" s="104">
        <f>P_Mehlich1!H688</f>
        <v>0</v>
      </c>
      <c r="G703" s="123">
        <f>P_resina!H708</f>
        <v>0</v>
      </c>
      <c r="H703" s="272">
        <f>K!G673</f>
        <v>0</v>
      </c>
      <c r="I703" s="125">
        <v>0</v>
      </c>
      <c r="J703" s="272">
        <f>'Ca2+'!G704</f>
        <v>0</v>
      </c>
      <c r="K703" s="272">
        <f>Mg²!G706</f>
        <v>0</v>
      </c>
      <c r="L703" s="279">
        <f>Al³!C705</f>
        <v>0</v>
      </c>
      <c r="M703" s="279">
        <f>'H + Al'!D705</f>
        <v>0</v>
      </c>
      <c r="N703" s="272">
        <f t="shared" si="73"/>
        <v>0</v>
      </c>
      <c r="O703" s="272">
        <f t="shared" si="74"/>
        <v>0</v>
      </c>
      <c r="P703" s="272">
        <f t="shared" si="75"/>
        <v>0</v>
      </c>
      <c r="Q703" s="293" t="e">
        <f t="shared" si="76"/>
        <v>#DIV/0!</v>
      </c>
      <c r="R703" s="293" t="e">
        <f t="shared" si="77"/>
        <v>#DIV/0!</v>
      </c>
      <c r="S703">
        <f>Prem!H705</f>
        <v>0</v>
      </c>
      <c r="T703" s="281">
        <f>S!H709</f>
        <v>0</v>
      </c>
      <c r="U703" s="274">
        <f>B!H704</f>
        <v>0</v>
      </c>
      <c r="V703" s="272">
        <f>Zn!G705</f>
        <v>0</v>
      </c>
      <c r="W703" s="272">
        <f>Cu!G705</f>
        <v>0</v>
      </c>
      <c r="X703" s="272">
        <f>Mn!G705</f>
        <v>0</v>
      </c>
      <c r="Y703" s="272">
        <f>Fe!G705</f>
        <v>0</v>
      </c>
      <c r="Z703" s="274">
        <f>M.O!H705</f>
        <v>0</v>
      </c>
      <c r="AA703" s="272" t="e">
        <f t="shared" si="78"/>
        <v>#DIV/0!</v>
      </c>
      <c r="AB703" s="272" t="e">
        <f t="shared" si="79"/>
        <v>#DIV/0!</v>
      </c>
      <c r="AC703" s="272" t="e">
        <f t="shared" si="80"/>
        <v>#DIV/0!</v>
      </c>
    </row>
    <row r="704" spans="1:29" x14ac:dyDescent="0.2">
      <c r="A704" s="106">
        <f>Cadastro!A708</f>
        <v>0</v>
      </c>
      <c r="B704" s="27">
        <f>Cadastro!E706</f>
        <v>0</v>
      </c>
      <c r="C704">
        <f>pH_água!C704</f>
        <v>0</v>
      </c>
      <c r="D704">
        <f>pH_KCl!B705</f>
        <v>0</v>
      </c>
      <c r="E704">
        <f>'pH CaCl2'!C704</f>
        <v>0</v>
      </c>
      <c r="F704" s="104">
        <f>P_Mehlich1!H689</f>
        <v>0</v>
      </c>
      <c r="G704" s="123">
        <f>P_resina!H709</f>
        <v>0</v>
      </c>
      <c r="H704" s="272">
        <f>K!G674</f>
        <v>0</v>
      </c>
      <c r="I704" s="125">
        <v>0</v>
      </c>
      <c r="J704" s="272">
        <f>'Ca2+'!G705</f>
        <v>0</v>
      </c>
      <c r="K704" s="272">
        <f>Mg²!G707</f>
        <v>0</v>
      </c>
      <c r="L704" s="279">
        <f>Al³!C706</f>
        <v>0</v>
      </c>
      <c r="M704" s="279">
        <f>'H + Al'!D706</f>
        <v>0</v>
      </c>
      <c r="N704" s="272">
        <f t="shared" si="73"/>
        <v>0</v>
      </c>
      <c r="O704" s="272">
        <f t="shared" si="74"/>
        <v>0</v>
      </c>
      <c r="P704" s="272">
        <f t="shared" si="75"/>
        <v>0</v>
      </c>
      <c r="Q704" s="293" t="e">
        <f t="shared" si="76"/>
        <v>#DIV/0!</v>
      </c>
      <c r="R704" s="293" t="e">
        <f t="shared" si="77"/>
        <v>#DIV/0!</v>
      </c>
      <c r="S704">
        <f>Prem!H706</f>
        <v>0</v>
      </c>
      <c r="T704" s="281">
        <f>S!H710</f>
        <v>0</v>
      </c>
      <c r="U704" s="274">
        <f>B!H705</f>
        <v>0</v>
      </c>
      <c r="V704" s="272">
        <f>Zn!G706</f>
        <v>0</v>
      </c>
      <c r="W704" s="272">
        <f>Cu!G706</f>
        <v>0</v>
      </c>
      <c r="X704" s="272">
        <f>Mn!G706</f>
        <v>0</v>
      </c>
      <c r="Y704" s="272">
        <f>Fe!G706</f>
        <v>0</v>
      </c>
      <c r="Z704" s="274">
        <f>M.O!H706</f>
        <v>0</v>
      </c>
      <c r="AA704" s="272" t="e">
        <f t="shared" si="78"/>
        <v>#DIV/0!</v>
      </c>
      <c r="AB704" s="272" t="e">
        <f t="shared" si="79"/>
        <v>#DIV/0!</v>
      </c>
      <c r="AC704" s="272" t="e">
        <f t="shared" si="80"/>
        <v>#DIV/0!</v>
      </c>
    </row>
    <row r="705" spans="1:29" x14ac:dyDescent="0.2">
      <c r="A705" s="106">
        <f>Cadastro!A709</f>
        <v>0</v>
      </c>
      <c r="B705" s="27">
        <f>Cadastro!E707</f>
        <v>0</v>
      </c>
      <c r="C705">
        <f>pH_água!C705</f>
        <v>0</v>
      </c>
      <c r="D705">
        <f>pH_KCl!B706</f>
        <v>0</v>
      </c>
      <c r="E705">
        <f>'pH CaCl2'!C705</f>
        <v>0</v>
      </c>
      <c r="F705" s="104">
        <f>P_Mehlich1!H690</f>
        <v>0</v>
      </c>
      <c r="G705" s="123">
        <f>P_resina!H710</f>
        <v>0</v>
      </c>
      <c r="H705" s="272">
        <f>K!G675</f>
        <v>0</v>
      </c>
      <c r="I705" s="125">
        <v>0</v>
      </c>
      <c r="J705" s="272">
        <f>'Ca2+'!G706</f>
        <v>0</v>
      </c>
      <c r="K705" s="272">
        <f>Mg²!G708</f>
        <v>0</v>
      </c>
      <c r="L705" s="279">
        <f>Al³!C707</f>
        <v>0</v>
      </c>
      <c r="M705" s="279">
        <f>'H + Al'!D707</f>
        <v>0</v>
      </c>
      <c r="N705" s="272">
        <f t="shared" si="73"/>
        <v>0</v>
      </c>
      <c r="O705" s="272">
        <f t="shared" si="74"/>
        <v>0</v>
      </c>
      <c r="P705" s="272">
        <f t="shared" si="75"/>
        <v>0</v>
      </c>
      <c r="Q705" s="293" t="e">
        <f t="shared" si="76"/>
        <v>#DIV/0!</v>
      </c>
      <c r="R705" s="293" t="e">
        <f t="shared" si="77"/>
        <v>#DIV/0!</v>
      </c>
      <c r="S705">
        <f>Prem!H707</f>
        <v>0</v>
      </c>
      <c r="T705" s="281">
        <f>S!H711</f>
        <v>0</v>
      </c>
      <c r="U705" s="274">
        <f>B!H706</f>
        <v>0</v>
      </c>
      <c r="V705" s="272">
        <f>Zn!G707</f>
        <v>0</v>
      </c>
      <c r="W705" s="272">
        <f>Cu!G707</f>
        <v>0</v>
      </c>
      <c r="X705" s="272">
        <f>Mn!G707</f>
        <v>0</v>
      </c>
      <c r="Y705" s="272">
        <f>Fe!G707</f>
        <v>0</v>
      </c>
      <c r="Z705" s="274">
        <f>M.O!H707</f>
        <v>0</v>
      </c>
      <c r="AA705" s="272" t="e">
        <f t="shared" si="78"/>
        <v>#DIV/0!</v>
      </c>
      <c r="AB705" s="272" t="e">
        <f t="shared" si="79"/>
        <v>#DIV/0!</v>
      </c>
      <c r="AC705" s="272" t="e">
        <f t="shared" si="80"/>
        <v>#DIV/0!</v>
      </c>
    </row>
    <row r="706" spans="1:29" x14ac:dyDescent="0.2">
      <c r="A706" s="106">
        <f>Cadastro!A710</f>
        <v>0</v>
      </c>
      <c r="B706" s="27">
        <f>Cadastro!E708</f>
        <v>0</v>
      </c>
      <c r="C706">
        <f>pH_água!C706</f>
        <v>0</v>
      </c>
      <c r="D706">
        <f>pH_KCl!B707</f>
        <v>0</v>
      </c>
      <c r="E706">
        <f>'pH CaCl2'!C706</f>
        <v>0</v>
      </c>
      <c r="F706" s="104">
        <f>P_Mehlich1!H691</f>
        <v>0</v>
      </c>
      <c r="G706" s="123">
        <f>P_resina!H711</f>
        <v>0</v>
      </c>
      <c r="H706" s="272">
        <f>K!G676</f>
        <v>0</v>
      </c>
      <c r="I706" s="125">
        <v>0</v>
      </c>
      <c r="J706" s="272">
        <f>'Ca2+'!G707</f>
        <v>0</v>
      </c>
      <c r="K706" s="272">
        <f>Mg²!G709</f>
        <v>0</v>
      </c>
      <c r="L706" s="279">
        <f>Al³!C708</f>
        <v>0</v>
      </c>
      <c r="M706" s="279">
        <f>'H + Al'!D708</f>
        <v>0</v>
      </c>
      <c r="N706" s="272">
        <f t="shared" si="73"/>
        <v>0</v>
      </c>
      <c r="O706" s="272">
        <f t="shared" si="74"/>
        <v>0</v>
      </c>
      <c r="P706" s="272">
        <f t="shared" si="75"/>
        <v>0</v>
      </c>
      <c r="Q706" s="293" t="e">
        <f t="shared" si="76"/>
        <v>#DIV/0!</v>
      </c>
      <c r="R706" s="293" t="e">
        <f t="shared" si="77"/>
        <v>#DIV/0!</v>
      </c>
      <c r="S706">
        <f>Prem!H708</f>
        <v>0</v>
      </c>
      <c r="T706" s="281">
        <f>S!H712</f>
        <v>0</v>
      </c>
      <c r="U706" s="274">
        <f>B!H707</f>
        <v>0</v>
      </c>
      <c r="V706" s="272">
        <f>Zn!G708</f>
        <v>0</v>
      </c>
      <c r="W706" s="272">
        <f>Cu!G708</f>
        <v>0</v>
      </c>
      <c r="X706" s="272">
        <f>Mn!G708</f>
        <v>0</v>
      </c>
      <c r="Y706" s="272">
        <f>Fe!G708</f>
        <v>0</v>
      </c>
      <c r="Z706" s="274">
        <f>M.O!H708</f>
        <v>0</v>
      </c>
      <c r="AA706" s="272" t="e">
        <f t="shared" ref="AA706:AA766" si="81">J706/K706</f>
        <v>#DIV/0!</v>
      </c>
      <c r="AB706" s="272" t="e">
        <f t="shared" ref="AB706:AB766" si="82">J706/(H706/390)</f>
        <v>#DIV/0!</v>
      </c>
      <c r="AC706" s="272" t="e">
        <f t="shared" ref="AC706:AC766" si="83">K706/(H706/390)</f>
        <v>#DIV/0!</v>
      </c>
    </row>
    <row r="707" spans="1:29" x14ac:dyDescent="0.2">
      <c r="A707" s="106">
        <f>Cadastro!A711</f>
        <v>0</v>
      </c>
      <c r="B707" s="27">
        <f>Cadastro!E709</f>
        <v>0</v>
      </c>
      <c r="C707">
        <f>pH_água!C707</f>
        <v>0</v>
      </c>
      <c r="D707">
        <f>pH_KCl!B708</f>
        <v>0</v>
      </c>
      <c r="E707">
        <f>'pH CaCl2'!C707</f>
        <v>0</v>
      </c>
      <c r="F707" s="104">
        <f>P_Mehlich1!H692</f>
        <v>0</v>
      </c>
      <c r="G707" s="123">
        <f>P_resina!H712</f>
        <v>0</v>
      </c>
      <c r="H707" s="272">
        <f>K!G677</f>
        <v>0</v>
      </c>
      <c r="I707" s="125">
        <v>0</v>
      </c>
      <c r="J707" s="272">
        <f>'Ca2+'!G708</f>
        <v>0</v>
      </c>
      <c r="K707" s="272">
        <f>Mg²!G710</f>
        <v>0</v>
      </c>
      <c r="L707" s="279">
        <f>Al³!C709</f>
        <v>0</v>
      </c>
      <c r="M707" s="279">
        <f>'H + Al'!D709</f>
        <v>0</v>
      </c>
      <c r="N707" s="272">
        <f t="shared" si="73"/>
        <v>0</v>
      </c>
      <c r="O707" s="272">
        <f t="shared" si="74"/>
        <v>0</v>
      </c>
      <c r="P707" s="272">
        <f t="shared" si="75"/>
        <v>0</v>
      </c>
      <c r="Q707" s="293" t="e">
        <f t="shared" si="76"/>
        <v>#DIV/0!</v>
      </c>
      <c r="R707" s="293" t="e">
        <f t="shared" si="77"/>
        <v>#DIV/0!</v>
      </c>
      <c r="S707">
        <f>Prem!H709</f>
        <v>0</v>
      </c>
      <c r="T707" s="281">
        <f>S!H713</f>
        <v>0</v>
      </c>
      <c r="U707" s="274">
        <f>B!H708</f>
        <v>0</v>
      </c>
      <c r="V707" s="272">
        <f>Zn!G709</f>
        <v>0</v>
      </c>
      <c r="W707" s="272">
        <f>Cu!G709</f>
        <v>0</v>
      </c>
      <c r="X707" s="272">
        <f>Mn!G709</f>
        <v>0</v>
      </c>
      <c r="Y707" s="272">
        <f>Fe!G709</f>
        <v>0</v>
      </c>
      <c r="Z707" s="274">
        <f>M.O!H709</f>
        <v>0</v>
      </c>
      <c r="AA707" s="272" t="e">
        <f t="shared" si="81"/>
        <v>#DIV/0!</v>
      </c>
      <c r="AB707" s="272" t="e">
        <f t="shared" si="82"/>
        <v>#DIV/0!</v>
      </c>
      <c r="AC707" s="272" t="e">
        <f t="shared" si="83"/>
        <v>#DIV/0!</v>
      </c>
    </row>
    <row r="708" spans="1:29" x14ac:dyDescent="0.2">
      <c r="A708" s="106">
        <f>Cadastro!A712</f>
        <v>0</v>
      </c>
      <c r="B708" s="27">
        <f>Cadastro!E710</f>
        <v>0</v>
      </c>
      <c r="C708">
        <f>pH_água!C708</f>
        <v>0</v>
      </c>
      <c r="D708">
        <f>pH_KCl!B709</f>
        <v>0</v>
      </c>
      <c r="E708">
        <f>'pH CaCl2'!C708</f>
        <v>0</v>
      </c>
      <c r="F708" s="104">
        <f>P_Mehlich1!H693</f>
        <v>0</v>
      </c>
      <c r="G708" s="123">
        <f>P_resina!H713</f>
        <v>0</v>
      </c>
      <c r="H708" s="272">
        <f>K!G678</f>
        <v>0</v>
      </c>
      <c r="I708" s="125">
        <v>0</v>
      </c>
      <c r="J708" s="272">
        <f>'Ca2+'!G709</f>
        <v>0</v>
      </c>
      <c r="K708" s="272">
        <f>Mg²!G711</f>
        <v>0</v>
      </c>
      <c r="L708" s="279">
        <f>Al³!C710</f>
        <v>0</v>
      </c>
      <c r="M708" s="279">
        <f>'H + Al'!D710</f>
        <v>0</v>
      </c>
      <c r="N708" s="272">
        <f t="shared" si="73"/>
        <v>0</v>
      </c>
      <c r="O708" s="272">
        <f t="shared" si="74"/>
        <v>0</v>
      </c>
      <c r="P708" s="272">
        <f t="shared" si="75"/>
        <v>0</v>
      </c>
      <c r="Q708" s="293" t="e">
        <f t="shared" si="76"/>
        <v>#DIV/0!</v>
      </c>
      <c r="R708" s="293" t="e">
        <f t="shared" si="77"/>
        <v>#DIV/0!</v>
      </c>
      <c r="S708">
        <f>Prem!H710</f>
        <v>0</v>
      </c>
      <c r="T708" s="281">
        <f>S!H714</f>
        <v>0</v>
      </c>
      <c r="U708" s="274">
        <f>B!H709</f>
        <v>0</v>
      </c>
      <c r="V708" s="272">
        <f>Zn!G710</f>
        <v>0</v>
      </c>
      <c r="W708" s="272">
        <f>Cu!G710</f>
        <v>0</v>
      </c>
      <c r="X708" s="272">
        <f>Mn!G710</f>
        <v>0</v>
      </c>
      <c r="Y708" s="272">
        <f>Fe!G710</f>
        <v>0</v>
      </c>
      <c r="Z708" s="274">
        <f>M.O!H710</f>
        <v>0</v>
      </c>
      <c r="AA708" s="272" t="e">
        <f t="shared" si="81"/>
        <v>#DIV/0!</v>
      </c>
      <c r="AB708" s="272" t="e">
        <f t="shared" si="82"/>
        <v>#DIV/0!</v>
      </c>
      <c r="AC708" s="272" t="e">
        <f t="shared" si="83"/>
        <v>#DIV/0!</v>
      </c>
    </row>
    <row r="709" spans="1:29" x14ac:dyDescent="0.2">
      <c r="A709" s="106">
        <f>Cadastro!A713</f>
        <v>0</v>
      </c>
      <c r="B709" s="27">
        <f>Cadastro!E711</f>
        <v>0</v>
      </c>
      <c r="C709">
        <f>pH_água!C709</f>
        <v>0</v>
      </c>
      <c r="D709">
        <f>pH_KCl!B710</f>
        <v>0</v>
      </c>
      <c r="E709">
        <f>'pH CaCl2'!C709</f>
        <v>0</v>
      </c>
      <c r="F709" s="104">
        <f>P_Mehlich1!H694</f>
        <v>0</v>
      </c>
      <c r="G709" s="123">
        <f>P_resina!H714</f>
        <v>0</v>
      </c>
      <c r="H709" s="272">
        <f>K!G679</f>
        <v>0</v>
      </c>
      <c r="I709" s="125">
        <v>0</v>
      </c>
      <c r="J709" s="272">
        <f>'Ca2+'!G710</f>
        <v>0</v>
      </c>
      <c r="K709" s="272">
        <f>Mg²!G712</f>
        <v>0</v>
      </c>
      <c r="L709" s="279">
        <f>Al³!C711</f>
        <v>0</v>
      </c>
      <c r="M709" s="279">
        <f>'H + Al'!D711</f>
        <v>0</v>
      </c>
      <c r="N709" s="272">
        <f t="shared" si="73"/>
        <v>0</v>
      </c>
      <c r="O709" s="272">
        <f t="shared" si="74"/>
        <v>0</v>
      </c>
      <c r="P709" s="272">
        <f t="shared" si="75"/>
        <v>0</v>
      </c>
      <c r="Q709" s="293" t="e">
        <f t="shared" si="76"/>
        <v>#DIV/0!</v>
      </c>
      <c r="R709" s="293" t="e">
        <f t="shared" si="77"/>
        <v>#DIV/0!</v>
      </c>
      <c r="S709">
        <f>Prem!H711</f>
        <v>0</v>
      </c>
      <c r="T709" s="281">
        <f>S!H715</f>
        <v>0</v>
      </c>
      <c r="U709" s="274">
        <f>B!H710</f>
        <v>0</v>
      </c>
      <c r="V709" s="272">
        <f>Zn!G711</f>
        <v>0</v>
      </c>
      <c r="W709" s="272">
        <f>Cu!G711</f>
        <v>0</v>
      </c>
      <c r="X709" s="272">
        <f>Mn!G711</f>
        <v>0</v>
      </c>
      <c r="Y709" s="272">
        <f>Fe!G711</f>
        <v>0</v>
      </c>
      <c r="Z709" s="274">
        <f>M.O!H711</f>
        <v>0</v>
      </c>
      <c r="AA709" s="272" t="e">
        <f t="shared" si="81"/>
        <v>#DIV/0!</v>
      </c>
      <c r="AB709" s="272" t="e">
        <f t="shared" si="82"/>
        <v>#DIV/0!</v>
      </c>
      <c r="AC709" s="272" t="e">
        <f t="shared" si="83"/>
        <v>#DIV/0!</v>
      </c>
    </row>
    <row r="710" spans="1:29" x14ac:dyDescent="0.2">
      <c r="A710" s="106">
        <f>Cadastro!A714</f>
        <v>0</v>
      </c>
      <c r="B710" s="27">
        <f>Cadastro!E712</f>
        <v>0</v>
      </c>
      <c r="C710">
        <f>pH_água!C710</f>
        <v>0</v>
      </c>
      <c r="D710">
        <f>pH_KCl!B711</f>
        <v>0</v>
      </c>
      <c r="E710">
        <f>'pH CaCl2'!C710</f>
        <v>0</v>
      </c>
      <c r="F710" s="104">
        <f>P_Mehlich1!H695</f>
        <v>0</v>
      </c>
      <c r="G710" s="123">
        <f>P_resina!H715</f>
        <v>0</v>
      </c>
      <c r="H710" s="272">
        <f>K!G680</f>
        <v>0</v>
      </c>
      <c r="I710" s="125">
        <v>0</v>
      </c>
      <c r="J710" s="272">
        <f>'Ca2+'!G711</f>
        <v>0</v>
      </c>
      <c r="K710" s="272">
        <f>Mg²!G713</f>
        <v>0</v>
      </c>
      <c r="L710" s="279">
        <f>Al³!C712</f>
        <v>0</v>
      </c>
      <c r="M710" s="279">
        <f>'H + Al'!D712</f>
        <v>0</v>
      </c>
      <c r="N710" s="272">
        <f t="shared" si="73"/>
        <v>0</v>
      </c>
      <c r="O710" s="272">
        <f t="shared" si="74"/>
        <v>0</v>
      </c>
      <c r="P710" s="272">
        <f t="shared" si="75"/>
        <v>0</v>
      </c>
      <c r="Q710" s="293" t="e">
        <f t="shared" si="76"/>
        <v>#DIV/0!</v>
      </c>
      <c r="R710" s="293" t="e">
        <f t="shared" si="77"/>
        <v>#DIV/0!</v>
      </c>
      <c r="S710">
        <f>Prem!H712</f>
        <v>0</v>
      </c>
      <c r="T710" s="281">
        <f>S!H716</f>
        <v>0</v>
      </c>
      <c r="U710" s="274">
        <f>B!H711</f>
        <v>0</v>
      </c>
      <c r="V710" s="272">
        <f>Zn!G712</f>
        <v>0</v>
      </c>
      <c r="W710" s="272">
        <f>Cu!G712</f>
        <v>0</v>
      </c>
      <c r="X710" s="272">
        <f>Mn!G712</f>
        <v>0</v>
      </c>
      <c r="Y710" s="272">
        <f>Fe!G712</f>
        <v>0</v>
      </c>
      <c r="Z710" s="274">
        <f>M.O!H712</f>
        <v>0</v>
      </c>
      <c r="AA710" s="272" t="e">
        <f t="shared" si="81"/>
        <v>#DIV/0!</v>
      </c>
      <c r="AB710" s="272" t="e">
        <f t="shared" si="82"/>
        <v>#DIV/0!</v>
      </c>
      <c r="AC710" s="272" t="e">
        <f t="shared" si="83"/>
        <v>#DIV/0!</v>
      </c>
    </row>
    <row r="711" spans="1:29" x14ac:dyDescent="0.2">
      <c r="A711" s="106">
        <f>Cadastro!A715</f>
        <v>0</v>
      </c>
      <c r="B711" s="27">
        <f>Cadastro!E713</f>
        <v>0</v>
      </c>
      <c r="C711">
        <f>pH_água!C711</f>
        <v>0</v>
      </c>
      <c r="D711">
        <f>pH_KCl!B712</f>
        <v>0</v>
      </c>
      <c r="E711">
        <f>'pH CaCl2'!C711</f>
        <v>0</v>
      </c>
      <c r="F711" s="104">
        <f>P_Mehlich1!H696</f>
        <v>0</v>
      </c>
      <c r="G711" s="123">
        <f>P_resina!H716</f>
        <v>0</v>
      </c>
      <c r="H711" s="272">
        <f>K!G681</f>
        <v>0</v>
      </c>
      <c r="I711" s="125">
        <v>0</v>
      </c>
      <c r="J711" s="272">
        <f>'Ca2+'!G712</f>
        <v>0</v>
      </c>
      <c r="K711" s="272">
        <f>Mg²!G714</f>
        <v>0</v>
      </c>
      <c r="L711" s="279">
        <f>Al³!C713</f>
        <v>0</v>
      </c>
      <c r="M711" s="279">
        <f>'H + Al'!D713</f>
        <v>0</v>
      </c>
      <c r="N711" s="272">
        <f t="shared" si="73"/>
        <v>0</v>
      </c>
      <c r="O711" s="272">
        <f t="shared" si="74"/>
        <v>0</v>
      </c>
      <c r="P711" s="272">
        <f t="shared" si="75"/>
        <v>0</v>
      </c>
      <c r="Q711" s="293" t="e">
        <f t="shared" si="76"/>
        <v>#DIV/0!</v>
      </c>
      <c r="R711" s="293" t="e">
        <f t="shared" si="77"/>
        <v>#DIV/0!</v>
      </c>
      <c r="S711">
        <f>Prem!H713</f>
        <v>0</v>
      </c>
      <c r="T711" s="281">
        <f>S!H717</f>
        <v>0</v>
      </c>
      <c r="U711" s="274">
        <f>B!H712</f>
        <v>0</v>
      </c>
      <c r="V711" s="272">
        <f>Zn!G713</f>
        <v>0</v>
      </c>
      <c r="W711" s="272">
        <f>Cu!G713</f>
        <v>0</v>
      </c>
      <c r="X711" s="272">
        <f>Mn!G713</f>
        <v>0</v>
      </c>
      <c r="Y711" s="272">
        <f>Fe!G713</f>
        <v>0</v>
      </c>
      <c r="Z711" s="274">
        <f>M.O!H713</f>
        <v>0</v>
      </c>
      <c r="AA711" s="272" t="e">
        <f t="shared" si="81"/>
        <v>#DIV/0!</v>
      </c>
      <c r="AB711" s="272" t="e">
        <f t="shared" si="82"/>
        <v>#DIV/0!</v>
      </c>
      <c r="AC711" s="272" t="e">
        <f t="shared" si="83"/>
        <v>#DIV/0!</v>
      </c>
    </row>
    <row r="712" spans="1:29" x14ac:dyDescent="0.2">
      <c r="A712" s="106">
        <f>Cadastro!A716</f>
        <v>0</v>
      </c>
      <c r="B712" s="27">
        <f>Cadastro!E714</f>
        <v>0</v>
      </c>
      <c r="C712">
        <f>pH_água!C712</f>
        <v>0</v>
      </c>
      <c r="D712">
        <f>pH_KCl!B713</f>
        <v>0</v>
      </c>
      <c r="E712">
        <f>'pH CaCl2'!C712</f>
        <v>0</v>
      </c>
      <c r="F712" s="104">
        <f>P_Mehlich1!H697</f>
        <v>0</v>
      </c>
      <c r="G712" s="123">
        <f>P_resina!H717</f>
        <v>0</v>
      </c>
      <c r="H712" s="272">
        <f>K!G682</f>
        <v>0</v>
      </c>
      <c r="I712" s="125">
        <v>0</v>
      </c>
      <c r="J712" s="272">
        <f>'Ca2+'!G713</f>
        <v>0</v>
      </c>
      <c r="K712" s="272">
        <f>Mg²!G715</f>
        <v>0</v>
      </c>
      <c r="L712" s="279">
        <f>Al³!C714</f>
        <v>0</v>
      </c>
      <c r="M712" s="279">
        <f>'H + Al'!D714</f>
        <v>0</v>
      </c>
      <c r="N712" s="272">
        <f t="shared" si="73"/>
        <v>0</v>
      </c>
      <c r="O712" s="272">
        <f t="shared" si="74"/>
        <v>0</v>
      </c>
      <c r="P712" s="272">
        <f t="shared" si="75"/>
        <v>0</v>
      </c>
      <c r="Q712" s="293" t="e">
        <f t="shared" si="76"/>
        <v>#DIV/0!</v>
      </c>
      <c r="R712" s="293" t="e">
        <f t="shared" si="77"/>
        <v>#DIV/0!</v>
      </c>
      <c r="S712">
        <f>Prem!H714</f>
        <v>0</v>
      </c>
      <c r="T712" s="281">
        <f>S!H718</f>
        <v>0</v>
      </c>
      <c r="U712" s="274">
        <f>B!H713</f>
        <v>0</v>
      </c>
      <c r="V712" s="272">
        <f>Zn!G714</f>
        <v>0</v>
      </c>
      <c r="W712" s="272">
        <f>Cu!G714</f>
        <v>0</v>
      </c>
      <c r="X712" s="272">
        <f>Mn!G714</f>
        <v>0</v>
      </c>
      <c r="Y712" s="272">
        <f>Fe!G714</f>
        <v>0</v>
      </c>
      <c r="Z712" s="274">
        <f>M.O!H714</f>
        <v>0</v>
      </c>
      <c r="AA712" s="272" t="e">
        <f t="shared" si="81"/>
        <v>#DIV/0!</v>
      </c>
      <c r="AB712" s="272" t="e">
        <f t="shared" si="82"/>
        <v>#DIV/0!</v>
      </c>
      <c r="AC712" s="272" t="e">
        <f t="shared" si="83"/>
        <v>#DIV/0!</v>
      </c>
    </row>
    <row r="713" spans="1:29" x14ac:dyDescent="0.2">
      <c r="A713" s="106">
        <f>Cadastro!A717</f>
        <v>0</v>
      </c>
      <c r="B713" s="27">
        <f>Cadastro!E715</f>
        <v>0</v>
      </c>
      <c r="C713">
        <f>pH_água!C713</f>
        <v>0</v>
      </c>
      <c r="D713">
        <f>pH_KCl!B714</f>
        <v>0</v>
      </c>
      <c r="E713">
        <f>'pH CaCl2'!C713</f>
        <v>0</v>
      </c>
      <c r="F713" s="104">
        <f>P_Mehlich1!H698</f>
        <v>0</v>
      </c>
      <c r="G713" s="123">
        <f>P_resina!H718</f>
        <v>0</v>
      </c>
      <c r="H713" s="272">
        <f>K!G683</f>
        <v>0</v>
      </c>
      <c r="I713" s="125">
        <v>0</v>
      </c>
      <c r="J713" s="272">
        <f>'Ca2+'!G714</f>
        <v>0</v>
      </c>
      <c r="K713" s="272">
        <f>Mg²!G716</f>
        <v>0</v>
      </c>
      <c r="L713" s="279">
        <f>Al³!C715</f>
        <v>0</v>
      </c>
      <c r="M713" s="279">
        <f>'H + Al'!D715</f>
        <v>0</v>
      </c>
      <c r="N713" s="272">
        <f t="shared" si="73"/>
        <v>0</v>
      </c>
      <c r="O713" s="272">
        <f t="shared" si="74"/>
        <v>0</v>
      </c>
      <c r="P713" s="272">
        <f t="shared" si="75"/>
        <v>0</v>
      </c>
      <c r="Q713" s="293" t="e">
        <f t="shared" si="76"/>
        <v>#DIV/0!</v>
      </c>
      <c r="R713" s="293" t="e">
        <f t="shared" si="77"/>
        <v>#DIV/0!</v>
      </c>
      <c r="S713">
        <f>Prem!H715</f>
        <v>0</v>
      </c>
      <c r="T713" s="281">
        <f>S!H719</f>
        <v>0</v>
      </c>
      <c r="U713" s="274">
        <f>B!H714</f>
        <v>0</v>
      </c>
      <c r="V713" s="272">
        <f>Zn!G715</f>
        <v>0</v>
      </c>
      <c r="W713" s="272">
        <f>Cu!G715</f>
        <v>0</v>
      </c>
      <c r="X713" s="272">
        <f>Mn!G715</f>
        <v>0</v>
      </c>
      <c r="Y713" s="272">
        <f>Fe!G715</f>
        <v>0</v>
      </c>
      <c r="Z713" s="274">
        <f>M.O!H715</f>
        <v>0</v>
      </c>
      <c r="AA713" s="272" t="e">
        <f t="shared" si="81"/>
        <v>#DIV/0!</v>
      </c>
      <c r="AB713" s="272" t="e">
        <f t="shared" si="82"/>
        <v>#DIV/0!</v>
      </c>
      <c r="AC713" s="272" t="e">
        <f t="shared" si="83"/>
        <v>#DIV/0!</v>
      </c>
    </row>
    <row r="714" spans="1:29" x14ac:dyDescent="0.2">
      <c r="A714" s="106">
        <f>Cadastro!A718</f>
        <v>0</v>
      </c>
      <c r="B714" s="27">
        <f>Cadastro!E716</f>
        <v>0</v>
      </c>
      <c r="C714">
        <f>pH_água!C714</f>
        <v>0</v>
      </c>
      <c r="D714">
        <f>pH_KCl!B715</f>
        <v>0</v>
      </c>
      <c r="E714">
        <f>'pH CaCl2'!C714</f>
        <v>0</v>
      </c>
      <c r="F714" s="104">
        <f>P_Mehlich1!H699</f>
        <v>0</v>
      </c>
      <c r="G714" s="123">
        <f>P_resina!H719</f>
        <v>0</v>
      </c>
      <c r="H714" s="272">
        <f>K!G684</f>
        <v>0</v>
      </c>
      <c r="I714" s="125">
        <v>0</v>
      </c>
      <c r="J714" s="272">
        <f>'Ca2+'!G715</f>
        <v>0</v>
      </c>
      <c r="K714" s="272">
        <f>Mg²!G717</f>
        <v>0</v>
      </c>
      <c r="L714" s="279">
        <f>Al³!C716</f>
        <v>0</v>
      </c>
      <c r="M714" s="279">
        <f>'H + Al'!D716</f>
        <v>0</v>
      </c>
      <c r="N714" s="272">
        <f t="shared" si="73"/>
        <v>0</v>
      </c>
      <c r="O714" s="272">
        <f t="shared" si="74"/>
        <v>0</v>
      </c>
      <c r="P714" s="272">
        <f t="shared" si="75"/>
        <v>0</v>
      </c>
      <c r="Q714" s="293" t="e">
        <f t="shared" si="76"/>
        <v>#DIV/0!</v>
      </c>
      <c r="R714" s="293" t="e">
        <f t="shared" si="77"/>
        <v>#DIV/0!</v>
      </c>
      <c r="S714">
        <f>Prem!H716</f>
        <v>0</v>
      </c>
      <c r="T714" s="281">
        <f>S!H720</f>
        <v>0</v>
      </c>
      <c r="U714" s="274">
        <f>B!H715</f>
        <v>0</v>
      </c>
      <c r="V714" s="272">
        <f>Zn!G716</f>
        <v>0</v>
      </c>
      <c r="W714" s="272">
        <f>Cu!G716</f>
        <v>0</v>
      </c>
      <c r="X714" s="272">
        <f>Mn!G716</f>
        <v>0</v>
      </c>
      <c r="Y714" s="272">
        <f>Fe!G716</f>
        <v>0</v>
      </c>
      <c r="Z714" s="274">
        <f>M.O!H716</f>
        <v>0</v>
      </c>
      <c r="AA714" s="272" t="e">
        <f t="shared" si="81"/>
        <v>#DIV/0!</v>
      </c>
      <c r="AB714" s="272" t="e">
        <f t="shared" si="82"/>
        <v>#DIV/0!</v>
      </c>
      <c r="AC714" s="272" t="e">
        <f t="shared" si="83"/>
        <v>#DIV/0!</v>
      </c>
    </row>
    <row r="715" spans="1:29" x14ac:dyDescent="0.2">
      <c r="A715" s="106">
        <f>Cadastro!A719</f>
        <v>0</v>
      </c>
      <c r="B715" s="27">
        <f>Cadastro!E717</f>
        <v>0</v>
      </c>
      <c r="C715">
        <f>pH_água!C715</f>
        <v>0</v>
      </c>
      <c r="D715">
        <f>pH_KCl!B716</f>
        <v>0</v>
      </c>
      <c r="E715">
        <f>'pH CaCl2'!C715</f>
        <v>0</v>
      </c>
      <c r="F715" s="104">
        <f>P_Mehlich1!H700</f>
        <v>0</v>
      </c>
      <c r="G715" s="123">
        <f>P_resina!H720</f>
        <v>0</v>
      </c>
      <c r="H715" s="272">
        <f>K!G685</f>
        <v>0</v>
      </c>
      <c r="I715" s="125">
        <v>0</v>
      </c>
      <c r="J715" s="272">
        <f>'Ca2+'!G716</f>
        <v>0</v>
      </c>
      <c r="K715" s="272">
        <f>Mg²!G718</f>
        <v>0</v>
      </c>
      <c r="L715" s="279">
        <f>Al³!C717</f>
        <v>0</v>
      </c>
      <c r="M715" s="279">
        <f>'H + Al'!D717</f>
        <v>0</v>
      </c>
      <c r="N715" s="272">
        <f t="shared" si="73"/>
        <v>0</v>
      </c>
      <c r="O715" s="272">
        <f t="shared" si="74"/>
        <v>0</v>
      </c>
      <c r="P715" s="272">
        <f t="shared" si="75"/>
        <v>0</v>
      </c>
      <c r="Q715" s="293" t="e">
        <f t="shared" si="76"/>
        <v>#DIV/0!</v>
      </c>
      <c r="R715" s="293" t="e">
        <f t="shared" si="77"/>
        <v>#DIV/0!</v>
      </c>
      <c r="S715">
        <f>Prem!H717</f>
        <v>0</v>
      </c>
      <c r="T715" s="281">
        <f>S!H721</f>
        <v>0</v>
      </c>
      <c r="U715" s="274">
        <f>B!H716</f>
        <v>0</v>
      </c>
      <c r="V715" s="272">
        <f>Zn!G717</f>
        <v>0</v>
      </c>
      <c r="W715" s="272">
        <f>Cu!G717</f>
        <v>0</v>
      </c>
      <c r="X715" s="272">
        <f>Mn!G717</f>
        <v>0</v>
      </c>
      <c r="Y715" s="272">
        <f>Fe!G717</f>
        <v>0</v>
      </c>
      <c r="Z715" s="274">
        <f>M.O!H717</f>
        <v>0</v>
      </c>
      <c r="AA715" s="272" t="e">
        <f t="shared" si="81"/>
        <v>#DIV/0!</v>
      </c>
      <c r="AB715" s="272" t="e">
        <f t="shared" si="82"/>
        <v>#DIV/0!</v>
      </c>
      <c r="AC715" s="272" t="e">
        <f t="shared" si="83"/>
        <v>#DIV/0!</v>
      </c>
    </row>
    <row r="716" spans="1:29" x14ac:dyDescent="0.2">
      <c r="A716" s="106">
        <f>Cadastro!A720</f>
        <v>0</v>
      </c>
      <c r="B716" s="27">
        <f>Cadastro!E718</f>
        <v>0</v>
      </c>
      <c r="C716">
        <f>pH_água!C716</f>
        <v>0</v>
      </c>
      <c r="D716">
        <f>pH_KCl!B717</f>
        <v>0</v>
      </c>
      <c r="E716">
        <f>'pH CaCl2'!C716</f>
        <v>0</v>
      </c>
      <c r="F716" s="104">
        <f>P_Mehlich1!H701</f>
        <v>0</v>
      </c>
      <c r="G716" s="123">
        <f>P_resina!H721</f>
        <v>0</v>
      </c>
      <c r="H716" s="272">
        <f>K!G686</f>
        <v>0</v>
      </c>
      <c r="I716" s="125">
        <v>0</v>
      </c>
      <c r="J716" s="272">
        <f>'Ca2+'!G717</f>
        <v>0</v>
      </c>
      <c r="K716" s="272">
        <f>Mg²!G719</f>
        <v>0</v>
      </c>
      <c r="L716" s="279">
        <f>Al³!C718</f>
        <v>0</v>
      </c>
      <c r="M716" s="279">
        <f>'H + Al'!D718</f>
        <v>0</v>
      </c>
      <c r="N716" s="272">
        <f t="shared" si="73"/>
        <v>0</v>
      </c>
      <c r="O716" s="272">
        <f t="shared" si="74"/>
        <v>0</v>
      </c>
      <c r="P716" s="272">
        <f t="shared" si="75"/>
        <v>0</v>
      </c>
      <c r="Q716" s="293" t="e">
        <f t="shared" si="76"/>
        <v>#DIV/0!</v>
      </c>
      <c r="R716" s="293" t="e">
        <f t="shared" si="77"/>
        <v>#DIV/0!</v>
      </c>
      <c r="S716">
        <f>Prem!H718</f>
        <v>0</v>
      </c>
      <c r="T716" s="281">
        <f>S!H722</f>
        <v>0</v>
      </c>
      <c r="U716" s="274">
        <f>B!H717</f>
        <v>0</v>
      </c>
      <c r="V716" s="272">
        <f>Zn!G718</f>
        <v>0</v>
      </c>
      <c r="W716" s="272">
        <f>Cu!G718</f>
        <v>0</v>
      </c>
      <c r="X716" s="272">
        <f>Mn!G718</f>
        <v>0</v>
      </c>
      <c r="Y716" s="272">
        <f>Fe!G718</f>
        <v>0</v>
      </c>
      <c r="Z716" s="274">
        <f>M.O!H718</f>
        <v>0</v>
      </c>
      <c r="AA716" s="272" t="e">
        <f t="shared" si="81"/>
        <v>#DIV/0!</v>
      </c>
      <c r="AB716" s="272" t="e">
        <f t="shared" si="82"/>
        <v>#DIV/0!</v>
      </c>
      <c r="AC716" s="272" t="e">
        <f t="shared" si="83"/>
        <v>#DIV/0!</v>
      </c>
    </row>
    <row r="717" spans="1:29" x14ac:dyDescent="0.2">
      <c r="A717" s="106">
        <f>Cadastro!A721</f>
        <v>0</v>
      </c>
      <c r="B717" s="27">
        <f>Cadastro!E719</f>
        <v>0</v>
      </c>
      <c r="C717">
        <f>pH_água!C717</f>
        <v>0</v>
      </c>
      <c r="D717">
        <f>pH_KCl!B718</f>
        <v>0</v>
      </c>
      <c r="E717">
        <f>'pH CaCl2'!C717</f>
        <v>0</v>
      </c>
      <c r="F717" s="104">
        <f>P_Mehlich1!H702</f>
        <v>0</v>
      </c>
      <c r="G717" s="123">
        <f>P_resina!H722</f>
        <v>0</v>
      </c>
      <c r="H717" s="272">
        <f>K!G687</f>
        <v>0</v>
      </c>
      <c r="I717" s="125">
        <v>0</v>
      </c>
      <c r="J717" s="272">
        <f>'Ca2+'!G718</f>
        <v>0</v>
      </c>
      <c r="K717" s="272">
        <f>Mg²!G720</f>
        <v>0</v>
      </c>
      <c r="L717" s="279">
        <f>Al³!C719</f>
        <v>0</v>
      </c>
      <c r="M717" s="279">
        <f>'H + Al'!D719</f>
        <v>0</v>
      </c>
      <c r="N717" s="272">
        <f t="shared" si="73"/>
        <v>0</v>
      </c>
      <c r="O717" s="272">
        <f t="shared" si="74"/>
        <v>0</v>
      </c>
      <c r="P717" s="272">
        <f t="shared" si="75"/>
        <v>0</v>
      </c>
      <c r="Q717" s="293" t="e">
        <f t="shared" si="76"/>
        <v>#DIV/0!</v>
      </c>
      <c r="R717" s="293" t="e">
        <f t="shared" si="77"/>
        <v>#DIV/0!</v>
      </c>
      <c r="S717">
        <f>Prem!H719</f>
        <v>0</v>
      </c>
      <c r="T717" s="281">
        <f>S!H723</f>
        <v>0</v>
      </c>
      <c r="U717" s="274">
        <f>B!H718</f>
        <v>0</v>
      </c>
      <c r="V717" s="272">
        <f>Zn!G719</f>
        <v>0</v>
      </c>
      <c r="W717" s="272">
        <f>Cu!G719</f>
        <v>0</v>
      </c>
      <c r="X717" s="272">
        <f>Mn!G719</f>
        <v>0</v>
      </c>
      <c r="Y717" s="272">
        <f>Fe!G719</f>
        <v>0</v>
      </c>
      <c r="Z717" s="274">
        <f>M.O!H719</f>
        <v>0</v>
      </c>
      <c r="AA717" s="272" t="e">
        <f t="shared" si="81"/>
        <v>#DIV/0!</v>
      </c>
      <c r="AB717" s="272" t="e">
        <f t="shared" si="82"/>
        <v>#DIV/0!</v>
      </c>
      <c r="AC717" s="272" t="e">
        <f t="shared" si="83"/>
        <v>#DIV/0!</v>
      </c>
    </row>
    <row r="718" spans="1:29" x14ac:dyDescent="0.2">
      <c r="A718" s="106">
        <f>Cadastro!A722</f>
        <v>0</v>
      </c>
      <c r="B718" s="27">
        <f>Cadastro!E720</f>
        <v>0</v>
      </c>
      <c r="C718">
        <f>pH_água!C718</f>
        <v>0</v>
      </c>
      <c r="D718">
        <f>pH_KCl!B719</f>
        <v>0</v>
      </c>
      <c r="E718">
        <f>'pH CaCl2'!C718</f>
        <v>0</v>
      </c>
      <c r="F718" s="104">
        <f>P_Mehlich1!H703</f>
        <v>0</v>
      </c>
      <c r="G718" s="123">
        <f>P_resina!H723</f>
        <v>0</v>
      </c>
      <c r="H718" s="272">
        <f>K!G688</f>
        <v>0</v>
      </c>
      <c r="I718" s="125">
        <v>0</v>
      </c>
      <c r="J718" s="272">
        <f>'Ca2+'!G719</f>
        <v>0</v>
      </c>
      <c r="K718" s="272">
        <f>Mg²!G721</f>
        <v>0</v>
      </c>
      <c r="L718" s="279">
        <f>Al³!C720</f>
        <v>0</v>
      </c>
      <c r="M718" s="279">
        <f>'H + Al'!D720</f>
        <v>0</v>
      </c>
      <c r="N718" s="272">
        <f t="shared" si="73"/>
        <v>0</v>
      </c>
      <c r="O718" s="272">
        <f t="shared" si="74"/>
        <v>0</v>
      </c>
      <c r="P718" s="272">
        <f t="shared" si="75"/>
        <v>0</v>
      </c>
      <c r="Q718" s="293" t="e">
        <f t="shared" si="76"/>
        <v>#DIV/0!</v>
      </c>
      <c r="R718" s="293" t="e">
        <f t="shared" si="77"/>
        <v>#DIV/0!</v>
      </c>
      <c r="S718">
        <f>Prem!H720</f>
        <v>0</v>
      </c>
      <c r="T718" s="281">
        <f>S!H724</f>
        <v>0</v>
      </c>
      <c r="U718" s="274">
        <f>B!H719</f>
        <v>0</v>
      </c>
      <c r="V718" s="272">
        <f>Zn!G720</f>
        <v>0</v>
      </c>
      <c r="W718" s="272">
        <f>Cu!G720</f>
        <v>0</v>
      </c>
      <c r="X718" s="272">
        <f>Mn!G720</f>
        <v>0</v>
      </c>
      <c r="Y718" s="272">
        <f>Fe!G720</f>
        <v>0</v>
      </c>
      <c r="Z718" s="274">
        <f>M.O!H720</f>
        <v>0</v>
      </c>
      <c r="AA718" s="272" t="e">
        <f t="shared" si="81"/>
        <v>#DIV/0!</v>
      </c>
      <c r="AB718" s="272" t="e">
        <f t="shared" si="82"/>
        <v>#DIV/0!</v>
      </c>
      <c r="AC718" s="272" t="e">
        <f t="shared" si="83"/>
        <v>#DIV/0!</v>
      </c>
    </row>
    <row r="719" spans="1:29" x14ac:dyDescent="0.2">
      <c r="A719" s="106">
        <f>Cadastro!A723</f>
        <v>0</v>
      </c>
      <c r="B719" s="27">
        <f>Cadastro!E721</f>
        <v>0</v>
      </c>
      <c r="C719">
        <f>pH_água!C719</f>
        <v>0</v>
      </c>
      <c r="D719">
        <f>pH_KCl!B720</f>
        <v>0</v>
      </c>
      <c r="E719">
        <f>'pH CaCl2'!C719</f>
        <v>0</v>
      </c>
      <c r="F719" s="104">
        <f>P_Mehlich1!H704</f>
        <v>0</v>
      </c>
      <c r="G719" s="123">
        <f>P_resina!H724</f>
        <v>0</v>
      </c>
      <c r="H719" s="272">
        <f>K!G689</f>
        <v>0</v>
      </c>
      <c r="I719" s="125">
        <v>0</v>
      </c>
      <c r="J719" s="272">
        <f>'Ca2+'!G720</f>
        <v>0</v>
      </c>
      <c r="K719" s="272">
        <f>Mg²!G722</f>
        <v>0</v>
      </c>
      <c r="L719" s="279">
        <f>Al³!C721</f>
        <v>0</v>
      </c>
      <c r="M719" s="279">
        <f>'H + Al'!D721</f>
        <v>0</v>
      </c>
      <c r="N719" s="272">
        <f t="shared" si="73"/>
        <v>0</v>
      </c>
      <c r="O719" s="272">
        <f t="shared" si="74"/>
        <v>0</v>
      </c>
      <c r="P719" s="272">
        <f t="shared" si="75"/>
        <v>0</v>
      </c>
      <c r="Q719" s="293" t="e">
        <f t="shared" si="76"/>
        <v>#DIV/0!</v>
      </c>
      <c r="R719" s="293" t="e">
        <f t="shared" si="77"/>
        <v>#DIV/0!</v>
      </c>
      <c r="S719">
        <f>Prem!H721</f>
        <v>0</v>
      </c>
      <c r="T719" s="281">
        <f>S!H725</f>
        <v>0</v>
      </c>
      <c r="U719" s="274">
        <f>B!H720</f>
        <v>0</v>
      </c>
      <c r="V719" s="272">
        <f>Zn!G721</f>
        <v>0</v>
      </c>
      <c r="W719" s="272">
        <f>Cu!G721</f>
        <v>0</v>
      </c>
      <c r="X719" s="272">
        <f>Mn!G721</f>
        <v>0</v>
      </c>
      <c r="Y719" s="272">
        <f>Fe!G721</f>
        <v>0</v>
      </c>
      <c r="Z719" s="274">
        <f>M.O!H721</f>
        <v>0</v>
      </c>
      <c r="AA719" s="272" t="e">
        <f t="shared" si="81"/>
        <v>#DIV/0!</v>
      </c>
      <c r="AB719" s="272" t="e">
        <f t="shared" si="82"/>
        <v>#DIV/0!</v>
      </c>
      <c r="AC719" s="272" t="e">
        <f t="shared" si="83"/>
        <v>#DIV/0!</v>
      </c>
    </row>
    <row r="720" spans="1:29" x14ac:dyDescent="0.2">
      <c r="A720" s="106">
        <f>Cadastro!A724</f>
        <v>0</v>
      </c>
      <c r="B720" s="27">
        <f>Cadastro!E722</f>
        <v>0</v>
      </c>
      <c r="C720">
        <f>pH_água!C720</f>
        <v>0</v>
      </c>
      <c r="D720">
        <f>pH_KCl!B721</f>
        <v>0</v>
      </c>
      <c r="E720">
        <f>'pH CaCl2'!C720</f>
        <v>0</v>
      </c>
      <c r="F720" s="104">
        <f>P_Mehlich1!H705</f>
        <v>0</v>
      </c>
      <c r="G720" s="123">
        <f>P_resina!H725</f>
        <v>0</v>
      </c>
      <c r="H720" s="272">
        <f>K!G690</f>
        <v>0</v>
      </c>
      <c r="I720" s="125">
        <v>0</v>
      </c>
      <c r="J720" s="272">
        <f>'Ca2+'!G721</f>
        <v>0</v>
      </c>
      <c r="K720" s="272">
        <f>Mg²!G723</f>
        <v>0</v>
      </c>
      <c r="L720" s="279">
        <f>Al³!C722</f>
        <v>0</v>
      </c>
      <c r="M720" s="279">
        <f>'H + Al'!D722</f>
        <v>0</v>
      </c>
      <c r="N720" s="272">
        <f t="shared" si="73"/>
        <v>0</v>
      </c>
      <c r="O720" s="272">
        <f t="shared" si="74"/>
        <v>0</v>
      </c>
      <c r="P720" s="272">
        <f t="shared" si="75"/>
        <v>0</v>
      </c>
      <c r="Q720" s="293" t="e">
        <f t="shared" si="76"/>
        <v>#DIV/0!</v>
      </c>
      <c r="R720" s="293" t="e">
        <f t="shared" si="77"/>
        <v>#DIV/0!</v>
      </c>
      <c r="S720">
        <f>Prem!H722</f>
        <v>0</v>
      </c>
      <c r="T720" s="281">
        <f>S!H726</f>
        <v>0</v>
      </c>
      <c r="U720" s="274">
        <f>B!H721</f>
        <v>0</v>
      </c>
      <c r="V720" s="272">
        <f>Zn!G722</f>
        <v>0</v>
      </c>
      <c r="W720" s="272">
        <f>Cu!G722</f>
        <v>0</v>
      </c>
      <c r="X720" s="272">
        <f>Mn!G722</f>
        <v>0</v>
      </c>
      <c r="Y720" s="272">
        <f>Fe!G722</f>
        <v>0</v>
      </c>
      <c r="Z720" s="274">
        <f>M.O!H722</f>
        <v>0</v>
      </c>
      <c r="AA720" s="272" t="e">
        <f t="shared" si="81"/>
        <v>#DIV/0!</v>
      </c>
      <c r="AB720" s="272" t="e">
        <f t="shared" si="82"/>
        <v>#DIV/0!</v>
      </c>
      <c r="AC720" s="272" t="e">
        <f t="shared" si="83"/>
        <v>#DIV/0!</v>
      </c>
    </row>
    <row r="721" spans="1:29" x14ac:dyDescent="0.2">
      <c r="A721" s="106">
        <f>Cadastro!A725</f>
        <v>0</v>
      </c>
      <c r="B721" s="27">
        <f>Cadastro!E723</f>
        <v>0</v>
      </c>
      <c r="C721">
        <f>pH_água!C721</f>
        <v>0</v>
      </c>
      <c r="D721">
        <f>pH_KCl!B722</f>
        <v>0</v>
      </c>
      <c r="E721">
        <f>'pH CaCl2'!C721</f>
        <v>0</v>
      </c>
      <c r="F721" s="104">
        <f>P_Mehlich1!H706</f>
        <v>0</v>
      </c>
      <c r="G721" s="123">
        <f>P_resina!H726</f>
        <v>0</v>
      </c>
      <c r="H721" s="272">
        <f>K!G691</f>
        <v>0</v>
      </c>
      <c r="I721" s="125">
        <v>0</v>
      </c>
      <c r="J721" s="272">
        <f>'Ca2+'!G722</f>
        <v>0</v>
      </c>
      <c r="K721" s="272">
        <f>Mg²!G724</f>
        <v>0</v>
      </c>
      <c r="L721" s="279">
        <f>Al³!C723</f>
        <v>0</v>
      </c>
      <c r="M721" s="279">
        <f>'H + Al'!D723</f>
        <v>0</v>
      </c>
      <c r="N721" s="272">
        <f t="shared" si="73"/>
        <v>0</v>
      </c>
      <c r="O721" s="272">
        <f t="shared" si="74"/>
        <v>0</v>
      </c>
      <c r="P721" s="272">
        <f t="shared" si="75"/>
        <v>0</v>
      </c>
      <c r="Q721" s="293" t="e">
        <f t="shared" si="76"/>
        <v>#DIV/0!</v>
      </c>
      <c r="R721" s="293" t="e">
        <f t="shared" si="77"/>
        <v>#DIV/0!</v>
      </c>
      <c r="S721">
        <f>Prem!H723</f>
        <v>0</v>
      </c>
      <c r="T721" s="281">
        <f>S!H727</f>
        <v>0</v>
      </c>
      <c r="U721" s="274">
        <f>B!H722</f>
        <v>0</v>
      </c>
      <c r="V721" s="272">
        <f>Zn!G723</f>
        <v>0</v>
      </c>
      <c r="W721" s="272">
        <f>Cu!G723</f>
        <v>0</v>
      </c>
      <c r="X721" s="272">
        <f>Mn!G723</f>
        <v>0</v>
      </c>
      <c r="Y721" s="272">
        <f>Fe!G723</f>
        <v>0</v>
      </c>
      <c r="Z721" s="274">
        <f>M.O!H723</f>
        <v>0</v>
      </c>
      <c r="AA721" s="272" t="e">
        <f t="shared" si="81"/>
        <v>#DIV/0!</v>
      </c>
      <c r="AB721" s="272" t="e">
        <f t="shared" si="82"/>
        <v>#DIV/0!</v>
      </c>
      <c r="AC721" s="272" t="e">
        <f t="shared" si="83"/>
        <v>#DIV/0!</v>
      </c>
    </row>
    <row r="722" spans="1:29" x14ac:dyDescent="0.2">
      <c r="A722" s="106">
        <f>Cadastro!A726</f>
        <v>0</v>
      </c>
      <c r="B722" s="27">
        <f>Cadastro!E724</f>
        <v>0</v>
      </c>
      <c r="C722">
        <f>pH_água!C722</f>
        <v>0</v>
      </c>
      <c r="D722">
        <f>pH_KCl!B723</f>
        <v>0</v>
      </c>
      <c r="E722">
        <f>'pH CaCl2'!C722</f>
        <v>0</v>
      </c>
      <c r="F722" s="104">
        <f>P_Mehlich1!H707</f>
        <v>0</v>
      </c>
      <c r="G722" s="123">
        <f>P_resina!H727</f>
        <v>0</v>
      </c>
      <c r="H722" s="272">
        <f>K!G692</f>
        <v>0</v>
      </c>
      <c r="I722" s="125">
        <v>0</v>
      </c>
      <c r="J722" s="272">
        <f>'Ca2+'!G723</f>
        <v>0</v>
      </c>
      <c r="K722" s="272">
        <f>Mg²!G725</f>
        <v>0</v>
      </c>
      <c r="L722" s="279">
        <f>Al³!C724</f>
        <v>0</v>
      </c>
      <c r="M722" s="279">
        <f>'H + Al'!D724</f>
        <v>0</v>
      </c>
      <c r="N722" s="272">
        <f t="shared" si="73"/>
        <v>0</v>
      </c>
      <c r="O722" s="272">
        <f t="shared" si="74"/>
        <v>0</v>
      </c>
      <c r="P722" s="272">
        <f t="shared" si="75"/>
        <v>0</v>
      </c>
      <c r="Q722" s="293" t="e">
        <f t="shared" si="76"/>
        <v>#DIV/0!</v>
      </c>
      <c r="R722" s="293" t="e">
        <f t="shared" si="77"/>
        <v>#DIV/0!</v>
      </c>
      <c r="S722">
        <f>Prem!H724</f>
        <v>0</v>
      </c>
      <c r="T722" s="281">
        <f>S!H728</f>
        <v>0</v>
      </c>
      <c r="U722" s="274">
        <f>B!H723</f>
        <v>0</v>
      </c>
      <c r="V722" s="272">
        <f>Zn!G724</f>
        <v>0</v>
      </c>
      <c r="W722" s="272">
        <f>Cu!G724</f>
        <v>0</v>
      </c>
      <c r="X722" s="272">
        <f>Mn!G724</f>
        <v>0</v>
      </c>
      <c r="Y722" s="272">
        <f>Fe!G724</f>
        <v>0</v>
      </c>
      <c r="Z722" s="274">
        <f>M.O!H724</f>
        <v>0</v>
      </c>
      <c r="AA722" s="272" t="e">
        <f t="shared" si="81"/>
        <v>#DIV/0!</v>
      </c>
      <c r="AB722" s="272" t="e">
        <f t="shared" si="82"/>
        <v>#DIV/0!</v>
      </c>
      <c r="AC722" s="272" t="e">
        <f t="shared" si="83"/>
        <v>#DIV/0!</v>
      </c>
    </row>
    <row r="723" spans="1:29" x14ac:dyDescent="0.2">
      <c r="A723" s="106">
        <f>Cadastro!A727</f>
        <v>0</v>
      </c>
      <c r="B723" s="27">
        <f>Cadastro!E725</f>
        <v>0</v>
      </c>
      <c r="C723">
        <f>pH_água!C723</f>
        <v>0</v>
      </c>
      <c r="D723">
        <f>pH_KCl!B724</f>
        <v>0</v>
      </c>
      <c r="E723">
        <f>'pH CaCl2'!C723</f>
        <v>0</v>
      </c>
      <c r="F723" s="104">
        <f>P_Mehlich1!H708</f>
        <v>0</v>
      </c>
      <c r="G723" s="123">
        <f>P_resina!H728</f>
        <v>0</v>
      </c>
      <c r="H723" s="272">
        <f>K!G693</f>
        <v>0</v>
      </c>
      <c r="I723" s="125">
        <v>0</v>
      </c>
      <c r="J723" s="272">
        <f>'Ca2+'!G724</f>
        <v>0</v>
      </c>
      <c r="K723" s="272">
        <f>Mg²!G726</f>
        <v>0</v>
      </c>
      <c r="L723" s="279">
        <f>Al³!C725</f>
        <v>0</v>
      </c>
      <c r="M723" s="279">
        <f>'H + Al'!D725</f>
        <v>0</v>
      </c>
      <c r="N723" s="272">
        <f t="shared" si="73"/>
        <v>0</v>
      </c>
      <c r="O723" s="272">
        <f t="shared" si="74"/>
        <v>0</v>
      </c>
      <c r="P723" s="272">
        <f t="shared" si="75"/>
        <v>0</v>
      </c>
      <c r="Q723" s="293" t="e">
        <f t="shared" si="76"/>
        <v>#DIV/0!</v>
      </c>
      <c r="R723" s="293" t="e">
        <f t="shared" si="77"/>
        <v>#DIV/0!</v>
      </c>
      <c r="S723">
        <f>Prem!H725</f>
        <v>0</v>
      </c>
      <c r="T723" s="281">
        <f>S!H729</f>
        <v>0</v>
      </c>
      <c r="U723" s="274">
        <f>B!H724</f>
        <v>0</v>
      </c>
      <c r="V723" s="272">
        <f>Zn!G725</f>
        <v>0</v>
      </c>
      <c r="W723" s="272">
        <f>Cu!G725</f>
        <v>0</v>
      </c>
      <c r="X723" s="272">
        <f>Mn!G725</f>
        <v>0</v>
      </c>
      <c r="Y723" s="272">
        <f>Fe!G725</f>
        <v>0</v>
      </c>
      <c r="Z723" s="274">
        <f>M.O!H725</f>
        <v>0</v>
      </c>
      <c r="AA723" s="272" t="e">
        <f t="shared" si="81"/>
        <v>#DIV/0!</v>
      </c>
      <c r="AB723" s="272" t="e">
        <f t="shared" si="82"/>
        <v>#DIV/0!</v>
      </c>
      <c r="AC723" s="272" t="e">
        <f t="shared" si="83"/>
        <v>#DIV/0!</v>
      </c>
    </row>
    <row r="724" spans="1:29" x14ac:dyDescent="0.2">
      <c r="A724" s="106">
        <f>Cadastro!A728</f>
        <v>0</v>
      </c>
      <c r="B724" s="27">
        <f>Cadastro!E726</f>
        <v>0</v>
      </c>
      <c r="C724">
        <f>pH_água!C724</f>
        <v>0</v>
      </c>
      <c r="D724">
        <f>pH_KCl!B725</f>
        <v>0</v>
      </c>
      <c r="E724">
        <f>'pH CaCl2'!C724</f>
        <v>0</v>
      </c>
      <c r="F724" s="104">
        <f>P_Mehlich1!H709</f>
        <v>0</v>
      </c>
      <c r="G724" s="123">
        <f>P_resina!H729</f>
        <v>0</v>
      </c>
      <c r="H724" s="272">
        <f>K!G694</f>
        <v>0</v>
      </c>
      <c r="I724" s="125">
        <v>0</v>
      </c>
      <c r="J724" s="272">
        <f>'Ca2+'!G725</f>
        <v>0</v>
      </c>
      <c r="K724" s="272">
        <f>Mg²!G727</f>
        <v>0</v>
      </c>
      <c r="L724" s="279">
        <f>Al³!C726</f>
        <v>0</v>
      </c>
      <c r="M724" s="279">
        <f>'H + Al'!D726</f>
        <v>0</v>
      </c>
      <c r="N724" s="272">
        <f t="shared" si="73"/>
        <v>0</v>
      </c>
      <c r="O724" s="272">
        <f t="shared" si="74"/>
        <v>0</v>
      </c>
      <c r="P724" s="272">
        <f t="shared" si="75"/>
        <v>0</v>
      </c>
      <c r="Q724" s="293" t="e">
        <f t="shared" si="76"/>
        <v>#DIV/0!</v>
      </c>
      <c r="R724" s="293" t="e">
        <f t="shared" si="77"/>
        <v>#DIV/0!</v>
      </c>
      <c r="S724">
        <f>Prem!H726</f>
        <v>0</v>
      </c>
      <c r="T724" s="281">
        <f>S!H730</f>
        <v>0</v>
      </c>
      <c r="U724" s="274">
        <f>B!H725</f>
        <v>0</v>
      </c>
      <c r="V724" s="272">
        <f>Zn!G726</f>
        <v>0</v>
      </c>
      <c r="W724" s="272">
        <f>Cu!G726</f>
        <v>0</v>
      </c>
      <c r="X724" s="272">
        <f>Mn!G726</f>
        <v>0</v>
      </c>
      <c r="Y724" s="272">
        <f>Fe!G726</f>
        <v>0</v>
      </c>
      <c r="Z724" s="274">
        <f>M.O!H726</f>
        <v>0</v>
      </c>
      <c r="AA724" s="272" t="e">
        <f t="shared" si="81"/>
        <v>#DIV/0!</v>
      </c>
      <c r="AB724" s="272" t="e">
        <f t="shared" si="82"/>
        <v>#DIV/0!</v>
      </c>
      <c r="AC724" s="272" t="e">
        <f t="shared" si="83"/>
        <v>#DIV/0!</v>
      </c>
    </row>
    <row r="725" spans="1:29" x14ac:dyDescent="0.2">
      <c r="A725" s="106">
        <f>Cadastro!A729</f>
        <v>0</v>
      </c>
      <c r="B725" s="27">
        <f>Cadastro!E727</f>
        <v>0</v>
      </c>
      <c r="C725">
        <f>pH_água!C725</f>
        <v>0</v>
      </c>
      <c r="D725">
        <f>pH_KCl!B726</f>
        <v>0</v>
      </c>
      <c r="E725">
        <f>'pH CaCl2'!C725</f>
        <v>0</v>
      </c>
      <c r="F725" s="104">
        <f>P_Mehlich1!H710</f>
        <v>0</v>
      </c>
      <c r="G725" s="123">
        <f>P_resina!H730</f>
        <v>0</v>
      </c>
      <c r="H725" s="272">
        <f>K!G695</f>
        <v>0</v>
      </c>
      <c r="I725" s="125">
        <v>0</v>
      </c>
      <c r="J725" s="272">
        <f>'Ca2+'!G726</f>
        <v>0</v>
      </c>
      <c r="K725" s="272">
        <f>Mg²!G728</f>
        <v>0</v>
      </c>
      <c r="L725" s="279">
        <f>Al³!C727</f>
        <v>0</v>
      </c>
      <c r="M725" s="279">
        <f>'H + Al'!D727</f>
        <v>0</v>
      </c>
      <c r="N725" s="272">
        <f t="shared" si="73"/>
        <v>0</v>
      </c>
      <c r="O725" s="272">
        <f t="shared" si="74"/>
        <v>0</v>
      </c>
      <c r="P725" s="272">
        <f t="shared" si="75"/>
        <v>0</v>
      </c>
      <c r="Q725" s="293" t="e">
        <f t="shared" si="76"/>
        <v>#DIV/0!</v>
      </c>
      <c r="R725" s="293" t="e">
        <f t="shared" si="77"/>
        <v>#DIV/0!</v>
      </c>
      <c r="S725">
        <f>Prem!H727</f>
        <v>0</v>
      </c>
      <c r="T725" s="281">
        <f>S!H731</f>
        <v>0</v>
      </c>
      <c r="U725" s="274">
        <f>B!H726</f>
        <v>0</v>
      </c>
      <c r="V725" s="272">
        <f>Zn!G727</f>
        <v>0</v>
      </c>
      <c r="W725" s="272">
        <f>Cu!G727</f>
        <v>0</v>
      </c>
      <c r="X725" s="272">
        <f>Mn!G727</f>
        <v>0</v>
      </c>
      <c r="Y725" s="272">
        <f>Fe!G727</f>
        <v>0</v>
      </c>
      <c r="Z725" s="274">
        <f>M.O!H727</f>
        <v>0</v>
      </c>
      <c r="AA725" s="272" t="e">
        <f t="shared" si="81"/>
        <v>#DIV/0!</v>
      </c>
      <c r="AB725" s="272" t="e">
        <f t="shared" si="82"/>
        <v>#DIV/0!</v>
      </c>
      <c r="AC725" s="272" t="e">
        <f t="shared" si="83"/>
        <v>#DIV/0!</v>
      </c>
    </row>
    <row r="726" spans="1:29" x14ac:dyDescent="0.2">
      <c r="A726" s="106">
        <f>Cadastro!A730</f>
        <v>0</v>
      </c>
      <c r="B726" s="27">
        <f>Cadastro!E728</f>
        <v>0</v>
      </c>
      <c r="C726">
        <f>pH_água!C726</f>
        <v>0</v>
      </c>
      <c r="D726">
        <f>pH_KCl!B727</f>
        <v>0</v>
      </c>
      <c r="E726">
        <f>'pH CaCl2'!C726</f>
        <v>0</v>
      </c>
      <c r="F726" s="104">
        <f>P_Mehlich1!H711</f>
        <v>0</v>
      </c>
      <c r="G726" s="123">
        <f>P_resina!H731</f>
        <v>0</v>
      </c>
      <c r="H726" s="272">
        <f>K!G696</f>
        <v>0</v>
      </c>
      <c r="I726" s="125">
        <v>0</v>
      </c>
      <c r="J726" s="272">
        <f>'Ca2+'!G727</f>
        <v>0</v>
      </c>
      <c r="K726" s="272">
        <f>Mg²!G729</f>
        <v>0</v>
      </c>
      <c r="L726" s="279">
        <f>Al³!C728</f>
        <v>0</v>
      </c>
      <c r="M726" s="279">
        <f>'H + Al'!D728</f>
        <v>0</v>
      </c>
      <c r="N726" s="272">
        <f t="shared" si="73"/>
        <v>0</v>
      </c>
      <c r="O726" s="272">
        <f t="shared" si="74"/>
        <v>0</v>
      </c>
      <c r="P726" s="272">
        <f t="shared" si="75"/>
        <v>0</v>
      </c>
      <c r="Q726" s="293" t="e">
        <f t="shared" si="76"/>
        <v>#DIV/0!</v>
      </c>
      <c r="R726" s="293" t="e">
        <f t="shared" si="77"/>
        <v>#DIV/0!</v>
      </c>
      <c r="S726">
        <f>Prem!H728</f>
        <v>0</v>
      </c>
      <c r="T726" s="281">
        <f>S!H732</f>
        <v>0</v>
      </c>
      <c r="U726" s="274">
        <f>B!H727</f>
        <v>0</v>
      </c>
      <c r="V726" s="272">
        <f>Zn!G728</f>
        <v>0</v>
      </c>
      <c r="W726" s="272">
        <f>Cu!G728</f>
        <v>0</v>
      </c>
      <c r="X726" s="272">
        <f>Mn!G728</f>
        <v>0</v>
      </c>
      <c r="Y726" s="272">
        <f>Fe!G728</f>
        <v>0</v>
      </c>
      <c r="Z726" s="274">
        <f>M.O!H728</f>
        <v>0</v>
      </c>
      <c r="AA726" s="272" t="e">
        <f t="shared" si="81"/>
        <v>#DIV/0!</v>
      </c>
      <c r="AB726" s="272" t="e">
        <f t="shared" si="82"/>
        <v>#DIV/0!</v>
      </c>
      <c r="AC726" s="272" t="e">
        <f t="shared" si="83"/>
        <v>#DIV/0!</v>
      </c>
    </row>
    <row r="727" spans="1:29" x14ac:dyDescent="0.2">
      <c r="A727" s="106">
        <f>Cadastro!A731</f>
        <v>0</v>
      </c>
      <c r="B727" s="27">
        <f>Cadastro!E729</f>
        <v>0</v>
      </c>
      <c r="C727">
        <f>pH_água!C727</f>
        <v>0</v>
      </c>
      <c r="D727">
        <f>pH_KCl!B728</f>
        <v>0</v>
      </c>
      <c r="E727">
        <f>'pH CaCl2'!C727</f>
        <v>0</v>
      </c>
      <c r="F727" s="104">
        <f>P_Mehlich1!H712</f>
        <v>0</v>
      </c>
      <c r="G727" s="123">
        <f>P_resina!H732</f>
        <v>0</v>
      </c>
      <c r="H727" s="272">
        <f>K!G697</f>
        <v>0</v>
      </c>
      <c r="I727" s="125">
        <v>0</v>
      </c>
      <c r="J727" s="272">
        <f>'Ca2+'!G728</f>
        <v>0</v>
      </c>
      <c r="K727" s="272">
        <f>Mg²!G730</f>
        <v>0</v>
      </c>
      <c r="L727" s="279">
        <f>Al³!C729</f>
        <v>0</v>
      </c>
      <c r="M727" s="279">
        <f>'H + Al'!D729</f>
        <v>0</v>
      </c>
      <c r="N727" s="272">
        <f t="shared" si="73"/>
        <v>0</v>
      </c>
      <c r="O727" s="272">
        <f t="shared" si="74"/>
        <v>0</v>
      </c>
      <c r="P727" s="272">
        <f t="shared" si="75"/>
        <v>0</v>
      </c>
      <c r="Q727" s="293" t="e">
        <f t="shared" si="76"/>
        <v>#DIV/0!</v>
      </c>
      <c r="R727" s="293" t="e">
        <f t="shared" si="77"/>
        <v>#DIV/0!</v>
      </c>
      <c r="S727">
        <f>Prem!H729</f>
        <v>0</v>
      </c>
      <c r="T727" s="281">
        <f>S!H733</f>
        <v>0</v>
      </c>
      <c r="U727" s="274">
        <f>B!H728</f>
        <v>0</v>
      </c>
      <c r="V727" s="272">
        <f>Zn!G729</f>
        <v>0</v>
      </c>
      <c r="W727" s="272">
        <f>Cu!G729</f>
        <v>0</v>
      </c>
      <c r="X727" s="272">
        <f>Mn!G729</f>
        <v>0</v>
      </c>
      <c r="Y727" s="272">
        <f>Fe!G729</f>
        <v>0</v>
      </c>
      <c r="Z727" s="274">
        <f>M.O!H729</f>
        <v>0</v>
      </c>
      <c r="AA727" s="272" t="e">
        <f t="shared" si="81"/>
        <v>#DIV/0!</v>
      </c>
      <c r="AB727" s="272" t="e">
        <f t="shared" si="82"/>
        <v>#DIV/0!</v>
      </c>
      <c r="AC727" s="272" t="e">
        <f t="shared" si="83"/>
        <v>#DIV/0!</v>
      </c>
    </row>
    <row r="728" spans="1:29" x14ac:dyDescent="0.2">
      <c r="A728" s="106">
        <f>Cadastro!A732</f>
        <v>0</v>
      </c>
      <c r="B728" s="27">
        <f>Cadastro!E730</f>
        <v>0</v>
      </c>
      <c r="C728">
        <f>pH_água!C728</f>
        <v>0</v>
      </c>
      <c r="D728">
        <f>pH_KCl!B729</f>
        <v>0</v>
      </c>
      <c r="E728">
        <f>'pH CaCl2'!C728</f>
        <v>0</v>
      </c>
      <c r="F728" s="104">
        <f>P_Mehlich1!H713</f>
        <v>0</v>
      </c>
      <c r="G728" s="123">
        <f>P_resina!H733</f>
        <v>0</v>
      </c>
      <c r="H728" s="272">
        <f>K!G698</f>
        <v>0</v>
      </c>
      <c r="I728" s="125">
        <v>0</v>
      </c>
      <c r="J728" s="272">
        <f>'Ca2+'!G729</f>
        <v>0</v>
      </c>
      <c r="K728" s="272">
        <f>Mg²!G731</f>
        <v>0</v>
      </c>
      <c r="L728" s="279">
        <f>Al³!C730</f>
        <v>0</v>
      </c>
      <c r="M728" s="279">
        <f>'H + Al'!D730</f>
        <v>0</v>
      </c>
      <c r="N728" s="272">
        <f t="shared" si="73"/>
        <v>0</v>
      </c>
      <c r="O728" s="272">
        <f t="shared" si="74"/>
        <v>0</v>
      </c>
      <c r="P728" s="272">
        <f t="shared" si="75"/>
        <v>0</v>
      </c>
      <c r="Q728" s="293" t="e">
        <f t="shared" si="76"/>
        <v>#DIV/0!</v>
      </c>
      <c r="R728" s="293" t="e">
        <f t="shared" si="77"/>
        <v>#DIV/0!</v>
      </c>
      <c r="S728">
        <f>Prem!H730</f>
        <v>0</v>
      </c>
      <c r="T728" s="281">
        <f>S!H734</f>
        <v>0</v>
      </c>
      <c r="U728" s="274">
        <f>B!H729</f>
        <v>0</v>
      </c>
      <c r="V728" s="272">
        <f>Zn!G730</f>
        <v>0</v>
      </c>
      <c r="W728" s="272">
        <f>Cu!G730</f>
        <v>0</v>
      </c>
      <c r="X728" s="272">
        <f>Mn!G730</f>
        <v>0</v>
      </c>
      <c r="Y728" s="272">
        <f>Fe!G730</f>
        <v>0</v>
      </c>
      <c r="Z728" s="274">
        <f>M.O!H730</f>
        <v>0</v>
      </c>
      <c r="AA728" s="272" t="e">
        <f t="shared" si="81"/>
        <v>#DIV/0!</v>
      </c>
      <c r="AB728" s="272" t="e">
        <f t="shared" si="82"/>
        <v>#DIV/0!</v>
      </c>
      <c r="AC728" s="272" t="e">
        <f t="shared" si="83"/>
        <v>#DIV/0!</v>
      </c>
    </row>
    <row r="729" spans="1:29" x14ac:dyDescent="0.2">
      <c r="A729" s="106">
        <f>Cadastro!A733</f>
        <v>0</v>
      </c>
      <c r="B729" s="27">
        <f>Cadastro!E731</f>
        <v>0</v>
      </c>
      <c r="C729">
        <f>pH_água!C729</f>
        <v>0</v>
      </c>
      <c r="D729">
        <f>pH_KCl!B730</f>
        <v>0</v>
      </c>
      <c r="E729">
        <f>'pH CaCl2'!C729</f>
        <v>0</v>
      </c>
      <c r="F729" s="104">
        <f>P_Mehlich1!H714</f>
        <v>0</v>
      </c>
      <c r="G729" s="123">
        <f>P_resina!H734</f>
        <v>0</v>
      </c>
      <c r="H729" s="272">
        <f>K!G699</f>
        <v>0</v>
      </c>
      <c r="I729" s="125">
        <v>0</v>
      </c>
      <c r="J729" s="272">
        <f>'Ca2+'!G730</f>
        <v>0</v>
      </c>
      <c r="K729" s="272">
        <f>Mg²!G732</f>
        <v>0</v>
      </c>
      <c r="L729" s="279">
        <f>Al³!C731</f>
        <v>0</v>
      </c>
      <c r="M729" s="279">
        <f>'H + Al'!D731</f>
        <v>0</v>
      </c>
      <c r="N729" s="272">
        <f t="shared" si="73"/>
        <v>0</v>
      </c>
      <c r="O729" s="272">
        <f t="shared" si="74"/>
        <v>0</v>
      </c>
      <c r="P729" s="272">
        <f t="shared" si="75"/>
        <v>0</v>
      </c>
      <c r="Q729" s="293" t="e">
        <f t="shared" si="76"/>
        <v>#DIV/0!</v>
      </c>
      <c r="R729" s="293" t="e">
        <f t="shared" si="77"/>
        <v>#DIV/0!</v>
      </c>
      <c r="S729">
        <f>Prem!H731</f>
        <v>0</v>
      </c>
      <c r="T729" s="281">
        <f>S!H735</f>
        <v>0</v>
      </c>
      <c r="U729" s="274">
        <f>B!H730</f>
        <v>0</v>
      </c>
      <c r="V729" s="272">
        <f>Zn!G731</f>
        <v>0</v>
      </c>
      <c r="W729" s="272">
        <f>Cu!G731</f>
        <v>0</v>
      </c>
      <c r="X729" s="272">
        <f>Mn!G731</f>
        <v>0</v>
      </c>
      <c r="Y729" s="272">
        <f>Fe!G731</f>
        <v>0</v>
      </c>
      <c r="Z729" s="274">
        <f>M.O!H731</f>
        <v>0</v>
      </c>
      <c r="AA729" s="272" t="e">
        <f t="shared" si="81"/>
        <v>#DIV/0!</v>
      </c>
      <c r="AB729" s="272" t="e">
        <f t="shared" si="82"/>
        <v>#DIV/0!</v>
      </c>
      <c r="AC729" s="272" t="e">
        <f t="shared" si="83"/>
        <v>#DIV/0!</v>
      </c>
    </row>
    <row r="730" spans="1:29" x14ac:dyDescent="0.2">
      <c r="A730" s="106">
        <f>Cadastro!A734</f>
        <v>0</v>
      </c>
      <c r="B730" s="27">
        <f>Cadastro!E732</f>
        <v>0</v>
      </c>
      <c r="C730">
        <f>pH_água!C730</f>
        <v>0</v>
      </c>
      <c r="D730">
        <f>pH_KCl!B731</f>
        <v>0</v>
      </c>
      <c r="E730">
        <f>'pH CaCl2'!C730</f>
        <v>0</v>
      </c>
      <c r="F730" s="104">
        <f>P_Mehlich1!H715</f>
        <v>0</v>
      </c>
      <c r="G730" s="123">
        <f>P_resina!H735</f>
        <v>0</v>
      </c>
      <c r="H730" s="272">
        <f>K!G700</f>
        <v>0</v>
      </c>
      <c r="I730" s="125">
        <v>0</v>
      </c>
      <c r="J730" s="272">
        <f>'Ca2+'!G731</f>
        <v>0</v>
      </c>
      <c r="K730" s="272">
        <f>Mg²!G733</f>
        <v>0</v>
      </c>
      <c r="L730" s="279">
        <f>Al³!C732</f>
        <v>0</v>
      </c>
      <c r="M730" s="279">
        <f>'H + Al'!D732</f>
        <v>0</v>
      </c>
      <c r="N730" s="272">
        <f t="shared" si="73"/>
        <v>0</v>
      </c>
      <c r="O730" s="272">
        <f t="shared" si="74"/>
        <v>0</v>
      </c>
      <c r="P730" s="272">
        <f t="shared" si="75"/>
        <v>0</v>
      </c>
      <c r="Q730" s="293" t="e">
        <f t="shared" si="76"/>
        <v>#DIV/0!</v>
      </c>
      <c r="R730" s="293" t="e">
        <f t="shared" si="77"/>
        <v>#DIV/0!</v>
      </c>
      <c r="S730">
        <f>Prem!H732</f>
        <v>0</v>
      </c>
      <c r="T730" s="281">
        <f>S!H736</f>
        <v>0</v>
      </c>
      <c r="U730" s="274">
        <f>B!H731</f>
        <v>0</v>
      </c>
      <c r="V730" s="272">
        <f>Zn!G732</f>
        <v>0</v>
      </c>
      <c r="W730" s="272">
        <f>Cu!G732</f>
        <v>0</v>
      </c>
      <c r="X730" s="272">
        <f>Mn!G732</f>
        <v>0</v>
      </c>
      <c r="Y730" s="272">
        <f>Fe!G732</f>
        <v>0</v>
      </c>
      <c r="Z730" s="274">
        <f>M.O!H732</f>
        <v>0</v>
      </c>
      <c r="AA730" s="272" t="e">
        <f t="shared" si="81"/>
        <v>#DIV/0!</v>
      </c>
      <c r="AB730" s="272" t="e">
        <f t="shared" si="82"/>
        <v>#DIV/0!</v>
      </c>
      <c r="AC730" s="272" t="e">
        <f t="shared" si="83"/>
        <v>#DIV/0!</v>
      </c>
    </row>
    <row r="731" spans="1:29" x14ac:dyDescent="0.2">
      <c r="A731" s="106">
        <f>Cadastro!A735</f>
        <v>0</v>
      </c>
      <c r="B731" s="27">
        <f>Cadastro!E733</f>
        <v>0</v>
      </c>
      <c r="C731">
        <f>pH_água!C731</f>
        <v>0</v>
      </c>
      <c r="D731">
        <f>pH_KCl!B732</f>
        <v>0</v>
      </c>
      <c r="E731">
        <f>'pH CaCl2'!C731</f>
        <v>0</v>
      </c>
      <c r="F731" s="104">
        <f>P_Mehlich1!H716</f>
        <v>0</v>
      </c>
      <c r="G731" s="123">
        <f>P_resina!H736</f>
        <v>0</v>
      </c>
      <c r="H731" s="272">
        <f>K!G701</f>
        <v>0</v>
      </c>
      <c r="I731" s="125">
        <v>0</v>
      </c>
      <c r="J731" s="272">
        <f>'Ca2+'!G732</f>
        <v>0</v>
      </c>
      <c r="K731" s="272">
        <f>Mg²!G734</f>
        <v>0</v>
      </c>
      <c r="L731" s="279">
        <f>Al³!C733</f>
        <v>0</v>
      </c>
      <c r="M731" s="279">
        <f>'H + Al'!D733</f>
        <v>0</v>
      </c>
      <c r="N731" s="272">
        <f t="shared" si="73"/>
        <v>0</v>
      </c>
      <c r="O731" s="272">
        <f t="shared" si="74"/>
        <v>0</v>
      </c>
      <c r="P731" s="272">
        <f t="shared" si="75"/>
        <v>0</v>
      </c>
      <c r="Q731" s="293" t="e">
        <f t="shared" si="76"/>
        <v>#DIV/0!</v>
      </c>
      <c r="R731" s="293" t="e">
        <f t="shared" si="77"/>
        <v>#DIV/0!</v>
      </c>
      <c r="S731">
        <f>Prem!H733</f>
        <v>0</v>
      </c>
      <c r="T731" s="281">
        <f>S!H737</f>
        <v>0</v>
      </c>
      <c r="U731" s="274">
        <f>B!H732</f>
        <v>0</v>
      </c>
      <c r="V731" s="272">
        <f>Zn!G733</f>
        <v>0</v>
      </c>
      <c r="W731" s="272">
        <f>Cu!G733</f>
        <v>0</v>
      </c>
      <c r="X731" s="272">
        <f>Mn!G733</f>
        <v>0</v>
      </c>
      <c r="Y731" s="272">
        <f>Fe!G733</f>
        <v>0</v>
      </c>
      <c r="Z731" s="274">
        <f>M.O!H733</f>
        <v>0</v>
      </c>
      <c r="AA731" s="272" t="e">
        <f t="shared" si="81"/>
        <v>#DIV/0!</v>
      </c>
      <c r="AB731" s="272" t="e">
        <f t="shared" si="82"/>
        <v>#DIV/0!</v>
      </c>
      <c r="AC731" s="272" t="e">
        <f t="shared" si="83"/>
        <v>#DIV/0!</v>
      </c>
    </row>
    <row r="732" spans="1:29" x14ac:dyDescent="0.2">
      <c r="A732" s="106">
        <f>Cadastro!A736</f>
        <v>0</v>
      </c>
      <c r="B732" s="27">
        <f>Cadastro!E734</f>
        <v>0</v>
      </c>
      <c r="C732">
        <f>pH_água!C732</f>
        <v>0</v>
      </c>
      <c r="D732">
        <f>pH_KCl!B733</f>
        <v>0</v>
      </c>
      <c r="E732">
        <f>'pH CaCl2'!C732</f>
        <v>0</v>
      </c>
      <c r="F732" s="104">
        <f>P_Mehlich1!H717</f>
        <v>0</v>
      </c>
      <c r="G732" s="123">
        <f>P_resina!H737</f>
        <v>0</v>
      </c>
      <c r="H732" s="272">
        <f>K!G702</f>
        <v>0</v>
      </c>
      <c r="I732" s="125">
        <v>0</v>
      </c>
      <c r="J732" s="272">
        <f>'Ca2+'!G733</f>
        <v>0</v>
      </c>
      <c r="K732" s="272">
        <f>Mg²!G735</f>
        <v>0</v>
      </c>
      <c r="L732" s="279">
        <f>Al³!C734</f>
        <v>0</v>
      </c>
      <c r="M732" s="279">
        <f>'H + Al'!D734</f>
        <v>0</v>
      </c>
      <c r="N732" s="272">
        <f t="shared" si="73"/>
        <v>0</v>
      </c>
      <c r="O732" s="272">
        <f t="shared" si="74"/>
        <v>0</v>
      </c>
      <c r="P732" s="272">
        <f t="shared" si="75"/>
        <v>0</v>
      </c>
      <c r="Q732" s="293" t="e">
        <f t="shared" si="76"/>
        <v>#DIV/0!</v>
      </c>
      <c r="R732" s="293" t="e">
        <f t="shared" si="77"/>
        <v>#DIV/0!</v>
      </c>
      <c r="S732">
        <f>Prem!H734</f>
        <v>0</v>
      </c>
      <c r="T732" s="281">
        <f>S!H738</f>
        <v>0</v>
      </c>
      <c r="U732" s="274">
        <f>B!H733</f>
        <v>0</v>
      </c>
      <c r="V732" s="272">
        <f>Zn!G734</f>
        <v>0</v>
      </c>
      <c r="W732" s="272">
        <f>Cu!G734</f>
        <v>0</v>
      </c>
      <c r="X732" s="272">
        <f>Mn!G734</f>
        <v>0</v>
      </c>
      <c r="Y732" s="272">
        <f>Fe!G734</f>
        <v>0</v>
      </c>
      <c r="Z732" s="274">
        <f>M.O!H734</f>
        <v>0</v>
      </c>
      <c r="AA732" s="272" t="e">
        <f t="shared" si="81"/>
        <v>#DIV/0!</v>
      </c>
      <c r="AB732" s="272" t="e">
        <f t="shared" si="82"/>
        <v>#DIV/0!</v>
      </c>
      <c r="AC732" s="272" t="e">
        <f t="shared" si="83"/>
        <v>#DIV/0!</v>
      </c>
    </row>
    <row r="733" spans="1:29" x14ac:dyDescent="0.2">
      <c r="A733" s="106">
        <f>Cadastro!A737</f>
        <v>0</v>
      </c>
      <c r="B733" s="27">
        <f>Cadastro!E735</f>
        <v>0</v>
      </c>
      <c r="C733">
        <f>pH_água!C733</f>
        <v>0</v>
      </c>
      <c r="D733">
        <f>pH_KCl!B734</f>
        <v>0</v>
      </c>
      <c r="E733">
        <f>'pH CaCl2'!C733</f>
        <v>0</v>
      </c>
      <c r="F733" s="104">
        <f>P_Mehlich1!H718</f>
        <v>0</v>
      </c>
      <c r="G733" s="123">
        <f>P_resina!H738</f>
        <v>0</v>
      </c>
      <c r="H733" s="272">
        <f>K!G703</f>
        <v>0</v>
      </c>
      <c r="I733" s="125">
        <v>0</v>
      </c>
      <c r="J733" s="272">
        <f>'Ca2+'!G734</f>
        <v>0</v>
      </c>
      <c r="K733" s="272">
        <f>Mg²!G736</f>
        <v>0</v>
      </c>
      <c r="L733" s="279">
        <f>Al³!C735</f>
        <v>0</v>
      </c>
      <c r="M733" s="279">
        <f>'H + Al'!D735</f>
        <v>0</v>
      </c>
      <c r="N733" s="272">
        <f t="shared" si="73"/>
        <v>0</v>
      </c>
      <c r="O733" s="272">
        <f t="shared" si="74"/>
        <v>0</v>
      </c>
      <c r="P733" s="272">
        <f t="shared" si="75"/>
        <v>0</v>
      </c>
      <c r="Q733" s="293" t="e">
        <f t="shared" si="76"/>
        <v>#DIV/0!</v>
      </c>
      <c r="R733" s="293" t="e">
        <f t="shared" si="77"/>
        <v>#DIV/0!</v>
      </c>
      <c r="S733">
        <f>Prem!H735</f>
        <v>0</v>
      </c>
      <c r="T733" s="281">
        <f>S!H739</f>
        <v>0</v>
      </c>
      <c r="U733" s="274">
        <f>B!H734</f>
        <v>0</v>
      </c>
      <c r="V733" s="272">
        <f>Zn!G735</f>
        <v>0</v>
      </c>
      <c r="W733" s="272">
        <f>Cu!G735</f>
        <v>0</v>
      </c>
      <c r="X733" s="272">
        <f>Mn!G735</f>
        <v>0</v>
      </c>
      <c r="Y733" s="272">
        <f>Fe!G735</f>
        <v>0</v>
      </c>
      <c r="Z733" s="274">
        <f>M.O!H735</f>
        <v>0</v>
      </c>
      <c r="AA733" s="272" t="e">
        <f t="shared" si="81"/>
        <v>#DIV/0!</v>
      </c>
      <c r="AB733" s="272" t="e">
        <f t="shared" si="82"/>
        <v>#DIV/0!</v>
      </c>
      <c r="AC733" s="272" t="e">
        <f t="shared" si="83"/>
        <v>#DIV/0!</v>
      </c>
    </row>
    <row r="734" spans="1:29" x14ac:dyDescent="0.2">
      <c r="A734" s="106">
        <f>Cadastro!A738</f>
        <v>0</v>
      </c>
      <c r="B734" s="27">
        <f>Cadastro!E736</f>
        <v>0</v>
      </c>
      <c r="C734">
        <f>pH_água!C734</f>
        <v>0</v>
      </c>
      <c r="D734">
        <f>pH_KCl!B735</f>
        <v>0</v>
      </c>
      <c r="E734">
        <f>'pH CaCl2'!C734</f>
        <v>0</v>
      </c>
      <c r="F734" s="104">
        <f>P_Mehlich1!H719</f>
        <v>0</v>
      </c>
      <c r="G734" s="123">
        <f>P_resina!H739</f>
        <v>0</v>
      </c>
      <c r="H734" s="272">
        <f>K!G704</f>
        <v>0</v>
      </c>
      <c r="I734" s="125">
        <v>0</v>
      </c>
      <c r="J734" s="272">
        <f>'Ca2+'!G735</f>
        <v>0</v>
      </c>
      <c r="K734" s="272">
        <f>Mg²!G737</f>
        <v>0</v>
      </c>
      <c r="L734" s="279">
        <f>Al³!C736</f>
        <v>0</v>
      </c>
      <c r="M734" s="279">
        <f>'H + Al'!D736</f>
        <v>0</v>
      </c>
      <c r="N734" s="272">
        <f t="shared" si="73"/>
        <v>0</v>
      </c>
      <c r="O734" s="272">
        <f t="shared" si="74"/>
        <v>0</v>
      </c>
      <c r="P734" s="272">
        <f t="shared" si="75"/>
        <v>0</v>
      </c>
      <c r="Q734" s="293" t="e">
        <f t="shared" si="76"/>
        <v>#DIV/0!</v>
      </c>
      <c r="R734" s="293" t="e">
        <f t="shared" si="77"/>
        <v>#DIV/0!</v>
      </c>
      <c r="S734">
        <f>Prem!H736</f>
        <v>0</v>
      </c>
      <c r="T734" s="281">
        <f>S!H740</f>
        <v>0</v>
      </c>
      <c r="U734" s="274">
        <f>B!H735</f>
        <v>0</v>
      </c>
      <c r="V734" s="272">
        <f>Zn!G736</f>
        <v>0</v>
      </c>
      <c r="W734" s="272">
        <f>Cu!G736</f>
        <v>0</v>
      </c>
      <c r="X734" s="272">
        <f>Mn!G736</f>
        <v>0</v>
      </c>
      <c r="Y734" s="272">
        <f>Fe!G736</f>
        <v>0</v>
      </c>
      <c r="Z734" s="274">
        <f>M.O!H736</f>
        <v>0</v>
      </c>
      <c r="AA734" s="272" t="e">
        <f t="shared" si="81"/>
        <v>#DIV/0!</v>
      </c>
      <c r="AB734" s="272" t="e">
        <f t="shared" si="82"/>
        <v>#DIV/0!</v>
      </c>
      <c r="AC734" s="272" t="e">
        <f t="shared" si="83"/>
        <v>#DIV/0!</v>
      </c>
    </row>
    <row r="735" spans="1:29" x14ac:dyDescent="0.2">
      <c r="A735" s="106">
        <f>Cadastro!A739</f>
        <v>0</v>
      </c>
      <c r="B735" s="27">
        <f>Cadastro!E737</f>
        <v>0</v>
      </c>
      <c r="C735">
        <f>pH_água!C735</f>
        <v>0</v>
      </c>
      <c r="D735">
        <f>pH_KCl!B736</f>
        <v>0</v>
      </c>
      <c r="E735">
        <f>'pH CaCl2'!C735</f>
        <v>0</v>
      </c>
      <c r="F735" s="104">
        <f>P_Mehlich1!H720</f>
        <v>0</v>
      </c>
      <c r="G735" s="123">
        <f>P_resina!H740</f>
        <v>0</v>
      </c>
      <c r="H735" s="272">
        <f>K!G705</f>
        <v>0</v>
      </c>
      <c r="I735" s="125">
        <v>0</v>
      </c>
      <c r="J735" s="272">
        <f>'Ca2+'!G736</f>
        <v>0</v>
      </c>
      <c r="K735" s="272">
        <f>Mg²!G738</f>
        <v>0</v>
      </c>
      <c r="L735" s="279">
        <f>Al³!C737</f>
        <v>0</v>
      </c>
      <c r="M735" s="279">
        <f>'H + Al'!D737</f>
        <v>0</v>
      </c>
      <c r="N735" s="272">
        <f t="shared" si="73"/>
        <v>0</v>
      </c>
      <c r="O735" s="272">
        <f t="shared" si="74"/>
        <v>0</v>
      </c>
      <c r="P735" s="272">
        <f t="shared" si="75"/>
        <v>0</v>
      </c>
      <c r="Q735" s="293" t="e">
        <f t="shared" si="76"/>
        <v>#DIV/0!</v>
      </c>
      <c r="R735" s="293" t="e">
        <f t="shared" si="77"/>
        <v>#DIV/0!</v>
      </c>
      <c r="S735">
        <f>Prem!H737</f>
        <v>0</v>
      </c>
      <c r="T735" s="281">
        <f>S!H741</f>
        <v>0</v>
      </c>
      <c r="U735" s="274">
        <f>B!H736</f>
        <v>0</v>
      </c>
      <c r="V735" s="272">
        <f>Zn!G737</f>
        <v>0</v>
      </c>
      <c r="W735" s="272">
        <f>Cu!G737</f>
        <v>0</v>
      </c>
      <c r="X735" s="272">
        <f>Mn!G737</f>
        <v>0</v>
      </c>
      <c r="Y735" s="272">
        <f>Fe!G737</f>
        <v>0</v>
      </c>
      <c r="Z735" s="274">
        <f>M.O!H737</f>
        <v>0</v>
      </c>
      <c r="AA735" s="272" t="e">
        <f t="shared" si="81"/>
        <v>#DIV/0!</v>
      </c>
      <c r="AB735" s="272" t="e">
        <f t="shared" si="82"/>
        <v>#DIV/0!</v>
      </c>
      <c r="AC735" s="272" t="e">
        <f t="shared" si="83"/>
        <v>#DIV/0!</v>
      </c>
    </row>
    <row r="736" spans="1:29" x14ac:dyDescent="0.2">
      <c r="A736" s="106">
        <f>Cadastro!A740</f>
        <v>0</v>
      </c>
      <c r="B736" s="27">
        <f>Cadastro!E738</f>
        <v>0</v>
      </c>
      <c r="C736">
        <f>pH_água!C736</f>
        <v>0</v>
      </c>
      <c r="D736">
        <f>pH_KCl!B737</f>
        <v>0</v>
      </c>
      <c r="E736">
        <f>'pH CaCl2'!C736</f>
        <v>0</v>
      </c>
      <c r="F736" s="104">
        <f>P_Mehlich1!H721</f>
        <v>0</v>
      </c>
      <c r="G736" s="123">
        <f>P_resina!H741</f>
        <v>0</v>
      </c>
      <c r="H736" s="272">
        <f>K!G706</f>
        <v>0</v>
      </c>
      <c r="I736" s="125">
        <v>0</v>
      </c>
      <c r="J736" s="272">
        <f>'Ca2+'!G737</f>
        <v>0</v>
      </c>
      <c r="K736" s="272">
        <f>Mg²!G739</f>
        <v>0</v>
      </c>
      <c r="L736" s="279">
        <f>Al³!C738</f>
        <v>0</v>
      </c>
      <c r="M736" s="279">
        <f>'H + Al'!D738</f>
        <v>0</v>
      </c>
      <c r="N736" s="272">
        <f t="shared" si="73"/>
        <v>0</v>
      </c>
      <c r="O736" s="272">
        <f t="shared" si="74"/>
        <v>0</v>
      </c>
      <c r="P736" s="272">
        <f t="shared" si="75"/>
        <v>0</v>
      </c>
      <c r="Q736" s="293" t="e">
        <f t="shared" si="76"/>
        <v>#DIV/0!</v>
      </c>
      <c r="R736" s="293" t="e">
        <f t="shared" si="77"/>
        <v>#DIV/0!</v>
      </c>
      <c r="S736">
        <f>Prem!H738</f>
        <v>0</v>
      </c>
      <c r="T736" s="281">
        <f>S!H742</f>
        <v>0</v>
      </c>
      <c r="U736" s="274">
        <f>B!H737</f>
        <v>0</v>
      </c>
      <c r="V736" s="272">
        <f>Zn!G738</f>
        <v>0</v>
      </c>
      <c r="W736" s="272">
        <f>Cu!G738</f>
        <v>0</v>
      </c>
      <c r="X736" s="272">
        <f>Mn!G738</f>
        <v>0</v>
      </c>
      <c r="Y736" s="272">
        <f>Fe!G738</f>
        <v>0</v>
      </c>
      <c r="Z736" s="274">
        <f>M.O!H738</f>
        <v>0</v>
      </c>
      <c r="AA736" s="272" t="e">
        <f t="shared" si="81"/>
        <v>#DIV/0!</v>
      </c>
      <c r="AB736" s="272" t="e">
        <f t="shared" si="82"/>
        <v>#DIV/0!</v>
      </c>
      <c r="AC736" s="272" t="e">
        <f t="shared" si="83"/>
        <v>#DIV/0!</v>
      </c>
    </row>
    <row r="737" spans="1:29" x14ac:dyDescent="0.2">
      <c r="A737" s="106">
        <f>Cadastro!A741</f>
        <v>0</v>
      </c>
      <c r="B737" s="27">
        <f>Cadastro!E739</f>
        <v>0</v>
      </c>
      <c r="C737">
        <f>pH_água!C737</f>
        <v>0</v>
      </c>
      <c r="D737">
        <f>pH_KCl!B738</f>
        <v>0</v>
      </c>
      <c r="E737">
        <f>'pH CaCl2'!C737</f>
        <v>0</v>
      </c>
      <c r="F737" s="104">
        <f>P_Mehlich1!H722</f>
        <v>0</v>
      </c>
      <c r="G737" s="123">
        <f>P_resina!H742</f>
        <v>0</v>
      </c>
      <c r="H737" s="272">
        <f>K!G707</f>
        <v>0</v>
      </c>
      <c r="I737" s="125">
        <v>0</v>
      </c>
      <c r="J737" s="272">
        <f>'Ca2+'!G738</f>
        <v>0</v>
      </c>
      <c r="K737" s="272">
        <f>Mg²!G740</f>
        <v>0</v>
      </c>
      <c r="L737" s="279">
        <f>Al³!C739</f>
        <v>0</v>
      </c>
      <c r="M737" s="279">
        <f>'H + Al'!D739</f>
        <v>0</v>
      </c>
      <c r="N737" s="272">
        <f t="shared" si="73"/>
        <v>0</v>
      </c>
      <c r="O737" s="272">
        <f t="shared" si="74"/>
        <v>0</v>
      </c>
      <c r="P737" s="272">
        <f t="shared" si="75"/>
        <v>0</v>
      </c>
      <c r="Q737" s="293" t="e">
        <f t="shared" si="76"/>
        <v>#DIV/0!</v>
      </c>
      <c r="R737" s="293" t="e">
        <f t="shared" si="77"/>
        <v>#DIV/0!</v>
      </c>
      <c r="S737">
        <f>Prem!H739</f>
        <v>0</v>
      </c>
      <c r="T737" s="281">
        <f>S!H743</f>
        <v>0</v>
      </c>
      <c r="U737" s="274">
        <f>B!H738</f>
        <v>0</v>
      </c>
      <c r="V737" s="272">
        <f>Zn!G739</f>
        <v>0</v>
      </c>
      <c r="W737" s="272">
        <f>Cu!G739</f>
        <v>0</v>
      </c>
      <c r="X737" s="272">
        <f>Mn!G739</f>
        <v>0</v>
      </c>
      <c r="Y737" s="272">
        <f>Fe!G739</f>
        <v>0</v>
      </c>
      <c r="Z737" s="274">
        <f>M.O!H739</f>
        <v>0</v>
      </c>
      <c r="AA737" s="272" t="e">
        <f t="shared" si="81"/>
        <v>#DIV/0!</v>
      </c>
      <c r="AB737" s="272" t="e">
        <f t="shared" si="82"/>
        <v>#DIV/0!</v>
      </c>
      <c r="AC737" s="272" t="e">
        <f t="shared" si="83"/>
        <v>#DIV/0!</v>
      </c>
    </row>
    <row r="738" spans="1:29" x14ac:dyDescent="0.2">
      <c r="A738" s="106">
        <f>Cadastro!A742</f>
        <v>0</v>
      </c>
      <c r="B738" s="27">
        <f>Cadastro!E740</f>
        <v>0</v>
      </c>
      <c r="C738">
        <f>pH_água!C738</f>
        <v>0</v>
      </c>
      <c r="D738">
        <f>pH_KCl!B739</f>
        <v>0</v>
      </c>
      <c r="E738">
        <f>'pH CaCl2'!C738</f>
        <v>0</v>
      </c>
      <c r="F738" s="104">
        <f>P_Mehlich1!H723</f>
        <v>0</v>
      </c>
      <c r="G738" s="123">
        <f>P_resina!H743</f>
        <v>0</v>
      </c>
      <c r="H738" s="272">
        <f>K!G708</f>
        <v>0</v>
      </c>
      <c r="I738" s="125">
        <v>0</v>
      </c>
      <c r="J738" s="272">
        <f>'Ca2+'!G739</f>
        <v>0</v>
      </c>
      <c r="K738" s="272">
        <f>Mg²!G741</f>
        <v>0</v>
      </c>
      <c r="L738" s="279">
        <f>Al³!C740</f>
        <v>0</v>
      </c>
      <c r="M738" s="279">
        <f>'H + Al'!D740</f>
        <v>0</v>
      </c>
      <c r="N738" s="272">
        <f t="shared" si="73"/>
        <v>0</v>
      </c>
      <c r="O738" s="272">
        <f t="shared" si="74"/>
        <v>0</v>
      </c>
      <c r="P738" s="272">
        <f t="shared" si="75"/>
        <v>0</v>
      </c>
      <c r="Q738" s="293" t="e">
        <f t="shared" si="76"/>
        <v>#DIV/0!</v>
      </c>
      <c r="R738" s="293" t="e">
        <f t="shared" si="77"/>
        <v>#DIV/0!</v>
      </c>
      <c r="S738">
        <f>Prem!H740</f>
        <v>0</v>
      </c>
      <c r="T738" s="281">
        <f>S!H744</f>
        <v>0</v>
      </c>
      <c r="U738" s="274">
        <f>B!H739</f>
        <v>0</v>
      </c>
      <c r="V738" s="272">
        <f>Zn!G740</f>
        <v>0</v>
      </c>
      <c r="W738" s="272">
        <f>Cu!G740</f>
        <v>0</v>
      </c>
      <c r="X738" s="272">
        <f>Mn!G740</f>
        <v>0</v>
      </c>
      <c r="Y738" s="272">
        <f>Fe!G740</f>
        <v>0</v>
      </c>
      <c r="Z738" s="274">
        <f>M.O!H740</f>
        <v>0</v>
      </c>
      <c r="AA738" s="272" t="e">
        <f t="shared" si="81"/>
        <v>#DIV/0!</v>
      </c>
      <c r="AB738" s="272" t="e">
        <f t="shared" si="82"/>
        <v>#DIV/0!</v>
      </c>
      <c r="AC738" s="272" t="e">
        <f t="shared" si="83"/>
        <v>#DIV/0!</v>
      </c>
    </row>
    <row r="739" spans="1:29" x14ac:dyDescent="0.2">
      <c r="A739" s="106">
        <f>Cadastro!A743</f>
        <v>0</v>
      </c>
      <c r="B739" s="27">
        <f>Cadastro!E741</f>
        <v>0</v>
      </c>
      <c r="C739">
        <f>pH_água!C739</f>
        <v>0</v>
      </c>
      <c r="D739">
        <f>pH_KCl!B740</f>
        <v>0</v>
      </c>
      <c r="E739">
        <f>'pH CaCl2'!C739</f>
        <v>0</v>
      </c>
      <c r="F739" s="104">
        <f>P_Mehlich1!H724</f>
        <v>0</v>
      </c>
      <c r="G739" s="123">
        <f>P_resina!H744</f>
        <v>0</v>
      </c>
      <c r="H739" s="272">
        <f>K!G709</f>
        <v>0</v>
      </c>
      <c r="I739" s="125">
        <v>0</v>
      </c>
      <c r="J739" s="272">
        <f>'Ca2+'!G740</f>
        <v>0</v>
      </c>
      <c r="K739" s="272">
        <f>Mg²!G742</f>
        <v>0</v>
      </c>
      <c r="L739" s="279">
        <f>Al³!C741</f>
        <v>0</v>
      </c>
      <c r="M739" s="279">
        <f>'H + Al'!D741</f>
        <v>0</v>
      </c>
      <c r="N739" s="272">
        <f t="shared" si="73"/>
        <v>0</v>
      </c>
      <c r="O739" s="272">
        <f t="shared" si="74"/>
        <v>0</v>
      </c>
      <c r="P739" s="272">
        <f t="shared" si="75"/>
        <v>0</v>
      </c>
      <c r="Q739" s="293" t="e">
        <f t="shared" si="76"/>
        <v>#DIV/0!</v>
      </c>
      <c r="R739" s="293" t="e">
        <f t="shared" si="77"/>
        <v>#DIV/0!</v>
      </c>
      <c r="S739">
        <f>Prem!H741</f>
        <v>0</v>
      </c>
      <c r="T739" s="281">
        <f>S!H745</f>
        <v>0</v>
      </c>
      <c r="U739" s="274">
        <f>B!H740</f>
        <v>0</v>
      </c>
      <c r="V739" s="272">
        <f>Zn!G741</f>
        <v>0</v>
      </c>
      <c r="W739" s="272">
        <f>Cu!G741</f>
        <v>0</v>
      </c>
      <c r="X739" s="272">
        <f>Mn!G741</f>
        <v>0</v>
      </c>
      <c r="Y739" s="272">
        <f>Fe!G741</f>
        <v>0</v>
      </c>
      <c r="Z739" s="274">
        <f>M.O!H741</f>
        <v>0</v>
      </c>
      <c r="AA739" s="272" t="e">
        <f t="shared" si="81"/>
        <v>#DIV/0!</v>
      </c>
      <c r="AB739" s="272" t="e">
        <f t="shared" si="82"/>
        <v>#DIV/0!</v>
      </c>
      <c r="AC739" s="272" t="e">
        <f t="shared" si="83"/>
        <v>#DIV/0!</v>
      </c>
    </row>
    <row r="740" spans="1:29" x14ac:dyDescent="0.2">
      <c r="A740" s="106">
        <f>Cadastro!A744</f>
        <v>0</v>
      </c>
      <c r="B740" s="27">
        <f>Cadastro!E742</f>
        <v>0</v>
      </c>
      <c r="C740">
        <f>pH_água!C740</f>
        <v>0</v>
      </c>
      <c r="D740">
        <f>pH_KCl!B741</f>
        <v>0</v>
      </c>
      <c r="E740">
        <f>'pH CaCl2'!C740</f>
        <v>0</v>
      </c>
      <c r="F740" s="104">
        <f>P_Mehlich1!H725</f>
        <v>0</v>
      </c>
      <c r="G740" s="123">
        <f>P_resina!H745</f>
        <v>0</v>
      </c>
      <c r="H740" s="272">
        <f>K!G710</f>
        <v>0</v>
      </c>
      <c r="I740" s="125">
        <v>0</v>
      </c>
      <c r="J740" s="272">
        <f>'Ca2+'!G741</f>
        <v>0</v>
      </c>
      <c r="K740" s="272">
        <f>Mg²!G743</f>
        <v>0</v>
      </c>
      <c r="L740" s="279">
        <f>Al³!C742</f>
        <v>0</v>
      </c>
      <c r="M740" s="279">
        <f>'H + Al'!D742</f>
        <v>0</v>
      </c>
      <c r="N740" s="272">
        <f t="shared" si="73"/>
        <v>0</v>
      </c>
      <c r="O740" s="272">
        <f t="shared" si="74"/>
        <v>0</v>
      </c>
      <c r="P740" s="272">
        <f t="shared" si="75"/>
        <v>0</v>
      </c>
      <c r="Q740" s="293" t="e">
        <f t="shared" si="76"/>
        <v>#DIV/0!</v>
      </c>
      <c r="R740" s="293" t="e">
        <f t="shared" si="77"/>
        <v>#DIV/0!</v>
      </c>
      <c r="S740">
        <f>Prem!H742</f>
        <v>0</v>
      </c>
      <c r="T740" s="281">
        <f>S!H746</f>
        <v>0</v>
      </c>
      <c r="U740" s="274">
        <f>B!H741</f>
        <v>0</v>
      </c>
      <c r="V740" s="272">
        <f>Zn!G742</f>
        <v>0</v>
      </c>
      <c r="W740" s="272">
        <f>Cu!G742</f>
        <v>0</v>
      </c>
      <c r="X740" s="272">
        <f>Mn!G742</f>
        <v>0</v>
      </c>
      <c r="Y740" s="272">
        <f>Fe!G742</f>
        <v>0</v>
      </c>
      <c r="Z740" s="274">
        <f>M.O!H742</f>
        <v>0</v>
      </c>
      <c r="AA740" s="272" t="e">
        <f t="shared" si="81"/>
        <v>#DIV/0!</v>
      </c>
      <c r="AB740" s="272" t="e">
        <f t="shared" si="82"/>
        <v>#DIV/0!</v>
      </c>
      <c r="AC740" s="272" t="e">
        <f t="shared" si="83"/>
        <v>#DIV/0!</v>
      </c>
    </row>
    <row r="741" spans="1:29" x14ac:dyDescent="0.2">
      <c r="A741" s="106">
        <f>Cadastro!A745</f>
        <v>0</v>
      </c>
      <c r="B741" s="27">
        <f>Cadastro!E743</f>
        <v>0</v>
      </c>
      <c r="C741">
        <f>pH_água!C741</f>
        <v>0</v>
      </c>
      <c r="D741">
        <f>pH_KCl!B742</f>
        <v>0</v>
      </c>
      <c r="E741">
        <f>'pH CaCl2'!C741</f>
        <v>0</v>
      </c>
      <c r="F741" s="104">
        <f>P_Mehlich1!H726</f>
        <v>0</v>
      </c>
      <c r="G741" s="123">
        <f>P_resina!H746</f>
        <v>0</v>
      </c>
      <c r="H741" s="272">
        <f>K!G711</f>
        <v>0</v>
      </c>
      <c r="I741" s="125">
        <v>0</v>
      </c>
      <c r="J741" s="272">
        <f>'Ca2+'!G742</f>
        <v>0</v>
      </c>
      <c r="K741" s="272">
        <f>Mg²!G744</f>
        <v>0</v>
      </c>
      <c r="L741" s="279">
        <f>Al³!C743</f>
        <v>0</v>
      </c>
      <c r="M741" s="279">
        <f>'H + Al'!D743</f>
        <v>0</v>
      </c>
      <c r="N741" s="272">
        <f t="shared" si="73"/>
        <v>0</v>
      </c>
      <c r="O741" s="272">
        <f t="shared" si="74"/>
        <v>0</v>
      </c>
      <c r="P741" s="272">
        <f t="shared" si="75"/>
        <v>0</v>
      </c>
      <c r="Q741" s="293" t="e">
        <f t="shared" si="76"/>
        <v>#DIV/0!</v>
      </c>
      <c r="R741" s="293" t="e">
        <f t="shared" si="77"/>
        <v>#DIV/0!</v>
      </c>
      <c r="S741">
        <f>Prem!H743</f>
        <v>0</v>
      </c>
      <c r="T741" s="281">
        <f>S!H747</f>
        <v>0</v>
      </c>
      <c r="U741" s="274">
        <f>B!H742</f>
        <v>0</v>
      </c>
      <c r="V741" s="272">
        <f>Zn!G743</f>
        <v>0</v>
      </c>
      <c r="W741" s="272">
        <f>Cu!G743</f>
        <v>0</v>
      </c>
      <c r="X741" s="272">
        <f>Mn!G743</f>
        <v>0</v>
      </c>
      <c r="Y741" s="272">
        <f>Fe!G743</f>
        <v>0</v>
      </c>
      <c r="Z741" s="274">
        <f>M.O!H743</f>
        <v>0</v>
      </c>
      <c r="AA741" s="272" t="e">
        <f t="shared" si="81"/>
        <v>#DIV/0!</v>
      </c>
      <c r="AB741" s="272" t="e">
        <f t="shared" si="82"/>
        <v>#DIV/0!</v>
      </c>
      <c r="AC741" s="272" t="e">
        <f t="shared" si="83"/>
        <v>#DIV/0!</v>
      </c>
    </row>
    <row r="742" spans="1:29" x14ac:dyDescent="0.2">
      <c r="A742" s="106">
        <f>Cadastro!A746</f>
        <v>0</v>
      </c>
      <c r="B742" s="27">
        <f>Cadastro!E744</f>
        <v>0</v>
      </c>
      <c r="C742">
        <f>pH_água!C742</f>
        <v>0</v>
      </c>
      <c r="D742">
        <f>pH_KCl!B743</f>
        <v>0</v>
      </c>
      <c r="E742">
        <f>'pH CaCl2'!C742</f>
        <v>0</v>
      </c>
      <c r="F742" s="104">
        <f>P_Mehlich1!H727</f>
        <v>0</v>
      </c>
      <c r="G742" s="123">
        <f>P_resina!H747</f>
        <v>0</v>
      </c>
      <c r="H742" s="272">
        <f>K!G712</f>
        <v>0</v>
      </c>
      <c r="I742" s="125">
        <v>0</v>
      </c>
      <c r="J742" s="272">
        <f>'Ca2+'!G743</f>
        <v>0</v>
      </c>
      <c r="K742" s="272">
        <f>Mg²!G745</f>
        <v>0</v>
      </c>
      <c r="L742" s="279">
        <f>Al³!C744</f>
        <v>0</v>
      </c>
      <c r="M742" s="279">
        <f>'H + Al'!D744</f>
        <v>0</v>
      </c>
      <c r="N742" s="272">
        <f t="shared" si="73"/>
        <v>0</v>
      </c>
      <c r="O742" s="272">
        <f t="shared" si="74"/>
        <v>0</v>
      </c>
      <c r="P742" s="272">
        <f t="shared" si="75"/>
        <v>0</v>
      </c>
      <c r="Q742" s="293" t="e">
        <f t="shared" si="76"/>
        <v>#DIV/0!</v>
      </c>
      <c r="R742" s="293" t="e">
        <f t="shared" si="77"/>
        <v>#DIV/0!</v>
      </c>
      <c r="S742">
        <f>Prem!H744</f>
        <v>0</v>
      </c>
      <c r="T742" s="281">
        <f>S!H748</f>
        <v>0</v>
      </c>
      <c r="U742" s="274">
        <f>B!H743</f>
        <v>0</v>
      </c>
      <c r="V742" s="272">
        <f>Zn!G744</f>
        <v>0</v>
      </c>
      <c r="W742" s="272">
        <f>Cu!G744</f>
        <v>0</v>
      </c>
      <c r="X742" s="272">
        <f>Mn!G744</f>
        <v>0</v>
      </c>
      <c r="Y742" s="272">
        <f>Fe!G744</f>
        <v>0</v>
      </c>
      <c r="Z742" s="274">
        <f>M.O!H744</f>
        <v>0</v>
      </c>
      <c r="AA742" s="272" t="e">
        <f t="shared" si="81"/>
        <v>#DIV/0!</v>
      </c>
      <c r="AB742" s="272" t="e">
        <f t="shared" si="82"/>
        <v>#DIV/0!</v>
      </c>
      <c r="AC742" s="272" t="e">
        <f t="shared" si="83"/>
        <v>#DIV/0!</v>
      </c>
    </row>
    <row r="743" spans="1:29" x14ac:dyDescent="0.2">
      <c r="A743" s="106">
        <f>Cadastro!A747</f>
        <v>0</v>
      </c>
      <c r="B743" s="27">
        <f>Cadastro!E745</f>
        <v>0</v>
      </c>
      <c r="C743">
        <f>pH_água!C743</f>
        <v>0</v>
      </c>
      <c r="D743">
        <f>pH_KCl!B744</f>
        <v>0</v>
      </c>
      <c r="E743">
        <f>'pH CaCl2'!C743</f>
        <v>0</v>
      </c>
      <c r="F743" s="104">
        <f>P_Mehlich1!H728</f>
        <v>0</v>
      </c>
      <c r="G743" s="123">
        <f>P_resina!H748</f>
        <v>0</v>
      </c>
      <c r="H743" s="272">
        <f>K!G713</f>
        <v>0</v>
      </c>
      <c r="I743" s="125">
        <v>0</v>
      </c>
      <c r="J743" s="272">
        <f>'Ca2+'!G744</f>
        <v>0</v>
      </c>
      <c r="K743" s="272">
        <f>Mg²!G746</f>
        <v>0</v>
      </c>
      <c r="L743" s="279">
        <f>Al³!C745</f>
        <v>0</v>
      </c>
      <c r="M743" s="279">
        <f>'H + Al'!D745</f>
        <v>0</v>
      </c>
      <c r="N743" s="272">
        <f t="shared" si="73"/>
        <v>0</v>
      </c>
      <c r="O743" s="272">
        <f t="shared" si="74"/>
        <v>0</v>
      </c>
      <c r="P743" s="272">
        <f t="shared" si="75"/>
        <v>0</v>
      </c>
      <c r="Q743" s="293" t="e">
        <f t="shared" si="76"/>
        <v>#DIV/0!</v>
      </c>
      <c r="R743" s="293" t="e">
        <f t="shared" si="77"/>
        <v>#DIV/0!</v>
      </c>
      <c r="S743">
        <f>Prem!H745</f>
        <v>0</v>
      </c>
      <c r="T743" s="281">
        <f>S!H749</f>
        <v>0</v>
      </c>
      <c r="U743" s="274">
        <f>B!H744</f>
        <v>0</v>
      </c>
      <c r="V743" s="272">
        <f>Zn!G745</f>
        <v>0</v>
      </c>
      <c r="W743" s="272">
        <f>Cu!G745</f>
        <v>0</v>
      </c>
      <c r="X743" s="272">
        <f>Mn!G745</f>
        <v>0</v>
      </c>
      <c r="Y743" s="272">
        <f>Fe!G745</f>
        <v>0</v>
      </c>
      <c r="Z743" s="274">
        <f>M.O!H745</f>
        <v>0</v>
      </c>
      <c r="AA743" s="272" t="e">
        <f t="shared" si="81"/>
        <v>#DIV/0!</v>
      </c>
      <c r="AB743" s="272" t="e">
        <f t="shared" si="82"/>
        <v>#DIV/0!</v>
      </c>
      <c r="AC743" s="272" t="e">
        <f t="shared" si="83"/>
        <v>#DIV/0!</v>
      </c>
    </row>
    <row r="744" spans="1:29" x14ac:dyDescent="0.2">
      <c r="A744" s="106">
        <f>Cadastro!A748</f>
        <v>0</v>
      </c>
      <c r="B744" s="27">
        <f>Cadastro!E746</f>
        <v>0</v>
      </c>
      <c r="C744">
        <f>pH_água!C744</f>
        <v>0</v>
      </c>
      <c r="D744">
        <f>pH_KCl!B745</f>
        <v>0</v>
      </c>
      <c r="E744">
        <f>'pH CaCl2'!C744</f>
        <v>0</v>
      </c>
      <c r="F744" s="104">
        <f>P_Mehlich1!H729</f>
        <v>0</v>
      </c>
      <c r="G744" s="123">
        <f>P_resina!H749</f>
        <v>0</v>
      </c>
      <c r="H744" s="272">
        <f>K!G714</f>
        <v>0</v>
      </c>
      <c r="I744" s="125">
        <v>0</v>
      </c>
      <c r="J744" s="272">
        <f>'Ca2+'!G745</f>
        <v>0</v>
      </c>
      <c r="K744" s="272">
        <f>Mg²!G747</f>
        <v>0</v>
      </c>
      <c r="L744" s="279">
        <f>Al³!C746</f>
        <v>0</v>
      </c>
      <c r="M744" s="279">
        <f>'H + Al'!D746</f>
        <v>0</v>
      </c>
      <c r="N744" s="272">
        <f t="shared" si="73"/>
        <v>0</v>
      </c>
      <c r="O744" s="272">
        <f t="shared" si="74"/>
        <v>0</v>
      </c>
      <c r="P744" s="272">
        <f t="shared" si="75"/>
        <v>0</v>
      </c>
      <c r="Q744" s="293" t="e">
        <f t="shared" si="76"/>
        <v>#DIV/0!</v>
      </c>
      <c r="R744" s="293" t="e">
        <f t="shared" si="77"/>
        <v>#DIV/0!</v>
      </c>
      <c r="S744">
        <f>Prem!H746</f>
        <v>0</v>
      </c>
      <c r="T744" s="281">
        <f>S!H750</f>
        <v>0</v>
      </c>
      <c r="U744" s="274">
        <f>B!H745</f>
        <v>0</v>
      </c>
      <c r="V744" s="272">
        <f>Zn!G746</f>
        <v>0</v>
      </c>
      <c r="W744" s="272">
        <f>Cu!G746</f>
        <v>0</v>
      </c>
      <c r="X744" s="272">
        <f>Mn!G746</f>
        <v>0</v>
      </c>
      <c r="Y744" s="272">
        <f>Fe!G746</f>
        <v>0</v>
      </c>
      <c r="Z744" s="274">
        <f>M.O!H746</f>
        <v>0</v>
      </c>
      <c r="AA744" s="272" t="e">
        <f t="shared" si="81"/>
        <v>#DIV/0!</v>
      </c>
      <c r="AB744" s="272" t="e">
        <f t="shared" si="82"/>
        <v>#DIV/0!</v>
      </c>
      <c r="AC744" s="272" t="e">
        <f t="shared" si="83"/>
        <v>#DIV/0!</v>
      </c>
    </row>
    <row r="745" spans="1:29" x14ac:dyDescent="0.2">
      <c r="A745" s="106">
        <f>Cadastro!A749</f>
        <v>0</v>
      </c>
      <c r="B745" s="27">
        <f>Cadastro!E747</f>
        <v>0</v>
      </c>
      <c r="C745">
        <f>pH_água!C745</f>
        <v>0</v>
      </c>
      <c r="D745">
        <f>pH_KCl!B746</f>
        <v>0</v>
      </c>
      <c r="E745">
        <f>'pH CaCl2'!C745</f>
        <v>0</v>
      </c>
      <c r="F745" s="104">
        <f>P_Mehlich1!H730</f>
        <v>0</v>
      </c>
      <c r="G745" s="123">
        <f>P_resina!H750</f>
        <v>0</v>
      </c>
      <c r="H745" s="272">
        <f>K!G715</f>
        <v>0</v>
      </c>
      <c r="I745" s="125">
        <v>0</v>
      </c>
      <c r="J745" s="272">
        <f>'Ca2+'!G746</f>
        <v>0</v>
      </c>
      <c r="K745" s="272">
        <f>Mg²!G748</f>
        <v>0</v>
      </c>
      <c r="L745" s="279">
        <f>Al³!C747</f>
        <v>0</v>
      </c>
      <c r="M745" s="279">
        <f>'H + Al'!D747</f>
        <v>0</v>
      </c>
      <c r="N745" s="272">
        <f t="shared" si="73"/>
        <v>0</v>
      </c>
      <c r="O745" s="272">
        <f t="shared" si="74"/>
        <v>0</v>
      </c>
      <c r="P745" s="272">
        <f t="shared" si="75"/>
        <v>0</v>
      </c>
      <c r="Q745" s="293" t="e">
        <f t="shared" si="76"/>
        <v>#DIV/0!</v>
      </c>
      <c r="R745" s="293" t="e">
        <f t="shared" si="77"/>
        <v>#DIV/0!</v>
      </c>
      <c r="S745">
        <f>Prem!H747</f>
        <v>0</v>
      </c>
      <c r="T745" s="281">
        <f>S!H751</f>
        <v>0</v>
      </c>
      <c r="U745" s="274">
        <f>B!H746</f>
        <v>0</v>
      </c>
      <c r="V745" s="272">
        <f>Zn!G747</f>
        <v>0</v>
      </c>
      <c r="W745" s="272">
        <f>Cu!G747</f>
        <v>0</v>
      </c>
      <c r="X745" s="272">
        <f>Mn!G747</f>
        <v>0</v>
      </c>
      <c r="Y745" s="272">
        <f>Fe!G747</f>
        <v>0</v>
      </c>
      <c r="Z745" s="274">
        <f>M.O!H747</f>
        <v>0</v>
      </c>
      <c r="AA745" s="272" t="e">
        <f t="shared" si="81"/>
        <v>#DIV/0!</v>
      </c>
      <c r="AB745" s="272" t="e">
        <f t="shared" si="82"/>
        <v>#DIV/0!</v>
      </c>
      <c r="AC745" s="272" t="e">
        <f t="shared" si="83"/>
        <v>#DIV/0!</v>
      </c>
    </row>
    <row r="746" spans="1:29" x14ac:dyDescent="0.2">
      <c r="A746" s="106">
        <f>Cadastro!A750</f>
        <v>0</v>
      </c>
      <c r="B746" s="27">
        <f>Cadastro!E748</f>
        <v>0</v>
      </c>
      <c r="C746">
        <f>pH_água!C746</f>
        <v>0</v>
      </c>
      <c r="D746">
        <f>pH_KCl!B747</f>
        <v>0</v>
      </c>
      <c r="E746">
        <f>'pH CaCl2'!C746</f>
        <v>0</v>
      </c>
      <c r="F746" s="104">
        <f>P_Mehlich1!H731</f>
        <v>0</v>
      </c>
      <c r="G746" s="123">
        <f>P_resina!H751</f>
        <v>0</v>
      </c>
      <c r="H746" s="272">
        <f>K!G716</f>
        <v>0</v>
      </c>
      <c r="I746" s="125">
        <v>0</v>
      </c>
      <c r="J746" s="272">
        <f>'Ca2+'!G747</f>
        <v>0</v>
      </c>
      <c r="K746" s="272">
        <f>Mg²!G749</f>
        <v>0</v>
      </c>
      <c r="L746" s="279">
        <f>Al³!C748</f>
        <v>0</v>
      </c>
      <c r="M746" s="279">
        <f>'H + Al'!D748</f>
        <v>0</v>
      </c>
      <c r="N746" s="272">
        <f t="shared" si="73"/>
        <v>0</v>
      </c>
      <c r="O746" s="272">
        <f t="shared" si="74"/>
        <v>0</v>
      </c>
      <c r="P746" s="272">
        <f t="shared" si="75"/>
        <v>0</v>
      </c>
      <c r="Q746" s="293" t="e">
        <f t="shared" si="76"/>
        <v>#DIV/0!</v>
      </c>
      <c r="R746" s="293" t="e">
        <f t="shared" si="77"/>
        <v>#DIV/0!</v>
      </c>
      <c r="S746">
        <f>Prem!H748</f>
        <v>0</v>
      </c>
      <c r="T746" s="281">
        <f>S!H752</f>
        <v>0</v>
      </c>
      <c r="U746" s="274">
        <f>B!H747</f>
        <v>0</v>
      </c>
      <c r="V746" s="272">
        <f>Zn!G748</f>
        <v>0</v>
      </c>
      <c r="W746" s="272">
        <f>Cu!G748</f>
        <v>0</v>
      </c>
      <c r="X746" s="272">
        <f>Mn!G748</f>
        <v>0</v>
      </c>
      <c r="Y746" s="272">
        <f>Fe!G748</f>
        <v>0</v>
      </c>
      <c r="Z746" s="274">
        <f>M.O!H748</f>
        <v>0</v>
      </c>
      <c r="AA746" s="272" t="e">
        <f t="shared" si="81"/>
        <v>#DIV/0!</v>
      </c>
      <c r="AB746" s="272" t="e">
        <f t="shared" si="82"/>
        <v>#DIV/0!</v>
      </c>
      <c r="AC746" s="272" t="e">
        <f t="shared" si="83"/>
        <v>#DIV/0!</v>
      </c>
    </row>
    <row r="747" spans="1:29" x14ac:dyDescent="0.2">
      <c r="A747" s="106">
        <f>Cadastro!A751</f>
        <v>0</v>
      </c>
      <c r="B747" s="27">
        <f>Cadastro!E749</f>
        <v>0</v>
      </c>
      <c r="C747">
        <f>pH_água!C747</f>
        <v>0</v>
      </c>
      <c r="D747">
        <f>pH_KCl!B748</f>
        <v>0</v>
      </c>
      <c r="E747">
        <f>'pH CaCl2'!C747</f>
        <v>0</v>
      </c>
      <c r="F747" s="104">
        <f>P_Mehlich1!H732</f>
        <v>0</v>
      </c>
      <c r="G747" s="123">
        <f>P_resina!H752</f>
        <v>0</v>
      </c>
      <c r="H747" s="272">
        <f>K!G717</f>
        <v>0</v>
      </c>
      <c r="I747" s="125">
        <v>0</v>
      </c>
      <c r="J747" s="272">
        <f>'Ca2+'!G748</f>
        <v>0</v>
      </c>
      <c r="K747" s="272">
        <f>Mg²!G750</f>
        <v>0</v>
      </c>
      <c r="L747" s="279">
        <f>Al³!C749</f>
        <v>0</v>
      </c>
      <c r="M747" s="279">
        <f>'H + Al'!D749</f>
        <v>0</v>
      </c>
      <c r="N747" s="272">
        <f t="shared" si="73"/>
        <v>0</v>
      </c>
      <c r="O747" s="272">
        <f t="shared" si="74"/>
        <v>0</v>
      </c>
      <c r="P747" s="272">
        <f t="shared" si="75"/>
        <v>0</v>
      </c>
      <c r="Q747" s="293" t="e">
        <f t="shared" si="76"/>
        <v>#DIV/0!</v>
      </c>
      <c r="R747" s="293" t="e">
        <f t="shared" si="77"/>
        <v>#DIV/0!</v>
      </c>
      <c r="S747">
        <f>Prem!H749</f>
        <v>0</v>
      </c>
      <c r="T747" s="281">
        <f>S!H753</f>
        <v>0</v>
      </c>
      <c r="U747" s="274">
        <f>B!H748</f>
        <v>0</v>
      </c>
      <c r="V747" s="272">
        <f>Zn!G749</f>
        <v>0</v>
      </c>
      <c r="W747" s="272">
        <f>Cu!G749</f>
        <v>0</v>
      </c>
      <c r="X747" s="272">
        <f>Mn!G749</f>
        <v>0</v>
      </c>
      <c r="Y747" s="272">
        <f>Fe!G749</f>
        <v>0</v>
      </c>
      <c r="Z747" s="274">
        <f>M.O!H749</f>
        <v>0</v>
      </c>
      <c r="AA747" s="272" t="e">
        <f t="shared" si="81"/>
        <v>#DIV/0!</v>
      </c>
      <c r="AB747" s="272" t="e">
        <f t="shared" si="82"/>
        <v>#DIV/0!</v>
      </c>
      <c r="AC747" s="272" t="e">
        <f t="shared" si="83"/>
        <v>#DIV/0!</v>
      </c>
    </row>
    <row r="748" spans="1:29" x14ac:dyDescent="0.2">
      <c r="A748" s="106">
        <f>Cadastro!A752</f>
        <v>0</v>
      </c>
      <c r="B748" s="27">
        <f>Cadastro!E750</f>
        <v>0</v>
      </c>
      <c r="C748">
        <f>pH_água!C748</f>
        <v>0</v>
      </c>
      <c r="D748">
        <f>pH_KCl!B749</f>
        <v>0</v>
      </c>
      <c r="E748">
        <f>'pH CaCl2'!C748</f>
        <v>0</v>
      </c>
      <c r="F748" s="104">
        <f>P_Mehlich1!H733</f>
        <v>0</v>
      </c>
      <c r="G748" s="123">
        <f>P_resina!H753</f>
        <v>0</v>
      </c>
      <c r="H748" s="272">
        <f>K!G718</f>
        <v>0</v>
      </c>
      <c r="I748" s="125">
        <v>0</v>
      </c>
      <c r="J748" s="272">
        <f>'Ca2+'!G749</f>
        <v>0</v>
      </c>
      <c r="K748" s="272">
        <f>Mg²!G751</f>
        <v>0</v>
      </c>
      <c r="L748" s="279">
        <f>Al³!C750</f>
        <v>0</v>
      </c>
      <c r="M748" s="279">
        <f>'H + Al'!D750</f>
        <v>0</v>
      </c>
      <c r="N748" s="272">
        <f t="shared" si="73"/>
        <v>0</v>
      </c>
      <c r="O748" s="272">
        <f t="shared" si="74"/>
        <v>0</v>
      </c>
      <c r="P748" s="272">
        <f t="shared" si="75"/>
        <v>0</v>
      </c>
      <c r="Q748" s="293" t="e">
        <f t="shared" si="76"/>
        <v>#DIV/0!</v>
      </c>
      <c r="R748" s="293" t="e">
        <f t="shared" si="77"/>
        <v>#DIV/0!</v>
      </c>
      <c r="S748">
        <f>Prem!H750</f>
        <v>0</v>
      </c>
      <c r="T748" s="281">
        <f>S!H754</f>
        <v>0</v>
      </c>
      <c r="U748" s="274">
        <f>B!H749</f>
        <v>0</v>
      </c>
      <c r="V748" s="272">
        <f>Zn!G750</f>
        <v>0</v>
      </c>
      <c r="W748" s="272">
        <f>Cu!G750</f>
        <v>0</v>
      </c>
      <c r="X748" s="272">
        <f>Mn!G750</f>
        <v>0</v>
      </c>
      <c r="Y748" s="272">
        <f>Fe!G750</f>
        <v>0</v>
      </c>
      <c r="Z748" s="274">
        <f>M.O!H750</f>
        <v>0</v>
      </c>
      <c r="AA748" s="272" t="e">
        <f t="shared" si="81"/>
        <v>#DIV/0!</v>
      </c>
      <c r="AB748" s="272" t="e">
        <f t="shared" si="82"/>
        <v>#DIV/0!</v>
      </c>
      <c r="AC748" s="272" t="e">
        <f t="shared" si="83"/>
        <v>#DIV/0!</v>
      </c>
    </row>
    <row r="749" spans="1:29" x14ac:dyDescent="0.2">
      <c r="A749" s="106">
        <f>Cadastro!A753</f>
        <v>0</v>
      </c>
      <c r="B749" s="27">
        <f>Cadastro!E751</f>
        <v>0</v>
      </c>
      <c r="C749">
        <f>pH_água!C749</f>
        <v>0</v>
      </c>
      <c r="D749">
        <f>pH_KCl!B750</f>
        <v>0</v>
      </c>
      <c r="E749">
        <f>'pH CaCl2'!C749</f>
        <v>0</v>
      </c>
      <c r="F749" s="104">
        <f>P_Mehlich1!H734</f>
        <v>0</v>
      </c>
      <c r="G749" s="123">
        <f>P_resina!H754</f>
        <v>0</v>
      </c>
      <c r="H749" s="272">
        <f>K!G719</f>
        <v>0</v>
      </c>
      <c r="I749" s="125">
        <v>0</v>
      </c>
      <c r="J749" s="272">
        <f>'Ca2+'!G750</f>
        <v>0</v>
      </c>
      <c r="K749" s="272">
        <f>Mg²!G752</f>
        <v>0</v>
      </c>
      <c r="L749" s="279">
        <f>Al³!C751</f>
        <v>0</v>
      </c>
      <c r="M749" s="279">
        <f>'H + Al'!D751</f>
        <v>0</v>
      </c>
      <c r="N749" s="272">
        <f t="shared" si="73"/>
        <v>0</v>
      </c>
      <c r="O749" s="272">
        <f t="shared" si="74"/>
        <v>0</v>
      </c>
      <c r="P749" s="272">
        <f t="shared" si="75"/>
        <v>0</v>
      </c>
      <c r="Q749" s="293" t="e">
        <f t="shared" si="76"/>
        <v>#DIV/0!</v>
      </c>
      <c r="R749" s="293" t="e">
        <f t="shared" si="77"/>
        <v>#DIV/0!</v>
      </c>
      <c r="S749">
        <f>Prem!H751</f>
        <v>0</v>
      </c>
      <c r="T749" s="281">
        <f>S!H755</f>
        <v>0</v>
      </c>
      <c r="U749" s="274">
        <f>B!H750</f>
        <v>0</v>
      </c>
      <c r="V749" s="272">
        <f>Zn!G751</f>
        <v>0</v>
      </c>
      <c r="W749" s="272">
        <f>Cu!G751</f>
        <v>0</v>
      </c>
      <c r="X749" s="272">
        <f>Mn!G751</f>
        <v>0</v>
      </c>
      <c r="Y749" s="272">
        <f>Fe!G751</f>
        <v>0</v>
      </c>
      <c r="Z749" s="274">
        <f>M.O!H751</f>
        <v>0</v>
      </c>
      <c r="AA749" s="272" t="e">
        <f t="shared" si="81"/>
        <v>#DIV/0!</v>
      </c>
      <c r="AB749" s="272" t="e">
        <f t="shared" si="82"/>
        <v>#DIV/0!</v>
      </c>
      <c r="AC749" s="272" t="e">
        <f t="shared" si="83"/>
        <v>#DIV/0!</v>
      </c>
    </row>
    <row r="750" spans="1:29" x14ac:dyDescent="0.2">
      <c r="A750" s="106">
        <f>Cadastro!A754</f>
        <v>0</v>
      </c>
      <c r="B750" s="27">
        <f>Cadastro!E752</f>
        <v>0</v>
      </c>
      <c r="C750">
        <f>pH_água!C750</f>
        <v>0</v>
      </c>
      <c r="D750">
        <f>pH_KCl!B751</f>
        <v>0</v>
      </c>
      <c r="E750">
        <f>'pH CaCl2'!C750</f>
        <v>0</v>
      </c>
      <c r="F750" s="104">
        <f>P_Mehlich1!H735</f>
        <v>0</v>
      </c>
      <c r="G750" s="123">
        <f>P_resina!H755</f>
        <v>0</v>
      </c>
      <c r="H750" s="272">
        <f>K!G720</f>
        <v>0</v>
      </c>
      <c r="I750" s="125">
        <v>0</v>
      </c>
      <c r="J750" s="272">
        <f>'Ca2+'!G751</f>
        <v>0</v>
      </c>
      <c r="K750" s="272">
        <f>Mg²!G753</f>
        <v>0</v>
      </c>
      <c r="L750" s="279">
        <f>Al³!C752</f>
        <v>0</v>
      </c>
      <c r="M750" s="279">
        <f>'H + Al'!D752</f>
        <v>0</v>
      </c>
      <c r="N750" s="272">
        <f t="shared" si="73"/>
        <v>0</v>
      </c>
      <c r="O750" s="272">
        <f t="shared" si="74"/>
        <v>0</v>
      </c>
      <c r="P750" s="272">
        <f t="shared" si="75"/>
        <v>0</v>
      </c>
      <c r="Q750" s="293" t="e">
        <f t="shared" si="76"/>
        <v>#DIV/0!</v>
      </c>
      <c r="R750" s="293" t="e">
        <f t="shared" si="77"/>
        <v>#DIV/0!</v>
      </c>
      <c r="S750">
        <f>Prem!H752</f>
        <v>0</v>
      </c>
      <c r="T750" s="281">
        <f>S!H756</f>
        <v>0</v>
      </c>
      <c r="U750" s="274">
        <f>B!H751</f>
        <v>0</v>
      </c>
      <c r="V750" s="272">
        <f>Zn!G752</f>
        <v>0</v>
      </c>
      <c r="W750" s="272">
        <f>Cu!G752</f>
        <v>0</v>
      </c>
      <c r="X750" s="272">
        <f>Mn!G752</f>
        <v>0</v>
      </c>
      <c r="Y750" s="272">
        <f>Fe!G752</f>
        <v>0</v>
      </c>
      <c r="Z750" s="274">
        <f>M.O!H752</f>
        <v>0</v>
      </c>
      <c r="AA750" s="272" t="e">
        <f t="shared" si="81"/>
        <v>#DIV/0!</v>
      </c>
      <c r="AB750" s="272" t="e">
        <f t="shared" si="82"/>
        <v>#DIV/0!</v>
      </c>
      <c r="AC750" s="272" t="e">
        <f t="shared" si="83"/>
        <v>#DIV/0!</v>
      </c>
    </row>
    <row r="751" spans="1:29" x14ac:dyDescent="0.2">
      <c r="A751" s="106">
        <f>Cadastro!A755</f>
        <v>0</v>
      </c>
      <c r="B751" s="27">
        <f>Cadastro!E753</f>
        <v>0</v>
      </c>
      <c r="C751">
        <f>pH_água!C751</f>
        <v>0</v>
      </c>
      <c r="D751">
        <f>pH_KCl!B752</f>
        <v>0</v>
      </c>
      <c r="E751">
        <f>'pH CaCl2'!C751</f>
        <v>0</v>
      </c>
      <c r="F751" s="104">
        <f>P_Mehlich1!H736</f>
        <v>0</v>
      </c>
      <c r="G751" s="123">
        <f>P_resina!H756</f>
        <v>0</v>
      </c>
      <c r="H751" s="272">
        <f>K!G721</f>
        <v>0</v>
      </c>
      <c r="I751" s="125">
        <v>0</v>
      </c>
      <c r="J751" s="272">
        <f>'Ca2+'!G752</f>
        <v>0</v>
      </c>
      <c r="K751" s="272">
        <f>Mg²!G754</f>
        <v>0</v>
      </c>
      <c r="L751" s="279">
        <f>Al³!C753</f>
        <v>0</v>
      </c>
      <c r="M751" s="279">
        <f>'H + Al'!D753</f>
        <v>0</v>
      </c>
      <c r="N751" s="272">
        <f t="shared" si="73"/>
        <v>0</v>
      </c>
      <c r="O751" s="272">
        <f t="shared" si="74"/>
        <v>0</v>
      </c>
      <c r="P751" s="272">
        <f t="shared" si="75"/>
        <v>0</v>
      </c>
      <c r="Q751" s="293" t="e">
        <f t="shared" si="76"/>
        <v>#DIV/0!</v>
      </c>
      <c r="R751" s="293" t="e">
        <f t="shared" si="77"/>
        <v>#DIV/0!</v>
      </c>
      <c r="S751">
        <f>Prem!H753</f>
        <v>0</v>
      </c>
      <c r="T751" s="281">
        <f>S!H757</f>
        <v>0</v>
      </c>
      <c r="U751" s="274">
        <f>B!H752</f>
        <v>0</v>
      </c>
      <c r="V751" s="272">
        <f>Zn!G753</f>
        <v>0</v>
      </c>
      <c r="W751" s="272">
        <f>Cu!G753</f>
        <v>0</v>
      </c>
      <c r="X751" s="272">
        <f>Mn!G753</f>
        <v>0</v>
      </c>
      <c r="Y751" s="272">
        <f>Fe!G753</f>
        <v>0</v>
      </c>
      <c r="Z751" s="274">
        <f>M.O!H753</f>
        <v>0</v>
      </c>
      <c r="AA751" s="272" t="e">
        <f t="shared" si="81"/>
        <v>#DIV/0!</v>
      </c>
      <c r="AB751" s="272" t="e">
        <f t="shared" si="82"/>
        <v>#DIV/0!</v>
      </c>
      <c r="AC751" s="272" t="e">
        <f t="shared" si="83"/>
        <v>#DIV/0!</v>
      </c>
    </row>
    <row r="752" spans="1:29" x14ac:dyDescent="0.2">
      <c r="A752" s="106">
        <f>Cadastro!A756</f>
        <v>0</v>
      </c>
      <c r="B752" s="27">
        <f>Cadastro!E754</f>
        <v>0</v>
      </c>
      <c r="C752">
        <f>pH_água!C752</f>
        <v>0</v>
      </c>
      <c r="D752">
        <f>pH_KCl!B753</f>
        <v>0</v>
      </c>
      <c r="E752">
        <f>'pH CaCl2'!C752</f>
        <v>0</v>
      </c>
      <c r="F752" s="104">
        <f>P_Mehlich1!H737</f>
        <v>0</v>
      </c>
      <c r="G752" s="123">
        <f>P_resina!H757</f>
        <v>0</v>
      </c>
      <c r="H752" s="272">
        <f>K!G722</f>
        <v>0</v>
      </c>
      <c r="I752" s="125">
        <v>0</v>
      </c>
      <c r="J752" s="272">
        <f>'Ca2+'!G753</f>
        <v>0</v>
      </c>
      <c r="K752" s="272">
        <f>Mg²!G755</f>
        <v>0</v>
      </c>
      <c r="L752" s="279">
        <f>Al³!C754</f>
        <v>0</v>
      </c>
      <c r="M752" s="279">
        <f>'H + Al'!D754</f>
        <v>0</v>
      </c>
      <c r="N752" s="272">
        <f t="shared" si="73"/>
        <v>0</v>
      </c>
      <c r="O752" s="272">
        <f t="shared" si="74"/>
        <v>0</v>
      </c>
      <c r="P752" s="272">
        <f t="shared" si="75"/>
        <v>0</v>
      </c>
      <c r="Q752" s="293" t="e">
        <f t="shared" si="76"/>
        <v>#DIV/0!</v>
      </c>
      <c r="R752" s="293" t="e">
        <f t="shared" si="77"/>
        <v>#DIV/0!</v>
      </c>
      <c r="S752">
        <f>Prem!H754</f>
        <v>0</v>
      </c>
      <c r="T752" s="281">
        <f>S!H758</f>
        <v>0</v>
      </c>
      <c r="U752" s="274">
        <f>B!H753</f>
        <v>0</v>
      </c>
      <c r="V752" s="272">
        <f>Zn!G754</f>
        <v>0</v>
      </c>
      <c r="W752" s="272">
        <f>Cu!G754</f>
        <v>0</v>
      </c>
      <c r="X752" s="272">
        <f>Mn!G754</f>
        <v>0</v>
      </c>
      <c r="Y752" s="272">
        <f>Fe!G754</f>
        <v>0</v>
      </c>
      <c r="Z752" s="274">
        <f>M.O!H754</f>
        <v>0</v>
      </c>
      <c r="AA752" s="272" t="e">
        <f t="shared" si="81"/>
        <v>#DIV/0!</v>
      </c>
      <c r="AB752" s="272" t="e">
        <f t="shared" si="82"/>
        <v>#DIV/0!</v>
      </c>
      <c r="AC752" s="272" t="e">
        <f t="shared" si="83"/>
        <v>#DIV/0!</v>
      </c>
    </row>
    <row r="753" spans="1:29" x14ac:dyDescent="0.2">
      <c r="A753" s="106">
        <f>Cadastro!A757</f>
        <v>0</v>
      </c>
      <c r="B753" s="27">
        <f>Cadastro!E755</f>
        <v>0</v>
      </c>
      <c r="C753">
        <f>pH_água!C753</f>
        <v>0</v>
      </c>
      <c r="D753">
        <f>pH_KCl!B754</f>
        <v>0</v>
      </c>
      <c r="E753">
        <f>'pH CaCl2'!C753</f>
        <v>0</v>
      </c>
      <c r="F753" s="104">
        <f>P_Mehlich1!H738</f>
        <v>0</v>
      </c>
      <c r="G753" s="123">
        <f>P_resina!H758</f>
        <v>0</v>
      </c>
      <c r="H753" s="272">
        <f>K!G723</f>
        <v>0</v>
      </c>
      <c r="I753" s="125">
        <v>0</v>
      </c>
      <c r="J753" s="272">
        <f>'Ca2+'!G754</f>
        <v>0</v>
      </c>
      <c r="K753" s="272">
        <f>Mg²!G756</f>
        <v>0</v>
      </c>
      <c r="L753" s="279">
        <f>Al³!C755</f>
        <v>0</v>
      </c>
      <c r="M753" s="279">
        <f>'H + Al'!D755</f>
        <v>0</v>
      </c>
      <c r="N753" s="272">
        <f t="shared" si="73"/>
        <v>0</v>
      </c>
      <c r="O753" s="272">
        <f t="shared" si="74"/>
        <v>0</v>
      </c>
      <c r="P753" s="272">
        <f t="shared" si="75"/>
        <v>0</v>
      </c>
      <c r="Q753" s="293" t="e">
        <f t="shared" si="76"/>
        <v>#DIV/0!</v>
      </c>
      <c r="R753" s="293" t="e">
        <f t="shared" si="77"/>
        <v>#DIV/0!</v>
      </c>
      <c r="S753">
        <f>Prem!H755</f>
        <v>0</v>
      </c>
      <c r="T753" s="281">
        <f>S!H759</f>
        <v>0</v>
      </c>
      <c r="U753" s="274">
        <f>B!H754</f>
        <v>0</v>
      </c>
      <c r="V753" s="272">
        <f>Zn!G755</f>
        <v>0</v>
      </c>
      <c r="W753" s="272">
        <f>Cu!G755</f>
        <v>0</v>
      </c>
      <c r="X753" s="272">
        <f>Mn!G755</f>
        <v>0</v>
      </c>
      <c r="Y753" s="272">
        <f>Fe!G755</f>
        <v>0</v>
      </c>
      <c r="Z753" s="274">
        <f>M.O!H755</f>
        <v>0</v>
      </c>
      <c r="AA753" s="272" t="e">
        <f t="shared" si="81"/>
        <v>#DIV/0!</v>
      </c>
      <c r="AB753" s="272" t="e">
        <f t="shared" si="82"/>
        <v>#DIV/0!</v>
      </c>
      <c r="AC753" s="272" t="e">
        <f t="shared" si="83"/>
        <v>#DIV/0!</v>
      </c>
    </row>
    <row r="754" spans="1:29" x14ac:dyDescent="0.2">
      <c r="A754" s="106">
        <f>Cadastro!A758</f>
        <v>0</v>
      </c>
      <c r="B754" s="27">
        <f>Cadastro!E756</f>
        <v>0</v>
      </c>
      <c r="C754">
        <f>pH_água!C754</f>
        <v>0</v>
      </c>
      <c r="D754">
        <f>pH_KCl!B755</f>
        <v>0</v>
      </c>
      <c r="E754">
        <f>'pH CaCl2'!C754</f>
        <v>0</v>
      </c>
      <c r="F754" s="104">
        <f>P_Mehlich1!H739</f>
        <v>0</v>
      </c>
      <c r="G754" s="123">
        <f>P_resina!H759</f>
        <v>0</v>
      </c>
      <c r="H754" s="272">
        <f>K!G724</f>
        <v>0</v>
      </c>
      <c r="I754" s="125">
        <v>0</v>
      </c>
      <c r="J754" s="272">
        <f>'Ca2+'!G755</f>
        <v>0</v>
      </c>
      <c r="K754" s="272">
        <f>Mg²!G757</f>
        <v>0</v>
      </c>
      <c r="L754" s="279">
        <f>Al³!C756</f>
        <v>0</v>
      </c>
      <c r="M754" s="279">
        <f>'H + Al'!D756</f>
        <v>0</v>
      </c>
      <c r="N754" s="272">
        <f t="shared" si="73"/>
        <v>0</v>
      </c>
      <c r="O754" s="272">
        <f t="shared" si="74"/>
        <v>0</v>
      </c>
      <c r="P754" s="272">
        <f t="shared" si="75"/>
        <v>0</v>
      </c>
      <c r="Q754" s="293" t="e">
        <f t="shared" si="76"/>
        <v>#DIV/0!</v>
      </c>
      <c r="R754" s="293" t="e">
        <f t="shared" si="77"/>
        <v>#DIV/0!</v>
      </c>
      <c r="S754">
        <f>Prem!H756</f>
        <v>0</v>
      </c>
      <c r="T754" s="281">
        <f>S!H760</f>
        <v>0</v>
      </c>
      <c r="U754" s="274">
        <f>B!H755</f>
        <v>0</v>
      </c>
      <c r="V754" s="272">
        <f>Zn!G756</f>
        <v>0</v>
      </c>
      <c r="W754" s="272">
        <f>Cu!G756</f>
        <v>0</v>
      </c>
      <c r="X754" s="272">
        <f>Mn!G756</f>
        <v>0</v>
      </c>
      <c r="Y754" s="272">
        <f>Fe!G756</f>
        <v>0</v>
      </c>
      <c r="Z754" s="274">
        <f>M.O!H756</f>
        <v>0</v>
      </c>
      <c r="AA754" s="272" t="e">
        <f t="shared" si="81"/>
        <v>#DIV/0!</v>
      </c>
      <c r="AB754" s="272" t="e">
        <f t="shared" si="82"/>
        <v>#DIV/0!</v>
      </c>
      <c r="AC754" s="272" t="e">
        <f t="shared" si="83"/>
        <v>#DIV/0!</v>
      </c>
    </row>
    <row r="755" spans="1:29" x14ac:dyDescent="0.2">
      <c r="A755" s="106">
        <f>Cadastro!A759</f>
        <v>0</v>
      </c>
      <c r="B755" s="27">
        <f>Cadastro!E757</f>
        <v>0</v>
      </c>
      <c r="C755">
        <f>pH_água!C755</f>
        <v>0</v>
      </c>
      <c r="D755">
        <f>pH_KCl!B756</f>
        <v>0</v>
      </c>
      <c r="E755">
        <f>'pH CaCl2'!C755</f>
        <v>0</v>
      </c>
      <c r="F755" s="104">
        <f>P_Mehlich1!H740</f>
        <v>0</v>
      </c>
      <c r="G755" s="123">
        <f>P_resina!H760</f>
        <v>0</v>
      </c>
      <c r="H755" s="272">
        <f>K!G725</f>
        <v>0</v>
      </c>
      <c r="I755" s="125">
        <v>0</v>
      </c>
      <c r="J755" s="272">
        <f>'Ca2+'!G756</f>
        <v>0</v>
      </c>
      <c r="K755" s="272">
        <f>Mg²!G758</f>
        <v>0</v>
      </c>
      <c r="L755" s="279">
        <f>Al³!C757</f>
        <v>0</v>
      </c>
      <c r="M755" s="279">
        <f>'H + Al'!D757</f>
        <v>0</v>
      </c>
      <c r="N755" s="272">
        <f t="shared" si="73"/>
        <v>0</v>
      </c>
      <c r="O755" s="272">
        <f t="shared" si="74"/>
        <v>0</v>
      </c>
      <c r="P755" s="272">
        <f t="shared" si="75"/>
        <v>0</v>
      </c>
      <c r="Q755" s="293" t="e">
        <f t="shared" si="76"/>
        <v>#DIV/0!</v>
      </c>
      <c r="R755" s="293" t="e">
        <f t="shared" si="77"/>
        <v>#DIV/0!</v>
      </c>
      <c r="S755">
        <f>Prem!H757</f>
        <v>0</v>
      </c>
      <c r="T755" s="281">
        <f>S!H761</f>
        <v>0</v>
      </c>
      <c r="U755" s="274">
        <f>B!H756</f>
        <v>0</v>
      </c>
      <c r="V755" s="272">
        <f>Zn!G757</f>
        <v>0</v>
      </c>
      <c r="W755" s="272">
        <f>Cu!G757</f>
        <v>0</v>
      </c>
      <c r="X755" s="272">
        <f>Mn!G757</f>
        <v>0</v>
      </c>
      <c r="Y755" s="272">
        <f>Fe!G757</f>
        <v>0</v>
      </c>
      <c r="Z755" s="274">
        <f>M.O!H757</f>
        <v>0</v>
      </c>
      <c r="AA755" s="272" t="e">
        <f t="shared" si="81"/>
        <v>#DIV/0!</v>
      </c>
      <c r="AB755" s="272" t="e">
        <f t="shared" si="82"/>
        <v>#DIV/0!</v>
      </c>
      <c r="AC755" s="272" t="e">
        <f t="shared" si="83"/>
        <v>#DIV/0!</v>
      </c>
    </row>
    <row r="756" spans="1:29" x14ac:dyDescent="0.2">
      <c r="A756" s="106">
        <f>Cadastro!A760</f>
        <v>0</v>
      </c>
      <c r="B756" s="27">
        <f>Cadastro!E758</f>
        <v>0</v>
      </c>
      <c r="C756">
        <f>pH_água!C756</f>
        <v>0</v>
      </c>
      <c r="D756">
        <f>pH_KCl!B757</f>
        <v>0</v>
      </c>
      <c r="E756">
        <f>'pH CaCl2'!C756</f>
        <v>0</v>
      </c>
      <c r="F756" s="104">
        <f>P_Mehlich1!H741</f>
        <v>0</v>
      </c>
      <c r="G756" s="123">
        <f>P_resina!H761</f>
        <v>0</v>
      </c>
      <c r="H756" s="272">
        <f>K!G726</f>
        <v>0</v>
      </c>
      <c r="I756" s="125">
        <v>0</v>
      </c>
      <c r="J756" s="272">
        <f>'Ca2+'!G757</f>
        <v>0</v>
      </c>
      <c r="K756" s="272">
        <f>Mg²!G759</f>
        <v>0</v>
      </c>
      <c r="L756" s="279">
        <f>Al³!C758</f>
        <v>0</v>
      </c>
      <c r="M756" s="279">
        <f>'H + Al'!D758</f>
        <v>0</v>
      </c>
      <c r="N756" s="272">
        <f t="shared" ref="N756:N766" si="84">(H756/390)+(I756/230)+J756+K756</f>
        <v>0</v>
      </c>
      <c r="O756" s="272">
        <f t="shared" ref="O756:O766" si="85">N756+L756</f>
        <v>0</v>
      </c>
      <c r="P756" s="272">
        <f t="shared" ref="P756:P766" si="86">N756+M756</f>
        <v>0</v>
      </c>
      <c r="Q756" s="293" t="e">
        <f t="shared" ref="Q756:Q766" si="87">(N756/P756)*100</f>
        <v>#DIV/0!</v>
      </c>
      <c r="R756" s="293" t="e">
        <f t="shared" ref="R756:R766" si="88">(L756/O756)*100</f>
        <v>#DIV/0!</v>
      </c>
      <c r="S756">
        <f>Prem!H758</f>
        <v>0</v>
      </c>
      <c r="T756" s="281">
        <f>S!H762</f>
        <v>0</v>
      </c>
      <c r="U756" s="274">
        <f>B!H757</f>
        <v>0</v>
      </c>
      <c r="V756" s="272">
        <f>Zn!G758</f>
        <v>0</v>
      </c>
      <c r="W756" s="272">
        <f>Cu!G758</f>
        <v>0</v>
      </c>
      <c r="X756" s="272">
        <f>Mn!G758</f>
        <v>0</v>
      </c>
      <c r="Y756" s="272">
        <f>Fe!G758</f>
        <v>0</v>
      </c>
      <c r="Z756" s="274">
        <f>M.O!H758</f>
        <v>0</v>
      </c>
      <c r="AA756" s="272" t="e">
        <f t="shared" si="81"/>
        <v>#DIV/0!</v>
      </c>
      <c r="AB756" s="272" t="e">
        <f t="shared" si="82"/>
        <v>#DIV/0!</v>
      </c>
      <c r="AC756" s="272" t="e">
        <f t="shared" si="83"/>
        <v>#DIV/0!</v>
      </c>
    </row>
    <row r="757" spans="1:29" x14ac:dyDescent="0.2">
      <c r="A757" s="106">
        <f>Cadastro!A761</f>
        <v>0</v>
      </c>
      <c r="B757" s="27">
        <f>Cadastro!E759</f>
        <v>0</v>
      </c>
      <c r="C757">
        <f>pH_água!C757</f>
        <v>0</v>
      </c>
      <c r="D757">
        <f>pH_KCl!B758</f>
        <v>0</v>
      </c>
      <c r="E757">
        <f>'pH CaCl2'!C757</f>
        <v>0</v>
      </c>
      <c r="F757" s="104">
        <f>P_Mehlich1!H742</f>
        <v>0</v>
      </c>
      <c r="G757" s="123">
        <f>P_resina!H762</f>
        <v>0</v>
      </c>
      <c r="H757" s="272">
        <f>K!G727</f>
        <v>0</v>
      </c>
      <c r="I757" s="125">
        <v>0</v>
      </c>
      <c r="J757" s="272">
        <f>'Ca2+'!G758</f>
        <v>0</v>
      </c>
      <c r="K757" s="272">
        <f>Mg²!G760</f>
        <v>0</v>
      </c>
      <c r="L757" s="279">
        <f>Al³!C759</f>
        <v>0</v>
      </c>
      <c r="M757" s="279">
        <f>'H + Al'!D759</f>
        <v>0</v>
      </c>
      <c r="N757" s="272">
        <f t="shared" si="84"/>
        <v>0</v>
      </c>
      <c r="O757" s="272">
        <f t="shared" si="85"/>
        <v>0</v>
      </c>
      <c r="P757" s="272">
        <f t="shared" si="86"/>
        <v>0</v>
      </c>
      <c r="Q757" s="293" t="e">
        <f t="shared" si="87"/>
        <v>#DIV/0!</v>
      </c>
      <c r="R757" s="293" t="e">
        <f t="shared" si="88"/>
        <v>#DIV/0!</v>
      </c>
      <c r="S757">
        <f>Prem!H759</f>
        <v>0</v>
      </c>
      <c r="T757" s="281">
        <f>S!H763</f>
        <v>0</v>
      </c>
      <c r="U757" s="274">
        <f>B!H758</f>
        <v>0</v>
      </c>
      <c r="V757" s="272">
        <f>Zn!G759</f>
        <v>0</v>
      </c>
      <c r="W757" s="272">
        <f>Cu!G759</f>
        <v>0</v>
      </c>
      <c r="X757" s="272">
        <f>Mn!G759</f>
        <v>0</v>
      </c>
      <c r="Y757" s="272">
        <f>Fe!G759</f>
        <v>0</v>
      </c>
      <c r="Z757" s="274">
        <f>M.O!H759</f>
        <v>0</v>
      </c>
      <c r="AA757" s="272" t="e">
        <f t="shared" si="81"/>
        <v>#DIV/0!</v>
      </c>
      <c r="AB757" s="272" t="e">
        <f t="shared" si="82"/>
        <v>#DIV/0!</v>
      </c>
      <c r="AC757" s="272" t="e">
        <f t="shared" si="83"/>
        <v>#DIV/0!</v>
      </c>
    </row>
    <row r="758" spans="1:29" x14ac:dyDescent="0.2">
      <c r="A758" s="106">
        <f>Cadastro!A762</f>
        <v>0</v>
      </c>
      <c r="B758" s="27">
        <f>Cadastro!E760</f>
        <v>0</v>
      </c>
      <c r="C758">
        <f>pH_água!C758</f>
        <v>0</v>
      </c>
      <c r="D758">
        <f>pH_KCl!B759</f>
        <v>0</v>
      </c>
      <c r="E758">
        <f>'pH CaCl2'!C758</f>
        <v>0</v>
      </c>
      <c r="F758" s="104">
        <f>P_Mehlich1!H743</f>
        <v>0</v>
      </c>
      <c r="G758" s="123">
        <f>P_resina!H763</f>
        <v>0</v>
      </c>
      <c r="H758" s="272">
        <f>K!G728</f>
        <v>0</v>
      </c>
      <c r="I758" s="125">
        <v>0</v>
      </c>
      <c r="J758" s="272">
        <f>'Ca2+'!G759</f>
        <v>0</v>
      </c>
      <c r="K758" s="272">
        <f>Mg²!G761</f>
        <v>0</v>
      </c>
      <c r="L758" s="279">
        <f>Al³!C760</f>
        <v>0</v>
      </c>
      <c r="M758" s="279">
        <f>'H + Al'!D760</f>
        <v>0</v>
      </c>
      <c r="N758" s="272">
        <f t="shared" si="84"/>
        <v>0</v>
      </c>
      <c r="O758" s="272">
        <f t="shared" si="85"/>
        <v>0</v>
      </c>
      <c r="P758" s="272">
        <f t="shared" si="86"/>
        <v>0</v>
      </c>
      <c r="Q758" s="293" t="e">
        <f t="shared" si="87"/>
        <v>#DIV/0!</v>
      </c>
      <c r="R758" s="293" t="e">
        <f t="shared" si="88"/>
        <v>#DIV/0!</v>
      </c>
      <c r="S758">
        <f>Prem!H760</f>
        <v>0</v>
      </c>
      <c r="T758" s="281">
        <f>S!H764</f>
        <v>0</v>
      </c>
      <c r="U758" s="274">
        <f>B!H759</f>
        <v>0</v>
      </c>
      <c r="V758" s="272">
        <f>Zn!G760</f>
        <v>0</v>
      </c>
      <c r="W758" s="272">
        <f>Cu!G760</f>
        <v>0</v>
      </c>
      <c r="X758" s="272">
        <f>Mn!G760</f>
        <v>0</v>
      </c>
      <c r="Y758" s="272">
        <f>Fe!G760</f>
        <v>0</v>
      </c>
      <c r="Z758" s="274">
        <f>M.O!H760</f>
        <v>0</v>
      </c>
      <c r="AA758" s="272" t="e">
        <f t="shared" si="81"/>
        <v>#DIV/0!</v>
      </c>
      <c r="AB758" s="272" t="e">
        <f t="shared" si="82"/>
        <v>#DIV/0!</v>
      </c>
      <c r="AC758" s="272" t="e">
        <f t="shared" si="83"/>
        <v>#DIV/0!</v>
      </c>
    </row>
    <row r="759" spans="1:29" x14ac:dyDescent="0.2">
      <c r="A759" s="106">
        <f>Cadastro!A763</f>
        <v>0</v>
      </c>
      <c r="B759" s="27">
        <f>Cadastro!E761</f>
        <v>0</v>
      </c>
      <c r="C759">
        <f>pH_água!C759</f>
        <v>0</v>
      </c>
      <c r="D759">
        <f>pH_KCl!B760</f>
        <v>0</v>
      </c>
      <c r="E759">
        <f>'pH CaCl2'!C759</f>
        <v>0</v>
      </c>
      <c r="F759" s="104">
        <f>P_Mehlich1!H744</f>
        <v>0</v>
      </c>
      <c r="G759" s="123">
        <f>P_resina!H764</f>
        <v>0</v>
      </c>
      <c r="H759" s="272">
        <f>K!G729</f>
        <v>0</v>
      </c>
      <c r="I759" s="125">
        <v>0</v>
      </c>
      <c r="J759" s="272">
        <f>'Ca2+'!G760</f>
        <v>0</v>
      </c>
      <c r="K759" s="272">
        <f>Mg²!G762</f>
        <v>0</v>
      </c>
      <c r="L759" s="279">
        <f>Al³!C761</f>
        <v>0</v>
      </c>
      <c r="M759" s="279">
        <f>'H + Al'!D761</f>
        <v>0</v>
      </c>
      <c r="N759" s="272">
        <f t="shared" si="84"/>
        <v>0</v>
      </c>
      <c r="O759" s="272">
        <f t="shared" si="85"/>
        <v>0</v>
      </c>
      <c r="P759" s="272">
        <f t="shared" si="86"/>
        <v>0</v>
      </c>
      <c r="Q759" s="293" t="e">
        <f t="shared" si="87"/>
        <v>#DIV/0!</v>
      </c>
      <c r="R759" s="293" t="e">
        <f t="shared" si="88"/>
        <v>#DIV/0!</v>
      </c>
      <c r="S759">
        <f>Prem!H761</f>
        <v>0</v>
      </c>
      <c r="T759" s="281">
        <f>S!H765</f>
        <v>0</v>
      </c>
      <c r="U759" s="274">
        <f>B!H760</f>
        <v>0</v>
      </c>
      <c r="V759" s="272">
        <f>Zn!G761</f>
        <v>0</v>
      </c>
      <c r="W759" s="272">
        <f>Cu!G761</f>
        <v>0</v>
      </c>
      <c r="X759" s="272">
        <f>Mn!G761</f>
        <v>0</v>
      </c>
      <c r="Y759" s="272">
        <f>Fe!G761</f>
        <v>0</v>
      </c>
      <c r="Z759" s="274">
        <f>M.O!H761</f>
        <v>0</v>
      </c>
      <c r="AA759" s="272" t="e">
        <f t="shared" si="81"/>
        <v>#DIV/0!</v>
      </c>
      <c r="AB759" s="272" t="e">
        <f t="shared" si="82"/>
        <v>#DIV/0!</v>
      </c>
      <c r="AC759" s="272" t="e">
        <f t="shared" si="83"/>
        <v>#DIV/0!</v>
      </c>
    </row>
    <row r="760" spans="1:29" x14ac:dyDescent="0.2">
      <c r="A760" s="106">
        <f>Cadastro!A764</f>
        <v>0</v>
      </c>
      <c r="B760" s="27">
        <f>Cadastro!E762</f>
        <v>0</v>
      </c>
      <c r="C760">
        <f>pH_água!C760</f>
        <v>0</v>
      </c>
      <c r="D760">
        <f>pH_KCl!B761</f>
        <v>0</v>
      </c>
      <c r="E760">
        <f>'pH CaCl2'!C760</f>
        <v>0</v>
      </c>
      <c r="F760" s="104">
        <f>P_Mehlich1!H745</f>
        <v>0</v>
      </c>
      <c r="G760" s="123">
        <f>P_resina!H765</f>
        <v>0</v>
      </c>
      <c r="H760" s="272">
        <f>K!G730</f>
        <v>0</v>
      </c>
      <c r="I760" s="125">
        <v>0</v>
      </c>
      <c r="J760" s="272">
        <f>'Ca2+'!G761</f>
        <v>0</v>
      </c>
      <c r="K760" s="272">
        <f>Mg²!G763</f>
        <v>0</v>
      </c>
      <c r="L760" s="279">
        <f>Al³!C762</f>
        <v>0</v>
      </c>
      <c r="M760" s="279">
        <f>'H + Al'!D762</f>
        <v>0</v>
      </c>
      <c r="N760" s="272">
        <f t="shared" si="84"/>
        <v>0</v>
      </c>
      <c r="O760" s="272">
        <f t="shared" si="85"/>
        <v>0</v>
      </c>
      <c r="P760" s="272">
        <f t="shared" si="86"/>
        <v>0</v>
      </c>
      <c r="Q760" s="293" t="e">
        <f t="shared" si="87"/>
        <v>#DIV/0!</v>
      </c>
      <c r="R760" s="293" t="e">
        <f t="shared" si="88"/>
        <v>#DIV/0!</v>
      </c>
      <c r="S760">
        <f>Prem!H762</f>
        <v>0</v>
      </c>
      <c r="T760" s="281">
        <f>S!H766</f>
        <v>0</v>
      </c>
      <c r="U760" s="274">
        <f>B!H761</f>
        <v>0</v>
      </c>
      <c r="V760" s="272">
        <f>Zn!G762</f>
        <v>0</v>
      </c>
      <c r="W760" s="272">
        <f>Cu!G762</f>
        <v>0</v>
      </c>
      <c r="X760" s="272">
        <f>Mn!G762</f>
        <v>0</v>
      </c>
      <c r="Y760" s="272">
        <f>Fe!G762</f>
        <v>0</v>
      </c>
      <c r="Z760" s="274">
        <f>M.O!H762</f>
        <v>0</v>
      </c>
      <c r="AA760" s="272" t="e">
        <f t="shared" si="81"/>
        <v>#DIV/0!</v>
      </c>
      <c r="AB760" s="272" t="e">
        <f t="shared" si="82"/>
        <v>#DIV/0!</v>
      </c>
      <c r="AC760" s="272" t="e">
        <f t="shared" si="83"/>
        <v>#DIV/0!</v>
      </c>
    </row>
    <row r="761" spans="1:29" x14ac:dyDescent="0.2">
      <c r="A761" s="106">
        <f>Cadastro!A765</f>
        <v>0</v>
      </c>
      <c r="B761" s="27">
        <f>Cadastro!E763</f>
        <v>0</v>
      </c>
      <c r="C761">
        <f>pH_água!C761</f>
        <v>0</v>
      </c>
      <c r="D761">
        <f>pH_KCl!B762</f>
        <v>0</v>
      </c>
      <c r="E761">
        <f>'pH CaCl2'!C761</f>
        <v>0</v>
      </c>
      <c r="F761" s="104">
        <f>P_Mehlich1!H746</f>
        <v>0</v>
      </c>
      <c r="G761" s="123">
        <f>P_resina!H766</f>
        <v>0</v>
      </c>
      <c r="H761" s="272">
        <f>K!G731</f>
        <v>0</v>
      </c>
      <c r="I761" s="125">
        <v>0</v>
      </c>
      <c r="J761" s="272">
        <f>'Ca2+'!G762</f>
        <v>0</v>
      </c>
      <c r="K761" s="272">
        <f>Mg²!G764</f>
        <v>0</v>
      </c>
      <c r="L761" s="279">
        <f>Al³!C763</f>
        <v>0</v>
      </c>
      <c r="M761" s="279">
        <f>'H + Al'!D763</f>
        <v>0</v>
      </c>
      <c r="N761" s="272">
        <f t="shared" si="84"/>
        <v>0</v>
      </c>
      <c r="O761" s="272">
        <f t="shared" si="85"/>
        <v>0</v>
      </c>
      <c r="P761" s="272">
        <f t="shared" si="86"/>
        <v>0</v>
      </c>
      <c r="Q761" s="293" t="e">
        <f t="shared" si="87"/>
        <v>#DIV/0!</v>
      </c>
      <c r="R761" s="293" t="e">
        <f t="shared" si="88"/>
        <v>#DIV/0!</v>
      </c>
      <c r="S761">
        <f>Prem!H763</f>
        <v>0</v>
      </c>
      <c r="T761" s="281">
        <f>S!H767</f>
        <v>0</v>
      </c>
      <c r="U761" s="274">
        <f>B!H762</f>
        <v>0</v>
      </c>
      <c r="V761" s="272">
        <f>Zn!G763</f>
        <v>0</v>
      </c>
      <c r="W761" s="272">
        <f>Cu!G763</f>
        <v>0</v>
      </c>
      <c r="X761" s="272">
        <f>Mn!G763</f>
        <v>0</v>
      </c>
      <c r="Y761" s="272">
        <f>Fe!G763</f>
        <v>0</v>
      </c>
      <c r="Z761" s="274">
        <f>M.O!H763</f>
        <v>0</v>
      </c>
      <c r="AA761" s="272" t="e">
        <f t="shared" si="81"/>
        <v>#DIV/0!</v>
      </c>
      <c r="AB761" s="272" t="e">
        <f t="shared" si="82"/>
        <v>#DIV/0!</v>
      </c>
      <c r="AC761" s="272" t="e">
        <f t="shared" si="83"/>
        <v>#DIV/0!</v>
      </c>
    </row>
    <row r="762" spans="1:29" x14ac:dyDescent="0.2">
      <c r="A762" s="106">
        <f>Cadastro!A766</f>
        <v>0</v>
      </c>
      <c r="B762" s="27">
        <f>Cadastro!E764</f>
        <v>0</v>
      </c>
      <c r="C762">
        <f>pH_água!C762</f>
        <v>0</v>
      </c>
      <c r="D762">
        <f>pH_KCl!B763</f>
        <v>0</v>
      </c>
      <c r="E762">
        <f>'pH CaCl2'!C762</f>
        <v>0</v>
      </c>
      <c r="F762" s="104">
        <f>P_Mehlich1!H747</f>
        <v>0</v>
      </c>
      <c r="G762" s="123">
        <f>P_resina!H767</f>
        <v>0</v>
      </c>
      <c r="H762" s="272">
        <f>K!G732</f>
        <v>0</v>
      </c>
      <c r="I762" s="125">
        <v>0</v>
      </c>
      <c r="J762" s="272">
        <f>'Ca2+'!G763</f>
        <v>0</v>
      </c>
      <c r="K762" s="272">
        <f>Mg²!G765</f>
        <v>0</v>
      </c>
      <c r="L762" s="279">
        <f>Al³!C764</f>
        <v>0</v>
      </c>
      <c r="M762" s="279">
        <f>'H + Al'!D764</f>
        <v>0</v>
      </c>
      <c r="N762" s="272">
        <f t="shared" si="84"/>
        <v>0</v>
      </c>
      <c r="O762" s="272">
        <f t="shared" si="85"/>
        <v>0</v>
      </c>
      <c r="P762" s="272">
        <f t="shared" si="86"/>
        <v>0</v>
      </c>
      <c r="Q762" s="293" t="e">
        <f t="shared" si="87"/>
        <v>#DIV/0!</v>
      </c>
      <c r="R762" s="293" t="e">
        <f t="shared" si="88"/>
        <v>#DIV/0!</v>
      </c>
      <c r="S762">
        <f>Prem!H764</f>
        <v>0</v>
      </c>
      <c r="T762" s="281">
        <f>S!H768</f>
        <v>0</v>
      </c>
      <c r="U762" s="274">
        <f>B!H763</f>
        <v>0</v>
      </c>
      <c r="V762" s="272">
        <f>Zn!G764</f>
        <v>0</v>
      </c>
      <c r="W762" s="272">
        <f>Cu!G764</f>
        <v>0</v>
      </c>
      <c r="X762" s="272">
        <f>Mn!G764</f>
        <v>0</v>
      </c>
      <c r="Y762" s="272">
        <f>Fe!G764</f>
        <v>0</v>
      </c>
      <c r="Z762" s="274">
        <f>M.O!H764</f>
        <v>0</v>
      </c>
      <c r="AA762" s="272" t="e">
        <f t="shared" si="81"/>
        <v>#DIV/0!</v>
      </c>
      <c r="AB762" s="272" t="e">
        <f t="shared" si="82"/>
        <v>#DIV/0!</v>
      </c>
      <c r="AC762" s="272" t="e">
        <f t="shared" si="83"/>
        <v>#DIV/0!</v>
      </c>
    </row>
    <row r="763" spans="1:29" x14ac:dyDescent="0.2">
      <c r="A763" s="106">
        <f>Cadastro!A767</f>
        <v>0</v>
      </c>
      <c r="B763" s="27">
        <f>Cadastro!E765</f>
        <v>0</v>
      </c>
      <c r="C763">
        <f>pH_água!C763</f>
        <v>0</v>
      </c>
      <c r="D763">
        <f>pH_KCl!B764</f>
        <v>0</v>
      </c>
      <c r="E763">
        <f>'pH CaCl2'!C763</f>
        <v>0</v>
      </c>
      <c r="F763" s="104">
        <f>P_Mehlich1!H748</f>
        <v>0</v>
      </c>
      <c r="G763" s="123">
        <f>P_resina!H768</f>
        <v>0</v>
      </c>
      <c r="H763" s="272">
        <f>K!G733</f>
        <v>0</v>
      </c>
      <c r="I763" s="125">
        <v>0</v>
      </c>
      <c r="J763" s="272">
        <f>'Ca2+'!G764</f>
        <v>0</v>
      </c>
      <c r="K763" s="272">
        <f>Mg²!G766</f>
        <v>0</v>
      </c>
      <c r="L763" s="279">
        <f>Al³!C765</f>
        <v>0</v>
      </c>
      <c r="M763" s="279">
        <f>'H + Al'!D765</f>
        <v>0</v>
      </c>
      <c r="N763" s="272">
        <f t="shared" si="84"/>
        <v>0</v>
      </c>
      <c r="O763" s="272">
        <f t="shared" si="85"/>
        <v>0</v>
      </c>
      <c r="P763" s="272">
        <f t="shared" si="86"/>
        <v>0</v>
      </c>
      <c r="Q763" s="293" t="e">
        <f t="shared" si="87"/>
        <v>#DIV/0!</v>
      </c>
      <c r="R763" s="293" t="e">
        <f t="shared" si="88"/>
        <v>#DIV/0!</v>
      </c>
      <c r="S763">
        <f>Prem!H765</f>
        <v>0</v>
      </c>
      <c r="T763" s="281">
        <f>S!H769</f>
        <v>0</v>
      </c>
      <c r="U763" s="274">
        <f>B!H764</f>
        <v>0</v>
      </c>
      <c r="V763" s="272">
        <f>Zn!G765</f>
        <v>0</v>
      </c>
      <c r="W763" s="272">
        <f>Cu!G765</f>
        <v>0</v>
      </c>
      <c r="X763" s="272">
        <f>Mn!G765</f>
        <v>0</v>
      </c>
      <c r="Y763" s="272">
        <f>Fe!G765</f>
        <v>0</v>
      </c>
      <c r="Z763" s="274">
        <f>M.O!H765</f>
        <v>0</v>
      </c>
      <c r="AA763" s="272" t="e">
        <f t="shared" si="81"/>
        <v>#DIV/0!</v>
      </c>
      <c r="AB763" s="272" t="e">
        <f t="shared" si="82"/>
        <v>#DIV/0!</v>
      </c>
      <c r="AC763" s="272" t="e">
        <f t="shared" si="83"/>
        <v>#DIV/0!</v>
      </c>
    </row>
    <row r="764" spans="1:29" x14ac:dyDescent="0.2">
      <c r="A764" s="106">
        <f>Cadastro!A768</f>
        <v>0</v>
      </c>
      <c r="B764" s="27">
        <f>Cadastro!E766</f>
        <v>0</v>
      </c>
      <c r="C764">
        <f>pH_água!C764</f>
        <v>0</v>
      </c>
      <c r="D764">
        <f>pH_KCl!B765</f>
        <v>0</v>
      </c>
      <c r="E764">
        <f>'pH CaCl2'!C764</f>
        <v>0</v>
      </c>
      <c r="F764" s="104">
        <f>P_Mehlich1!H749</f>
        <v>0</v>
      </c>
      <c r="G764" s="123">
        <f>P_resina!H769</f>
        <v>0</v>
      </c>
      <c r="H764" s="272">
        <f>K!G734</f>
        <v>0</v>
      </c>
      <c r="I764" s="125">
        <v>0</v>
      </c>
      <c r="J764" s="272">
        <f>'Ca2+'!G765</f>
        <v>0</v>
      </c>
      <c r="K764" s="272">
        <f>Mg²!G767</f>
        <v>0</v>
      </c>
      <c r="L764" s="279">
        <f>Al³!C766</f>
        <v>0</v>
      </c>
      <c r="M764" s="279">
        <f>'H + Al'!D766</f>
        <v>0</v>
      </c>
      <c r="N764" s="272">
        <f t="shared" si="84"/>
        <v>0</v>
      </c>
      <c r="O764" s="272">
        <f t="shared" si="85"/>
        <v>0</v>
      </c>
      <c r="P764" s="272">
        <f t="shared" si="86"/>
        <v>0</v>
      </c>
      <c r="Q764" s="293" t="e">
        <f t="shared" si="87"/>
        <v>#DIV/0!</v>
      </c>
      <c r="R764" s="293" t="e">
        <f t="shared" si="88"/>
        <v>#DIV/0!</v>
      </c>
      <c r="S764">
        <f>Prem!H766</f>
        <v>0</v>
      </c>
      <c r="T764" s="281">
        <f>S!H770</f>
        <v>0</v>
      </c>
      <c r="U764" s="274">
        <f>B!H765</f>
        <v>0</v>
      </c>
      <c r="V764" s="272">
        <f>Zn!G766</f>
        <v>0</v>
      </c>
      <c r="W764" s="272">
        <f>Cu!G766</f>
        <v>0</v>
      </c>
      <c r="X764" s="272">
        <f>Mn!G766</f>
        <v>0</v>
      </c>
      <c r="Y764" s="272">
        <f>Fe!G766</f>
        <v>0</v>
      </c>
      <c r="Z764" s="274">
        <f>M.O!H766</f>
        <v>0</v>
      </c>
      <c r="AA764" s="272" t="e">
        <f t="shared" si="81"/>
        <v>#DIV/0!</v>
      </c>
      <c r="AB764" s="272" t="e">
        <f t="shared" si="82"/>
        <v>#DIV/0!</v>
      </c>
      <c r="AC764" s="272" t="e">
        <f t="shared" si="83"/>
        <v>#DIV/0!</v>
      </c>
    </row>
    <row r="765" spans="1:29" x14ac:dyDescent="0.2">
      <c r="A765" s="106">
        <f>Cadastro!A769</f>
        <v>0</v>
      </c>
      <c r="B765" s="27">
        <f>Cadastro!E767</f>
        <v>0</v>
      </c>
      <c r="C765">
        <f>pH_água!C765</f>
        <v>0</v>
      </c>
      <c r="D765">
        <f>pH_KCl!B766</f>
        <v>0</v>
      </c>
      <c r="E765">
        <f>'pH CaCl2'!C765</f>
        <v>0</v>
      </c>
      <c r="F765" s="104">
        <f>P_Mehlich1!H750</f>
        <v>0</v>
      </c>
      <c r="G765" s="123">
        <f>P_resina!H770</f>
        <v>0</v>
      </c>
      <c r="H765" s="272">
        <f>K!G735</f>
        <v>0</v>
      </c>
      <c r="I765" s="125">
        <v>0</v>
      </c>
      <c r="J765" s="272">
        <f>'Ca2+'!G766</f>
        <v>0</v>
      </c>
      <c r="K765" s="272">
        <f>Mg²!G768</f>
        <v>0</v>
      </c>
      <c r="L765" s="279">
        <f>Al³!C767</f>
        <v>0</v>
      </c>
      <c r="M765" s="279">
        <f>'H + Al'!D767</f>
        <v>0</v>
      </c>
      <c r="N765" s="272">
        <f t="shared" si="84"/>
        <v>0</v>
      </c>
      <c r="O765" s="272">
        <f t="shared" si="85"/>
        <v>0</v>
      </c>
      <c r="P765" s="272">
        <f t="shared" si="86"/>
        <v>0</v>
      </c>
      <c r="Q765" s="293" t="e">
        <f t="shared" si="87"/>
        <v>#DIV/0!</v>
      </c>
      <c r="R765" s="293" t="e">
        <f t="shared" si="88"/>
        <v>#DIV/0!</v>
      </c>
      <c r="S765">
        <f>Prem!H767</f>
        <v>0</v>
      </c>
      <c r="T765" s="281">
        <f>S!H771</f>
        <v>0</v>
      </c>
      <c r="U765" s="274">
        <f>B!H766</f>
        <v>0</v>
      </c>
      <c r="V765" s="272">
        <f>Zn!G767</f>
        <v>0</v>
      </c>
      <c r="W765" s="272">
        <f>Cu!G767</f>
        <v>0</v>
      </c>
      <c r="X765" s="272">
        <f>Mn!G767</f>
        <v>0</v>
      </c>
      <c r="Y765" s="272">
        <f>Fe!G767</f>
        <v>0</v>
      </c>
      <c r="Z765" s="274">
        <f>M.O!H767</f>
        <v>0</v>
      </c>
      <c r="AA765" s="272" t="e">
        <f t="shared" si="81"/>
        <v>#DIV/0!</v>
      </c>
      <c r="AB765" s="272" t="e">
        <f t="shared" si="82"/>
        <v>#DIV/0!</v>
      </c>
      <c r="AC765" s="272" t="e">
        <f t="shared" si="83"/>
        <v>#DIV/0!</v>
      </c>
    </row>
    <row r="766" spans="1:29" x14ac:dyDescent="0.2">
      <c r="A766" s="106">
        <f>Cadastro!A770</f>
        <v>0</v>
      </c>
      <c r="B766" s="27">
        <f>Cadastro!E768</f>
        <v>0</v>
      </c>
      <c r="C766">
        <f>pH_água!C766</f>
        <v>0</v>
      </c>
      <c r="D766">
        <f>pH_KCl!B767</f>
        <v>0</v>
      </c>
      <c r="E766">
        <f>'pH CaCl2'!C766</f>
        <v>0</v>
      </c>
      <c r="F766" s="104">
        <f>P_Mehlich1!H751</f>
        <v>0</v>
      </c>
      <c r="G766" s="123">
        <f>P_resina!H771</f>
        <v>0</v>
      </c>
      <c r="H766" s="272">
        <f>K!G736</f>
        <v>0</v>
      </c>
      <c r="I766" s="125">
        <v>0</v>
      </c>
      <c r="J766" s="272">
        <f>'Ca2+'!G767</f>
        <v>0</v>
      </c>
      <c r="K766" s="272">
        <f>Mg²!G769</f>
        <v>0</v>
      </c>
      <c r="L766" s="279">
        <f>Al³!C768</f>
        <v>0</v>
      </c>
      <c r="M766" s="279">
        <f>'H + Al'!D768</f>
        <v>0</v>
      </c>
      <c r="N766" s="272">
        <f t="shared" si="84"/>
        <v>0</v>
      </c>
      <c r="O766" s="272">
        <f t="shared" si="85"/>
        <v>0</v>
      </c>
      <c r="P766" s="272">
        <f t="shared" si="86"/>
        <v>0</v>
      </c>
      <c r="Q766" s="293" t="e">
        <f t="shared" si="87"/>
        <v>#DIV/0!</v>
      </c>
      <c r="R766" s="293" t="e">
        <f t="shared" si="88"/>
        <v>#DIV/0!</v>
      </c>
      <c r="S766">
        <f>Prem!H768</f>
        <v>0</v>
      </c>
      <c r="T766" s="281">
        <f>S!H772</f>
        <v>0</v>
      </c>
      <c r="U766" s="274">
        <f>B!H767</f>
        <v>0</v>
      </c>
      <c r="V766" s="272">
        <f>Zn!G768</f>
        <v>0</v>
      </c>
      <c r="W766" s="272">
        <f>Cu!G768</f>
        <v>0</v>
      </c>
      <c r="X766" s="272">
        <f>Mn!G768</f>
        <v>0</v>
      </c>
      <c r="Y766" s="272">
        <f>Fe!G768</f>
        <v>0</v>
      </c>
      <c r="Z766" s="274">
        <f>M.O!H768</f>
        <v>0</v>
      </c>
      <c r="AA766" s="272" t="e">
        <f t="shared" si="81"/>
        <v>#DIV/0!</v>
      </c>
      <c r="AB766" s="272" t="e">
        <f t="shared" si="82"/>
        <v>#DIV/0!</v>
      </c>
      <c r="AC766" s="272" t="e">
        <f t="shared" si="83"/>
        <v>#DIV/0!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1263"/>
  <sheetViews>
    <sheetView topLeftCell="A68" zoomScale="140" zoomScaleNormal="145" workbookViewId="0">
      <selection activeCell="O102" sqref="O102"/>
    </sheetView>
  </sheetViews>
  <sheetFormatPr baseColWidth="10" defaultColWidth="0" defaultRowHeight="15" x14ac:dyDescent="0.2"/>
  <cols>
    <col min="1" max="1" width="2.5" customWidth="1"/>
    <col min="2" max="2" width="9.5" customWidth="1"/>
    <col min="3" max="3" width="8.33203125" customWidth="1"/>
    <col min="4" max="4" width="5.33203125" customWidth="1"/>
    <col min="5" max="5" width="9.1640625" customWidth="1"/>
    <col min="6" max="6" width="8.1640625" customWidth="1"/>
    <col min="7" max="7" width="8.33203125" customWidth="1"/>
    <col min="8" max="8" width="9.5" bestFit="1" customWidth="1"/>
    <col min="9" max="9" width="7.1640625" customWidth="1"/>
    <col min="10" max="10" width="6.33203125" customWidth="1"/>
    <col min="11" max="11" width="6.6640625" customWidth="1"/>
    <col min="12" max="12" width="8.6640625" customWidth="1"/>
    <col min="13" max="13" width="2.5" style="1" customWidth="1"/>
    <col min="14" max="14" width="9.5" customWidth="1"/>
    <col min="15" max="15" width="7.5" bestFit="1" customWidth="1"/>
    <col min="16" max="17" width="9.1640625" customWidth="1"/>
    <col min="18" max="19" width="9.5" bestFit="1" customWidth="1"/>
    <col min="20" max="21" width="5.33203125" hidden="1" customWidth="1"/>
    <col min="22" max="22" width="5.6640625" hidden="1" customWidth="1"/>
    <col min="23" max="23" width="9.1640625" hidden="1" customWidth="1"/>
    <col min="24" max="24" width="8.33203125" hidden="1" customWidth="1"/>
    <col min="25" max="26" width="0" style="24" hidden="1" customWidth="1"/>
    <col min="27" max="38" width="0" style="7" hidden="1" customWidth="1"/>
    <col min="39" max="39" width="0" style="10" hidden="1" customWidth="1"/>
    <col min="40" max="46" width="0" style="11" hidden="1" customWidth="1"/>
    <col min="47" max="16384" width="9.1640625" style="6" hidden="1"/>
  </cols>
  <sheetData>
    <row r="1" spans="1:4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Y1"/>
      <c r="AA1" s="9"/>
      <c r="AB1" s="9"/>
      <c r="AC1" s="9"/>
      <c r="AD1" s="9"/>
      <c r="AE1" s="9"/>
    </row>
    <row r="2" spans="1:46" ht="21" x14ac:dyDescent="0.25">
      <c r="A2" s="1"/>
      <c r="B2" s="347"/>
      <c r="C2" s="347"/>
      <c r="D2" s="348" t="s">
        <v>6</v>
      </c>
      <c r="E2" s="348"/>
      <c r="F2" s="348"/>
      <c r="G2" s="348"/>
      <c r="H2" s="348"/>
      <c r="I2" s="348"/>
      <c r="J2" s="348"/>
      <c r="K2" s="347"/>
      <c r="L2" s="347"/>
      <c r="M2" s="347"/>
      <c r="Y2"/>
      <c r="AA2" s="9"/>
      <c r="AB2" s="9"/>
      <c r="AC2" s="9"/>
      <c r="AD2" s="9"/>
      <c r="AE2" s="9"/>
    </row>
    <row r="3" spans="1:46" ht="16" x14ac:dyDescent="0.2">
      <c r="A3" s="1"/>
      <c r="B3" s="347"/>
      <c r="C3" s="347"/>
      <c r="D3" s="349" t="s">
        <v>7</v>
      </c>
      <c r="E3" s="349"/>
      <c r="F3" s="349"/>
      <c r="G3" s="349"/>
      <c r="H3" s="349"/>
      <c r="I3" s="349"/>
      <c r="J3" s="349"/>
      <c r="K3" s="347"/>
      <c r="L3" s="347"/>
      <c r="M3" s="347"/>
      <c r="Y3"/>
      <c r="AA3" s="9"/>
      <c r="AB3" s="9"/>
      <c r="AC3" s="9"/>
      <c r="AD3" s="9"/>
      <c r="AE3" s="9"/>
    </row>
    <row r="4" spans="1:46" x14ac:dyDescent="0.2">
      <c r="A4" s="1"/>
      <c r="B4" s="347"/>
      <c r="C4" s="347"/>
      <c r="D4" s="334" t="s">
        <v>8</v>
      </c>
      <c r="E4" s="334"/>
      <c r="F4" s="334"/>
      <c r="G4" s="334"/>
      <c r="H4" s="334"/>
      <c r="I4" s="334"/>
      <c r="J4" s="334"/>
      <c r="K4" s="347"/>
      <c r="L4" s="347"/>
      <c r="M4" s="347"/>
      <c r="Y4"/>
      <c r="AA4" s="9"/>
      <c r="AB4" s="9"/>
      <c r="AC4" s="9"/>
      <c r="AD4" s="9"/>
      <c r="AE4" s="9"/>
    </row>
    <row r="5" spans="1:46" x14ac:dyDescent="0.2">
      <c r="A5" s="1"/>
      <c r="B5" s="1"/>
      <c r="C5" s="1"/>
      <c r="D5" s="334" t="s">
        <v>9</v>
      </c>
      <c r="E5" s="334"/>
      <c r="F5" s="334"/>
      <c r="G5" s="334"/>
      <c r="H5" s="334"/>
      <c r="I5" s="334"/>
      <c r="J5" s="334"/>
      <c r="K5" s="1"/>
      <c r="L5" s="1"/>
      <c r="Y5"/>
      <c r="AA5" s="9"/>
      <c r="AB5" s="9"/>
      <c r="AC5" s="9"/>
      <c r="AD5" s="9"/>
      <c r="AE5" s="9"/>
    </row>
    <row r="6" spans="1:46" x14ac:dyDescent="0.2">
      <c r="A6" s="1"/>
      <c r="B6" s="1"/>
      <c r="C6" s="1"/>
      <c r="D6" s="334" t="s">
        <v>10</v>
      </c>
      <c r="E6" s="334"/>
      <c r="F6" s="334"/>
      <c r="G6" s="334"/>
      <c r="H6" s="334"/>
      <c r="I6" s="334"/>
      <c r="J6" s="334"/>
      <c r="K6" s="1"/>
      <c r="L6" s="1"/>
      <c r="Y6"/>
      <c r="AA6" s="9"/>
      <c r="AB6" s="9"/>
      <c r="AC6" s="9"/>
      <c r="AD6" s="9"/>
      <c r="AE6" s="9"/>
    </row>
    <row r="7" spans="1:46" x14ac:dyDescent="0.2">
      <c r="A7" s="1"/>
      <c r="B7" s="1"/>
      <c r="C7" s="1"/>
      <c r="D7" s="346" t="s">
        <v>11</v>
      </c>
      <c r="E7" s="334"/>
      <c r="F7" s="334"/>
      <c r="G7" s="334"/>
      <c r="H7" s="334"/>
      <c r="I7" s="334"/>
      <c r="J7" s="334"/>
      <c r="K7" s="1"/>
      <c r="L7" s="1"/>
      <c r="Y7"/>
      <c r="AA7" s="9"/>
      <c r="AB7" s="9"/>
      <c r="AC7" s="9"/>
      <c r="AD7" s="9"/>
      <c r="AE7" s="9"/>
    </row>
    <row r="8" spans="1:46" ht="19" x14ac:dyDescent="0.25">
      <c r="A8" s="1"/>
      <c r="B8" s="2"/>
      <c r="C8" s="312" t="s">
        <v>12</v>
      </c>
      <c r="D8" s="312"/>
      <c r="E8" s="312"/>
      <c r="F8" s="312"/>
      <c r="G8" s="312"/>
      <c r="H8" s="312"/>
      <c r="I8" s="312"/>
      <c r="J8" s="312"/>
      <c r="K8" s="312"/>
      <c r="L8" s="8"/>
      <c r="Y8"/>
      <c r="AA8" s="9"/>
      <c r="AB8" s="9"/>
      <c r="AC8" s="9"/>
      <c r="AD8" s="9"/>
      <c r="AE8" s="9"/>
    </row>
    <row r="9" spans="1:4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Y9"/>
      <c r="AA9" s="9"/>
      <c r="AB9" s="9"/>
      <c r="AC9" s="9"/>
      <c r="AD9" s="9"/>
      <c r="AE9" s="9"/>
    </row>
    <row r="10" spans="1:46" s="16" customFormat="1" x14ac:dyDescent="0.2">
      <c r="A10" s="3"/>
      <c r="B10" s="3" t="s">
        <v>0</v>
      </c>
      <c r="C10" s="334" t="s">
        <v>161</v>
      </c>
      <c r="D10" s="334"/>
      <c r="E10" s="334"/>
      <c r="F10" s="3" t="s">
        <v>1</v>
      </c>
      <c r="G10" s="335" t="str">
        <f ca="1">OFFSET(Cadastro!B$1,MATCH(LAUDO!C10,Cadastro!B$2:B$1048576,0),4,COUNTIF(Cadastro!B$2:B$1048576,LAUDO!C10))</f>
        <v>-</v>
      </c>
      <c r="H10" s="335"/>
      <c r="I10" s="335"/>
      <c r="J10" s="3" t="s">
        <v>2</v>
      </c>
      <c r="K10" s="335">
        <f ca="1">OFFSET(Cadastro!B$1,MATCH(LAUDO!C10,Cadastro!B$2:B$1048576,0),5,COUNTIF(Cadastro!B$2:B$1048576,LAUDO!C10))</f>
        <v>44726</v>
      </c>
      <c r="L10" s="335"/>
      <c r="M10" s="3"/>
      <c r="N10"/>
      <c r="O10"/>
      <c r="P10"/>
      <c r="Q10"/>
      <c r="R10"/>
      <c r="S10"/>
      <c r="T10"/>
      <c r="U10"/>
      <c r="V10"/>
      <c r="W10"/>
      <c r="X10"/>
      <c r="Y10"/>
      <c r="Z10" s="25"/>
      <c r="AA10" s="12"/>
      <c r="AB10" s="12"/>
      <c r="AC10" s="12"/>
      <c r="AD10" s="12"/>
      <c r="AE10" s="12"/>
      <c r="AF10" s="13"/>
      <c r="AG10" s="13"/>
      <c r="AH10" s="13"/>
      <c r="AI10" s="13"/>
      <c r="AJ10" s="13"/>
      <c r="AK10" s="13"/>
      <c r="AL10" s="13"/>
      <c r="AM10" s="14"/>
      <c r="AN10" s="15"/>
      <c r="AO10" s="15"/>
      <c r="AP10" s="15"/>
      <c r="AQ10" s="15"/>
      <c r="AR10" s="15"/>
      <c r="AS10" s="15"/>
      <c r="AT10" s="15"/>
    </row>
    <row r="11" spans="1:46" s="16" customFormat="1" x14ac:dyDescent="0.2">
      <c r="A11" s="3"/>
      <c r="B11" s="3" t="s">
        <v>13</v>
      </c>
      <c r="C11" s="336" t="s">
        <v>133</v>
      </c>
      <c r="D11" s="336"/>
      <c r="E11" s="336"/>
      <c r="F11" s="336"/>
      <c r="G11" s="336"/>
      <c r="H11" s="336"/>
      <c r="I11" s="336"/>
      <c r="J11" s="336"/>
      <c r="K11" s="336"/>
      <c r="L11" s="336"/>
      <c r="M11" s="3"/>
      <c r="N11"/>
      <c r="O11"/>
      <c r="P11"/>
      <c r="Q11"/>
      <c r="R11"/>
      <c r="S11"/>
      <c r="T11"/>
      <c r="U11"/>
      <c r="V11"/>
      <c r="W11"/>
      <c r="X11"/>
      <c r="Y11"/>
      <c r="Z11" s="25"/>
      <c r="AA11" s="12"/>
      <c r="AB11" s="12"/>
      <c r="AC11" s="12"/>
      <c r="AD11" s="12"/>
      <c r="AE11" s="12"/>
      <c r="AF11" s="13"/>
      <c r="AG11" s="13"/>
      <c r="AH11" s="13"/>
      <c r="AI11" s="13"/>
      <c r="AJ11" s="13"/>
      <c r="AK11" s="13"/>
      <c r="AL11" s="13"/>
      <c r="AM11" s="14"/>
      <c r="AN11" s="15"/>
      <c r="AO11" s="15"/>
      <c r="AP11" s="15"/>
      <c r="AQ11" s="15"/>
      <c r="AR11" s="15"/>
      <c r="AS11" s="15"/>
      <c r="AT11" s="15"/>
    </row>
    <row r="12" spans="1:46" x14ac:dyDescent="0.2">
      <c r="A12" s="1"/>
      <c r="B12" s="4" t="s">
        <v>160</v>
      </c>
      <c r="C12" s="344" t="s">
        <v>133</v>
      </c>
      <c r="D12" s="344"/>
      <c r="E12" s="344"/>
      <c r="F12" s="344"/>
      <c r="G12" s="4" t="s">
        <v>109</v>
      </c>
      <c r="H12" s="345" t="s">
        <v>133</v>
      </c>
      <c r="I12" s="345"/>
      <c r="J12" s="345"/>
      <c r="K12" s="345"/>
      <c r="L12" s="345"/>
      <c r="Y12"/>
      <c r="AA12" s="9"/>
      <c r="AB12" s="9"/>
      <c r="AC12" s="9"/>
      <c r="AD12" s="9"/>
      <c r="AE12" s="9"/>
    </row>
    <row r="13" spans="1:46" x14ac:dyDescent="0.2">
      <c r="A13" s="2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Y13"/>
      <c r="AA13" s="9"/>
      <c r="AB13" s="9"/>
      <c r="AC13" s="9"/>
      <c r="AD13" s="9"/>
      <c r="AE13" s="9"/>
    </row>
    <row r="14" spans="1:46" ht="19" x14ac:dyDescent="0.25">
      <c r="A14" s="1"/>
      <c r="B14" s="317" t="s">
        <v>3</v>
      </c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Y14"/>
      <c r="AA14" s="9"/>
      <c r="AB14" s="9"/>
      <c r="AC14" s="9"/>
      <c r="AD14" s="9"/>
      <c r="AE14" s="9"/>
    </row>
    <row r="15" spans="1:46" ht="15" customHeight="1" x14ac:dyDescent="0.2">
      <c r="A15" s="5"/>
      <c r="B15" s="328" t="s">
        <v>4</v>
      </c>
      <c r="C15" s="330" t="s">
        <v>127</v>
      </c>
      <c r="D15" s="330"/>
      <c r="E15" s="110" t="s">
        <v>14</v>
      </c>
      <c r="F15" s="120" t="s">
        <v>14</v>
      </c>
      <c r="G15" s="110" t="s">
        <v>14</v>
      </c>
      <c r="H15" s="121" t="s">
        <v>131</v>
      </c>
      <c r="I15" s="121" t="s">
        <v>125</v>
      </c>
      <c r="J15" s="110" t="s">
        <v>15</v>
      </c>
      <c r="K15" s="120" t="s">
        <v>16</v>
      </c>
      <c r="L15" s="120" t="s">
        <v>17</v>
      </c>
      <c r="M15" s="5"/>
      <c r="Y15"/>
      <c r="AA15" s="9"/>
      <c r="AB15" s="9"/>
      <c r="AC15" s="9"/>
      <c r="AD15" s="9"/>
      <c r="AE15" s="9"/>
    </row>
    <row r="16" spans="1:46" x14ac:dyDescent="0.2">
      <c r="A16" s="1"/>
      <c r="B16" s="329"/>
      <c r="C16" s="331"/>
      <c r="D16" s="331"/>
      <c r="E16" s="147" t="s">
        <v>18</v>
      </c>
      <c r="F16" s="147" t="s">
        <v>19</v>
      </c>
      <c r="G16" s="147" t="s">
        <v>134</v>
      </c>
      <c r="H16" s="332" t="s">
        <v>144</v>
      </c>
      <c r="I16" s="333"/>
      <c r="J16" s="333"/>
      <c r="K16" s="333"/>
      <c r="L16" s="174" t="s">
        <v>135</v>
      </c>
      <c r="Y16"/>
      <c r="AA16" s="9"/>
      <c r="AB16" s="9"/>
      <c r="AC16" s="9"/>
      <c r="AD16" s="9"/>
      <c r="AE16" s="9"/>
    </row>
    <row r="17" spans="1:31" x14ac:dyDescent="0.2">
      <c r="A17" s="1"/>
      <c r="B17" s="253" t="s">
        <v>147</v>
      </c>
      <c r="C17" s="341" t="s">
        <v>107</v>
      </c>
      <c r="D17" s="341"/>
      <c r="E17" s="254">
        <v>4.7699999999999996</v>
      </c>
      <c r="F17" s="255" t="s">
        <v>107</v>
      </c>
      <c r="G17" s="255" t="s">
        <v>107</v>
      </c>
      <c r="H17" s="255">
        <v>0.3</v>
      </c>
      <c r="I17" s="255" t="s">
        <v>133</v>
      </c>
      <c r="J17" s="254">
        <v>7</v>
      </c>
      <c r="K17" s="255" t="s">
        <v>133</v>
      </c>
      <c r="L17" s="255">
        <v>0</v>
      </c>
      <c r="Y17"/>
      <c r="AA17" s="9"/>
      <c r="AB17" s="9"/>
      <c r="AC17" s="9"/>
      <c r="AD17" s="9"/>
      <c r="AE17" s="9"/>
    </row>
    <row r="18" spans="1:31" x14ac:dyDescent="0.2">
      <c r="A18" s="1"/>
      <c r="B18" s="247" t="s">
        <v>148</v>
      </c>
      <c r="C18" s="342" t="s">
        <v>107</v>
      </c>
      <c r="D18" s="342"/>
      <c r="E18" s="248">
        <v>6.76</v>
      </c>
      <c r="F18" s="249" t="s">
        <v>107</v>
      </c>
      <c r="G18" s="249" t="s">
        <v>107</v>
      </c>
      <c r="H18" s="249">
        <v>5.7</v>
      </c>
      <c r="I18" s="249" t="s">
        <v>133</v>
      </c>
      <c r="J18" s="248">
        <v>50</v>
      </c>
      <c r="K18" s="249" t="s">
        <v>133</v>
      </c>
      <c r="L18" s="249">
        <v>4.75</v>
      </c>
      <c r="Y18"/>
      <c r="AA18" s="9"/>
      <c r="AB18" s="9"/>
      <c r="AC18" s="9"/>
      <c r="AD18" s="9"/>
      <c r="AE18" s="9"/>
    </row>
    <row r="19" spans="1:31" x14ac:dyDescent="0.2">
      <c r="A19" s="1"/>
      <c r="B19" s="247" t="s">
        <v>149</v>
      </c>
      <c r="C19" s="342" t="s">
        <v>107</v>
      </c>
      <c r="D19" s="342"/>
      <c r="E19" s="248">
        <f ca="1">OFFSET('Planilha mestra'!A$2,MATCH(LAUDO!B$19,'Planilha mestra'!A$3:A$1048576,0),2,COUNTIF('Planilha mestra'!A$3:A$1048576,LAUDO!B19))</f>
        <v>4.8073333333333332</v>
      </c>
      <c r="F19" s="248" t="s">
        <v>107</v>
      </c>
      <c r="G19" s="248" t="s">
        <v>107</v>
      </c>
      <c r="H19" s="249">
        <f ca="1">OFFSET('Planilha mestra'!A$2,MATCH(LAUDO!B19,'Planilha mestra'!A$3:A$1048576,0),5,COUNTIF('Planilha mestra'!A$3:A$1048576,LAUDO!B19))</f>
        <v>0.57159491217614677</v>
      </c>
      <c r="I19" s="248" t="s">
        <v>107</v>
      </c>
      <c r="J19" s="248">
        <f ca="1">OFFSET('Planilha mestra'!A$2,MATCH(LAUDO!B19,'Planilha mestra'!A$3:A$1048576,0),7,COUNTIF('Planilha mestra'!A$3:A$1048576,LAUDO!B19))</f>
        <v>1.5108593012275822</v>
      </c>
      <c r="K19" s="248" t="s">
        <v>133</v>
      </c>
      <c r="L19" s="249">
        <f ca="1">OFFSET('Planilha mestra'!A$2,MATCH(LAUDO!B19,'Planilha mestra'!A$3:A$1048576,0),9,COUNTIF('Planilha mestra'!A$3:A$1048576,LAUDO!B19))</f>
        <v>0.11530886586002867</v>
      </c>
      <c r="Y19"/>
      <c r="AA19" s="9"/>
      <c r="AB19" s="9"/>
      <c r="AC19" s="9"/>
      <c r="AD19" s="9"/>
      <c r="AE19" s="9"/>
    </row>
    <row r="20" spans="1:31" x14ac:dyDescent="0.2">
      <c r="A20" s="1"/>
      <c r="B20" s="247" t="s">
        <v>150</v>
      </c>
      <c r="C20" s="342" t="s">
        <v>107</v>
      </c>
      <c r="D20" s="342"/>
      <c r="E20" s="250">
        <f ca="1">OFFSET('Planilha mestra'!A$2,MATCH(LAUDO!B20,'Planilha mestra'!A$3:A$1048576,0),2,COUNTIF('Planilha mestra'!A$3:A$1048576,LAUDO!B20))</f>
        <v>6.7079069767441855</v>
      </c>
      <c r="F20" s="248" t="s">
        <v>107</v>
      </c>
      <c r="G20" s="248" t="s">
        <v>107</v>
      </c>
      <c r="H20" s="249">
        <f ca="1">OFFSET('Planilha mestra'!A$2,MATCH(LAUDO!B20,'Planilha mestra'!A$3:A$1048576,0),5,COUNTIF('Planilha mestra'!A$3:A$1048576,LAUDO!B20))</f>
        <v>3.7937907108310358</v>
      </c>
      <c r="I20" s="248" t="s">
        <v>107</v>
      </c>
      <c r="J20" s="248">
        <f ca="1">OFFSET('Planilha mestra'!A$2,MATCH(LAUDO!B20,'Planilha mestra'!A$3:A$1048576,0),7,COUNTIF('Planilha mestra'!A$3:A$1048576,LAUDO!B20))</f>
        <v>37.204910292728997</v>
      </c>
      <c r="K20" s="248" t="s">
        <v>133</v>
      </c>
      <c r="L20" s="249">
        <f ca="1">OFFSET('Planilha mestra'!A$2,MATCH(LAUDO!B20,'Planilha mestra'!A$3:A$1048576,0),9,COUNTIF('Planilha mestra'!A$3:A$1048576,LAUDO!B20))</f>
        <v>4.9653609860553045</v>
      </c>
      <c r="Y20"/>
      <c r="AA20" s="9"/>
      <c r="AB20" s="9"/>
      <c r="AC20" s="9"/>
      <c r="AD20" s="9"/>
      <c r="AE20" s="9"/>
    </row>
    <row r="21" spans="1:31" x14ac:dyDescent="0.2">
      <c r="A21" s="1"/>
      <c r="B21" s="247" t="s">
        <v>107</v>
      </c>
      <c r="C21" s="342" t="s">
        <v>107</v>
      </c>
      <c r="D21" s="342"/>
      <c r="E21" s="248" t="s">
        <v>107</v>
      </c>
      <c r="F21" s="248" t="s">
        <v>107</v>
      </c>
      <c r="G21" s="248" t="s">
        <v>107</v>
      </c>
      <c r="H21" s="248" t="s">
        <v>107</v>
      </c>
      <c r="I21" s="248" t="s">
        <v>107</v>
      </c>
      <c r="J21" s="248" t="s">
        <v>107</v>
      </c>
      <c r="K21" s="248" t="s">
        <v>107</v>
      </c>
      <c r="L21" s="248" t="s">
        <v>107</v>
      </c>
      <c r="Y21"/>
      <c r="AA21" s="9"/>
      <c r="AB21" s="9"/>
      <c r="AC21" s="9"/>
      <c r="AD21" s="9"/>
      <c r="AE21" s="9"/>
    </row>
    <row r="22" spans="1:31" x14ac:dyDescent="0.2">
      <c r="A22" s="1"/>
      <c r="B22" s="256" t="s">
        <v>107</v>
      </c>
      <c r="C22" s="343" t="s">
        <v>107</v>
      </c>
      <c r="D22" s="343"/>
      <c r="E22" s="257" t="s">
        <v>107</v>
      </c>
      <c r="F22" s="257" t="s">
        <v>107</v>
      </c>
      <c r="G22" s="257" t="s">
        <v>107</v>
      </c>
      <c r="H22" s="257" t="s">
        <v>107</v>
      </c>
      <c r="I22" s="257" t="s">
        <v>107</v>
      </c>
      <c r="J22" s="257" t="s">
        <v>107</v>
      </c>
      <c r="K22" s="257" t="s">
        <v>107</v>
      </c>
      <c r="L22" s="257" t="s">
        <v>107</v>
      </c>
      <c r="Y22"/>
      <c r="AA22" s="9"/>
      <c r="AB22" s="9"/>
      <c r="AC22" s="9"/>
      <c r="AD22" s="9"/>
      <c r="AE22" s="9"/>
    </row>
    <row r="23" spans="1:3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Y23"/>
      <c r="AA23" s="9"/>
      <c r="AB23" s="9"/>
      <c r="AC23" s="9"/>
      <c r="AD23" s="9"/>
      <c r="AE23" s="9"/>
    </row>
    <row r="24" spans="1:31" x14ac:dyDescent="0.2">
      <c r="A24" s="1"/>
      <c r="B24" s="328" t="s">
        <v>4</v>
      </c>
      <c r="C24" s="109" t="s">
        <v>136</v>
      </c>
      <c r="D24" s="109" t="s">
        <v>137</v>
      </c>
      <c r="E24" s="110" t="s">
        <v>22</v>
      </c>
      <c r="F24" s="110" t="s">
        <v>23</v>
      </c>
      <c r="G24" s="110" t="s">
        <v>24</v>
      </c>
      <c r="H24" s="110" t="s">
        <v>25</v>
      </c>
      <c r="I24" s="110" t="s">
        <v>146</v>
      </c>
      <c r="J24" s="110" t="s">
        <v>26</v>
      </c>
      <c r="K24" s="110" t="s">
        <v>27</v>
      </c>
      <c r="L24" s="110" t="s">
        <v>28</v>
      </c>
      <c r="Y24"/>
      <c r="AA24" s="9"/>
      <c r="AB24" s="9"/>
      <c r="AC24" s="9"/>
      <c r="AD24" s="9"/>
      <c r="AE24" s="9"/>
    </row>
    <row r="25" spans="1:31" x14ac:dyDescent="0.2">
      <c r="A25" s="1"/>
      <c r="B25" s="329"/>
      <c r="C25" s="338" t="s">
        <v>142</v>
      </c>
      <c r="D25" s="339"/>
      <c r="E25" s="339"/>
      <c r="F25" s="339"/>
      <c r="G25" s="339"/>
      <c r="H25" s="340"/>
      <c r="I25" s="146" t="s">
        <v>115</v>
      </c>
      <c r="J25" s="337" t="s">
        <v>143</v>
      </c>
      <c r="K25" s="337"/>
      <c r="L25" s="146" t="s">
        <v>29</v>
      </c>
      <c r="Y25"/>
      <c r="AA25" s="9"/>
      <c r="AB25" s="9"/>
      <c r="AC25" s="9"/>
      <c r="AD25" s="9"/>
      <c r="AE25" s="9"/>
    </row>
    <row r="26" spans="1:31" x14ac:dyDescent="0.2">
      <c r="A26" s="1"/>
      <c r="B26" s="253" t="s">
        <v>147</v>
      </c>
      <c r="C26" s="255">
        <v>0</v>
      </c>
      <c r="D26" s="255">
        <v>0.41</v>
      </c>
      <c r="E26" s="255">
        <v>2.8</v>
      </c>
      <c r="F26" s="255">
        <v>0.02</v>
      </c>
      <c r="G26" s="255">
        <v>0.43</v>
      </c>
      <c r="H26" s="255">
        <v>2.82</v>
      </c>
      <c r="I26" s="255">
        <v>0.52</v>
      </c>
      <c r="J26" s="255">
        <v>0.7</v>
      </c>
      <c r="K26" s="255">
        <v>95.3</v>
      </c>
      <c r="L26" s="255">
        <v>33</v>
      </c>
      <c r="M26"/>
      <c r="O26" s="175"/>
      <c r="Y26"/>
      <c r="AA26" s="9"/>
      <c r="AB26" s="9"/>
      <c r="AC26" s="9"/>
      <c r="AD26" s="9"/>
      <c r="AE26" s="9"/>
    </row>
    <row r="27" spans="1:31" x14ac:dyDescent="0.2">
      <c r="A27" s="1"/>
      <c r="B27" s="247" t="s">
        <v>148</v>
      </c>
      <c r="C27" s="249">
        <v>1.28</v>
      </c>
      <c r="D27" s="249">
        <v>0</v>
      </c>
      <c r="E27" s="249">
        <v>2.9</v>
      </c>
      <c r="F27" s="249">
        <v>6.16</v>
      </c>
      <c r="G27" s="249">
        <v>6.16</v>
      </c>
      <c r="H27" s="249">
        <v>9.06</v>
      </c>
      <c r="I27" s="249">
        <v>5.0599999999999996</v>
      </c>
      <c r="J27" s="249">
        <v>68</v>
      </c>
      <c r="K27" s="249">
        <v>0</v>
      </c>
      <c r="L27" s="249">
        <v>22</v>
      </c>
      <c r="M27"/>
      <c r="Y27"/>
      <c r="AA27" s="9"/>
      <c r="AB27" s="9"/>
      <c r="AC27" s="9"/>
      <c r="AD27" s="9"/>
      <c r="AE27" s="9"/>
    </row>
    <row r="28" spans="1:31" x14ac:dyDescent="0.2">
      <c r="A28" s="1"/>
      <c r="B28" s="247" t="s">
        <v>149</v>
      </c>
      <c r="C28" s="249">
        <v>0.1</v>
      </c>
      <c r="D28" s="249">
        <f ca="1">OFFSET('Planilha mestra'!A$2,MATCH(LAUDO!B28,'Planilha mestra'!A$3:A$1048576,0),11,COUNTIF('Planilha mestra'!A$3:A$1048576,LAUDO!B28))</f>
        <v>0.39</v>
      </c>
      <c r="E28" s="249">
        <f ca="1">OFFSET('Planilha mestra'!A$2,MATCH(LAUDO!B28,'Planilha mestra'!A$3:A$1048576,0),12,COUNTIF('Planilha mestra'!A$3:A$1048576,LAUDO!B28))</f>
        <v>1.2123555361976124</v>
      </c>
      <c r="F28" s="249">
        <f ca="1">OFFSET('Planilha mestra'!A$2,MATCH(LAUDO!B28,'Planilha mestra'!A$3:A$1048576,0),13,COUNTIF('Planilha mestra'!A$3:A$1048576,LAUDO!B28))</f>
        <v>0.15341910474262221</v>
      </c>
      <c r="G28" s="249">
        <f ca="1">OFFSET('Planilha mestra'!A$2,MATCH(LAUDO!B28,'Planilha mestra'!A$3:A$1048576,0),14,COUNTIF('Planilha mestra'!A$3:A$1048576,LAUDO!B28))</f>
        <v>0.54341910474262223</v>
      </c>
      <c r="H28" s="249">
        <f ca="1">OFFSET('Planilha mestra'!A$2,MATCH(LAUDO!B28,'Planilha mestra'!A$3:A$1048576,0),15,COUNTIF('Planilha mestra'!A$3:A$1048576,LAUDO!B28))</f>
        <v>1.3657746409402347</v>
      </c>
      <c r="I28" s="249">
        <f ca="1">OFFSET('Planilha mestra'!A$2,MATCH(LAUDO!B28,'Planilha mestra'!A$3:A$1048576,0),29,COUNTIF('Planilha mestra'!A$3:A$1048576,LAUDO!B28))</f>
        <v>0.3449542521605472</v>
      </c>
      <c r="J28" s="249">
        <f ca="1">OFFSET('Planilha mestra'!A$2,MATCH(LAUDO!B28,'Planilha mestra'!A$3:A$1048576,0),16,COUNTIF('Planilha mestra'!A$3:A$1048576,LAUDO!B28))</f>
        <v>11.233120029011852</v>
      </c>
      <c r="K28" s="249">
        <f ca="1">OFFSET('Planilha mestra'!A$2,MATCH(LAUDO!B28,'Planilha mestra'!A$3:A$1048576,0),17,COUNTIF('Planilha mestra'!A$3:A$1048576,LAUDO!B28))</f>
        <v>71.767811730637334</v>
      </c>
      <c r="L28" s="249" t="s">
        <v>133</v>
      </c>
      <c r="M28"/>
      <c r="Y28"/>
      <c r="AA28" s="9"/>
      <c r="AB28" s="9"/>
      <c r="AC28" s="9"/>
      <c r="AD28" s="9"/>
      <c r="AE28" s="9"/>
    </row>
    <row r="29" spans="1:31" x14ac:dyDescent="0.2">
      <c r="A29" s="1"/>
      <c r="B29" s="247" t="s">
        <v>150</v>
      </c>
      <c r="C29" s="249">
        <f ca="1">OFFSET('Planilha mestra'!A$2,MATCH(LAUDO!B38,'Planilha mestra'!A$3:A$1048576,0),10,COUNTIF('Planilha mestra'!A$3:A$1048576,LAUDO!B38))</f>
        <v>1.1578518745453337</v>
      </c>
      <c r="D29" s="249">
        <f ca="1">OFFSET('Planilha mestra'!A$2,MATCH(LAUDO!B29,'Planilha mestra'!A$3:A$1048576,0),11,COUNTIF('Planilha mestra'!A$3:A$1048576,LAUDO!B29))</f>
        <v>0.5</v>
      </c>
      <c r="E29" s="249">
        <f ca="1">OFFSET('Planilha mestra'!A$2,MATCH(LAUDO!B29,'Planilha mestra'!A$3:A$1048576,0),12,COUNTIF('Planilha mestra'!A$3:A$1048576,LAUDO!B29))</f>
        <v>1.4718718521606269</v>
      </c>
      <c r="F29" s="249">
        <f ca="1">OFFSET('Planilha mestra'!A$2,MATCH(LAUDO!B29,'Planilha mestra'!A$3:A$1048576,0),13,COUNTIF('Planilha mestra'!A$3:A$1048576,LAUDO!B29))</f>
        <v>6.2186100664794308</v>
      </c>
      <c r="G29" s="249">
        <f ca="1">OFFSET('Planilha mestra'!A$2,MATCH(LAUDO!B29,'Planilha mestra'!A$3:A$1048576,0),14,COUNTIF('Planilha mestra'!A$3:A$1048576,LAUDO!B29))</f>
        <v>6.7186100664794308</v>
      </c>
      <c r="H29" s="249">
        <f ca="1">OFFSET('Planilha mestra'!A$2,MATCH(LAUDO!B29,'Planilha mestra'!A$3:A$1048576,0),15,COUNTIF('Planilha mestra'!A$3:A$1048576,LAUDO!B29))</f>
        <v>7.6904819186400575</v>
      </c>
      <c r="I29" s="249">
        <f ca="1">OFFSET('Planilha mestra'!A$2,MATCH(LAUDO!B29,'Planilha mestra'!A$3:A$1048576,0),29,COUNTIF('Planilha mestra'!A$3:A$1048576,LAUDO!B29))</f>
        <v>1.6704993114544426</v>
      </c>
      <c r="J29" s="249">
        <f ca="1">OFFSET('Planilha mestra'!A$2,MATCH(LAUDO!B29,'Planilha mestra'!A$3:A$1048576,0),16,COUNTIF('Planilha mestra'!A$3:A$1048576,LAUDO!B29))</f>
        <v>80.861123298487598</v>
      </c>
      <c r="K29" s="249">
        <f ca="1">OFFSET('Planilha mestra'!A$2,MATCH(LAUDO!B29,'Planilha mestra'!A$3:A$1048576,0),17,COUNTIF('Planilha mestra'!A$3:A$1048576,LAUDO!B29))</f>
        <v>7.4420154623142363</v>
      </c>
      <c r="L29" s="249" t="s">
        <v>133</v>
      </c>
      <c r="M29"/>
      <c r="Q29" t="s">
        <v>202</v>
      </c>
      <c r="Y29"/>
      <c r="AA29" s="9"/>
      <c r="AB29" s="9"/>
      <c r="AC29" s="9"/>
      <c r="AD29" s="9"/>
      <c r="AE29" s="9"/>
    </row>
    <row r="30" spans="1:31" x14ac:dyDescent="0.2">
      <c r="A30" s="1"/>
      <c r="B30" s="247" t="s">
        <v>107</v>
      </c>
      <c r="C30" s="251" t="s">
        <v>107</v>
      </c>
      <c r="D30" s="251" t="s">
        <v>107</v>
      </c>
      <c r="E30" s="251" t="s">
        <v>107</v>
      </c>
      <c r="F30" s="251" t="s">
        <v>107</v>
      </c>
      <c r="G30" s="251" t="s">
        <v>107</v>
      </c>
      <c r="H30" s="251" t="s">
        <v>107</v>
      </c>
      <c r="I30" s="249"/>
      <c r="J30" s="251" t="s">
        <v>107</v>
      </c>
      <c r="K30" s="251" t="s">
        <v>107</v>
      </c>
      <c r="L30" s="251" t="s">
        <v>107</v>
      </c>
      <c r="M30"/>
      <c r="Q30" t="s">
        <v>203</v>
      </c>
      <c r="Y30"/>
      <c r="AA30" s="9"/>
      <c r="AB30" s="9"/>
      <c r="AC30" s="9"/>
      <c r="AD30" s="9"/>
      <c r="AE30" s="9"/>
    </row>
    <row r="31" spans="1:31" x14ac:dyDescent="0.2">
      <c r="A31" s="1"/>
      <c r="B31" s="256" t="s">
        <v>107</v>
      </c>
      <c r="C31" s="259" t="s">
        <v>107</v>
      </c>
      <c r="D31" s="259" t="s">
        <v>107</v>
      </c>
      <c r="E31" s="259" t="s">
        <v>107</v>
      </c>
      <c r="F31" s="259" t="s">
        <v>107</v>
      </c>
      <c r="G31" s="259" t="s">
        <v>107</v>
      </c>
      <c r="H31" s="259" t="s">
        <v>107</v>
      </c>
      <c r="I31" s="260"/>
      <c r="J31" s="259" t="s">
        <v>107</v>
      </c>
      <c r="K31" s="259" t="s">
        <v>107</v>
      </c>
      <c r="L31" s="259" t="s">
        <v>107</v>
      </c>
      <c r="M31"/>
      <c r="Y31"/>
      <c r="AA31" s="9"/>
      <c r="AB31" s="9"/>
      <c r="AC31" s="9"/>
      <c r="AD31" s="9"/>
      <c r="AE31" s="9"/>
    </row>
    <row r="32" spans="1:3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Y32"/>
      <c r="AA32" s="9"/>
      <c r="AB32" s="9"/>
      <c r="AC32" s="9"/>
      <c r="AD32" s="9"/>
      <c r="AE32" s="9"/>
    </row>
    <row r="33" spans="1:31" x14ac:dyDescent="0.2">
      <c r="A33" s="1"/>
      <c r="B33" s="328" t="s">
        <v>4</v>
      </c>
      <c r="C33" s="114" t="s">
        <v>30</v>
      </c>
      <c r="D33" s="114" t="s">
        <v>31</v>
      </c>
      <c r="E33" s="111" t="s">
        <v>35</v>
      </c>
      <c r="F33" s="111" t="s">
        <v>32</v>
      </c>
      <c r="G33" s="111" t="s">
        <v>33</v>
      </c>
      <c r="H33" s="111" t="s">
        <v>34</v>
      </c>
      <c r="I33" s="111" t="s">
        <v>64</v>
      </c>
      <c r="J33" s="111" t="s">
        <v>121</v>
      </c>
      <c r="K33" s="111" t="s">
        <v>123</v>
      </c>
      <c r="L33" s="111" t="s">
        <v>122</v>
      </c>
      <c r="Y33"/>
      <c r="AA33" s="9"/>
      <c r="AB33" s="9"/>
      <c r="AC33" s="9"/>
      <c r="AD33" s="9"/>
      <c r="AE33" s="9"/>
    </row>
    <row r="34" spans="1:31" x14ac:dyDescent="0.2">
      <c r="A34" s="1"/>
      <c r="B34" s="329"/>
      <c r="C34" s="337" t="s">
        <v>145</v>
      </c>
      <c r="D34" s="337"/>
      <c r="E34" s="337"/>
      <c r="F34" s="337"/>
      <c r="G34" s="337"/>
      <c r="H34" s="337"/>
      <c r="I34" s="146" t="s">
        <v>115</v>
      </c>
      <c r="J34" s="338"/>
      <c r="K34" s="339"/>
      <c r="L34" s="340"/>
      <c r="Y34"/>
      <c r="AA34" s="9"/>
      <c r="AB34" s="9"/>
      <c r="AC34" s="9"/>
      <c r="AD34" s="9"/>
      <c r="AE34" s="9"/>
    </row>
    <row r="35" spans="1:31" x14ac:dyDescent="0.2">
      <c r="A35" s="1"/>
      <c r="B35" s="253" t="s">
        <v>147</v>
      </c>
      <c r="C35" s="258">
        <v>20.2</v>
      </c>
      <c r="D35" s="255">
        <v>0.31</v>
      </c>
      <c r="E35" s="255">
        <v>0.18</v>
      </c>
      <c r="F35" s="255">
        <v>0.93</v>
      </c>
      <c r="G35" s="255">
        <v>1.4</v>
      </c>
      <c r="H35" s="255">
        <v>39.4</v>
      </c>
      <c r="I35" s="255">
        <v>0.9</v>
      </c>
      <c r="J35" s="254">
        <v>1</v>
      </c>
      <c r="K35" s="255">
        <v>0</v>
      </c>
      <c r="L35" s="255">
        <v>0</v>
      </c>
      <c r="Y35"/>
      <c r="AA35" s="9"/>
      <c r="AB35" s="9"/>
      <c r="AC35" s="9"/>
      <c r="AD35" s="9"/>
      <c r="AE35" s="9"/>
    </row>
    <row r="36" spans="1:31" x14ac:dyDescent="0.2">
      <c r="A36" s="1"/>
      <c r="B36" s="247" t="s">
        <v>148</v>
      </c>
      <c r="C36" s="251">
        <v>0.3</v>
      </c>
      <c r="D36" s="249">
        <v>0.94</v>
      </c>
      <c r="E36" s="249">
        <v>2.2599999999999998</v>
      </c>
      <c r="F36" s="249">
        <v>0.45</v>
      </c>
      <c r="G36" s="249">
        <v>10.199999999999999</v>
      </c>
      <c r="H36" s="249">
        <v>15.5</v>
      </c>
      <c r="I36" s="249">
        <v>8.07</v>
      </c>
      <c r="J36" s="248">
        <v>3.71</v>
      </c>
      <c r="K36" s="249">
        <v>37.11</v>
      </c>
      <c r="L36" s="249">
        <v>10</v>
      </c>
      <c r="Y36"/>
      <c r="AA36" s="9"/>
      <c r="AB36" s="9"/>
      <c r="AC36" s="9"/>
      <c r="AD36" s="9"/>
      <c r="AE36" s="9"/>
    </row>
    <row r="37" spans="1:31" x14ac:dyDescent="0.2">
      <c r="A37" s="1"/>
      <c r="B37" s="247" t="s">
        <v>149</v>
      </c>
      <c r="C37" s="251">
        <f ca="1">OFFSET('Planilha mestra'!A$2,MATCH(LAUDO!B37,'Planilha mestra'!A$3:A$1048576,0),19,COUNTIF('Planilha mestra'!A$3:A$1048576,LAUDO!B37))</f>
        <v>24.791177177587986</v>
      </c>
      <c r="D37" s="249">
        <f ca="1">OFFSET('Planilha mestra'!A$2,MATCH(LAUDO!B37,'Planilha mestra'!A$3:A$1048576,0),20,COUNTIF('Planilha mestra'!A$3:A$1048576,LAUDO!B37))</f>
        <v>7.9106240832936495E-3</v>
      </c>
      <c r="E37" s="249">
        <f ca="1">OFFSET('Planilha mestra'!A$2,MATCH(LAUDO!B37,'Planilha mestra'!A$3:A$1048576,0),21,COUNTIF('Planilha mestra'!A$3:A$1048576,LAUDO!B37))</f>
        <v>0.16682113067655227</v>
      </c>
      <c r="F37" s="249">
        <f ca="1">OFFSET('Planilha mestra'!A$2,MATCH(LAUDO!B37,'Planilha mestra'!A$3:A$1048576,0),22,COUNTIF('Planilha mestra'!A$3:A$1048576,LAUDO!B37))</f>
        <v>1.1088709677419344</v>
      </c>
      <c r="G37" s="249">
        <f ca="1">OFFSET('Planilha mestra'!A$2,MATCH(LAUDO!B37,'Planilha mestra'!A$3:A$1048576,0),23,COUNTIF('Planilha mestra'!A$3:A$1048576,LAUDO!B37))</f>
        <v>2.2993973993022614</v>
      </c>
      <c r="H37" s="249">
        <f ca="1">OFFSET('Planilha mestra'!A$2,MATCH(LAUDO!B37,'Planilha mestra'!A$3:A$1048576,0),24,COUNTIF('Planilha mestra'!A$3:A$1048576,LAUDO!B37))</f>
        <v>42.942372881355936</v>
      </c>
      <c r="I37" s="249">
        <f ca="1">OFFSET('Planilha mestra'!A$2,MATCH(LAUDO!B28,'Planilha mestra'!A$3:A$1048576,0),25,COUNTIF('Planilha mestra'!A$3:A$1048576,LAUDO!B28))</f>
        <v>0.59332131371614116</v>
      </c>
      <c r="J37" s="248">
        <f ca="1">OFFSET('Planilha mestra'!A$2,MATCH(LAUDO!B28,'Planilha mestra'!A$3:A$1048576,0),26,COUNTIF('Planilha mestra'!A$3:A$1048576,LAUDO!B28))</f>
        <v>3.3680352628940255</v>
      </c>
      <c r="K37" s="248">
        <f ca="1">OFFSET('Planilha mestra'!A$2,MATCH(LAUDO!B28,'Planilha mestra'!A$3:A$1048576,0),27,COUNTIF('Planilha mestra'!A$3:A$1048576,LAUDO!B28))</f>
        <v>29.764821680531348</v>
      </c>
      <c r="L37" s="248">
        <f ca="1">OFFSET('Planilha mestra'!A$2,MATCH(LAUDO!B28,'Planilha mestra'!A$3:A$1048576,0),28,COUNTIF('Planilha mestra'!A$3:A$1048576,LAUDO!B28))</f>
        <v>8.8374436005624126</v>
      </c>
      <c r="Y37"/>
      <c r="AA37" s="9"/>
      <c r="AB37" s="9"/>
      <c r="AC37" s="9"/>
      <c r="AD37" s="9"/>
      <c r="AE37" s="9"/>
    </row>
    <row r="38" spans="1:31" x14ac:dyDescent="0.2">
      <c r="A38" s="1"/>
      <c r="B38" s="247" t="s">
        <v>150</v>
      </c>
      <c r="C38" s="251">
        <f ca="1">OFFSET('Planilha mestra'!A$2,MATCH(LAUDO!B38,'Planilha mestra'!A$3:A$1048576,0),19,COUNTIF('Planilha mestra'!A$3:A$1048576,LAUDO!B38))</f>
        <v>1.3318784197092111</v>
      </c>
      <c r="D38" s="249">
        <f ca="1">OFFSET('Planilha mestra'!A$2,MATCH(LAUDO!B38,'Planilha mestra'!A$3:A$1048576,0),20,COUNTIF('Planilha mestra'!A$3:A$1048576,LAUDO!B38))</f>
        <v>0.28852013771210888</v>
      </c>
      <c r="E38" s="249">
        <f ca="1">OFFSET('Planilha mestra'!A$2,MATCH(LAUDO!B38,'Planilha mestra'!A$3:A$1048576,0),21,COUNTIF('Planilha mestra'!A$3:A$1048576,LAUDO!B38))</f>
        <v>1.7732468334878011</v>
      </c>
      <c r="F38" s="249">
        <f ca="1">OFFSET('Planilha mestra'!A$2,MATCH(LAUDO!B38,'Planilha mestra'!A$3:A$1048576,0),22,COUNTIF('Planilha mestra'!A$3:A$1048576,LAUDO!B38))</f>
        <v>0.68548387096774088</v>
      </c>
      <c r="G38" s="249">
        <f ca="1">OFFSET('Planilha mestra'!A$2,MATCH(LAUDO!B38,'Planilha mestra'!A$3:A$1048576,0),23,COUNTIF('Planilha mestra'!A$3:A$1048576,LAUDO!B38))</f>
        <v>17.618141452584844</v>
      </c>
      <c r="H38" s="249">
        <f ca="1">OFFSET('Planilha mestra'!A$2,MATCH(LAUDO!B38,'Planilha mestra'!A$3:A$1048576,0),24,COUNTIF('Planilha mestra'!A$3:A$1048576,LAUDO!B38))</f>
        <v>30.840677966101698</v>
      </c>
      <c r="I38" s="252">
        <f ca="1">OFFSET('Planilha mestra'!A$2,MATCH(LAUDO!B29,'Planilha mestra'!A$3:A$1048576,0),25,COUNTIF('Planilha mestra'!A$3:A$1048576,LAUDO!B29))</f>
        <v>2.8732588157016412</v>
      </c>
      <c r="J38" s="248">
        <f ca="1">OFFSET('Planilha mestra'!A$2,MATCH(LAUDO!B29,'Planilha mestra'!A$3:A$1048576,0),26,COUNTIF('Planilha mestra'!A$3:A$1048576,LAUDO!B29))</f>
        <v>4.2884250526476944</v>
      </c>
      <c r="K38" s="248">
        <f ca="1">OFFSET('Planilha mestra'!A$2,MATCH(LAUDO!B29,'Planilha mestra'!A$3:A$1048576,0),27,COUNTIF('Planilha mestra'!A$3:A$1048576,LAUDO!B29))</f>
        <v>52.049333524129466</v>
      </c>
      <c r="L38" s="248">
        <f ca="1">OFFSET('Planilha mestra'!A$2,MATCH(LAUDO!B29,'Planilha mestra'!A$3:A$1048576,0),28,COUNTIF('Planilha mestra'!A$3:A$1048576,LAUDO!B29))</f>
        <v>12.13716758136975</v>
      </c>
      <c r="Y38"/>
      <c r="AA38" s="9"/>
      <c r="AB38" s="9"/>
      <c r="AC38" s="9"/>
      <c r="AD38" s="9"/>
      <c r="AE38" s="9"/>
    </row>
    <row r="39" spans="1:31" x14ac:dyDescent="0.2">
      <c r="A39" s="1"/>
      <c r="B39" s="247" t="s">
        <v>107</v>
      </c>
      <c r="C39" s="251" t="s">
        <v>107</v>
      </c>
      <c r="D39" s="251" t="s">
        <v>107</v>
      </c>
      <c r="E39" s="251" t="s">
        <v>107</v>
      </c>
      <c r="F39" s="251" t="s">
        <v>107</v>
      </c>
      <c r="G39" s="251" t="s">
        <v>107</v>
      </c>
      <c r="H39" s="251" t="s">
        <v>107</v>
      </c>
      <c r="I39" s="251" t="s">
        <v>107</v>
      </c>
      <c r="J39" s="251" t="s">
        <v>107</v>
      </c>
      <c r="K39" s="251" t="s">
        <v>107</v>
      </c>
      <c r="L39" s="251" t="s">
        <v>107</v>
      </c>
      <c r="Y39"/>
      <c r="AA39" s="9"/>
      <c r="AB39" s="9"/>
      <c r="AC39" s="9"/>
      <c r="AD39" s="9"/>
      <c r="AE39" s="9"/>
    </row>
    <row r="40" spans="1:31" x14ac:dyDescent="0.2">
      <c r="A40" s="1"/>
      <c r="B40" s="256" t="s">
        <v>107</v>
      </c>
      <c r="C40" s="259" t="s">
        <v>107</v>
      </c>
      <c r="D40" s="259" t="s">
        <v>107</v>
      </c>
      <c r="E40" s="259" t="s">
        <v>107</v>
      </c>
      <c r="F40" s="259" t="s">
        <v>107</v>
      </c>
      <c r="G40" s="259" t="s">
        <v>107</v>
      </c>
      <c r="H40" s="259" t="s">
        <v>107</v>
      </c>
      <c r="I40" s="259" t="s">
        <v>107</v>
      </c>
      <c r="J40" s="259" t="s">
        <v>107</v>
      </c>
      <c r="K40" s="259" t="s">
        <v>107</v>
      </c>
      <c r="L40" s="259" t="s">
        <v>107</v>
      </c>
      <c r="Y40"/>
      <c r="AA40" s="9"/>
      <c r="AB40" s="9"/>
      <c r="AC40" s="9"/>
      <c r="AD40" s="9"/>
      <c r="AE40" s="9"/>
    </row>
    <row r="41" spans="1:31" x14ac:dyDescent="0.2">
      <c r="A41" s="1"/>
      <c r="B41" s="1" t="s">
        <v>132</v>
      </c>
      <c r="C41" s="1"/>
      <c r="D41" s="1"/>
      <c r="E41" s="1"/>
      <c r="F41" s="1"/>
      <c r="G41" s="1"/>
      <c r="H41" s="1"/>
      <c r="I41" s="1"/>
      <c r="J41" s="1"/>
      <c r="K41" s="1"/>
      <c r="L41" s="1"/>
      <c r="Y41"/>
      <c r="AA41" s="9"/>
      <c r="AB41" s="9"/>
      <c r="AC41" s="9"/>
      <c r="AD41" s="9"/>
      <c r="AE41" s="9"/>
    </row>
    <row r="42" spans="1:31" x14ac:dyDescent="0.2">
      <c r="A42" s="1"/>
      <c r="B42" s="17" t="s">
        <v>139</v>
      </c>
      <c r="C42" s="18"/>
      <c r="D42" s="18"/>
      <c r="E42" s="18"/>
      <c r="F42" s="18"/>
      <c r="G42" s="18"/>
      <c r="H42" s="18"/>
      <c r="I42" s="18"/>
      <c r="J42" s="18"/>
      <c r="K42" s="18"/>
      <c r="L42" s="115"/>
      <c r="Y42"/>
      <c r="AA42" s="9"/>
      <c r="AB42" s="9"/>
      <c r="AC42" s="9"/>
      <c r="AD42" s="9"/>
      <c r="AE42" s="9"/>
    </row>
    <row r="43" spans="1:31" x14ac:dyDescent="0.2">
      <c r="A43" s="1"/>
      <c r="B43" s="19" t="s">
        <v>138</v>
      </c>
      <c r="C43" s="5"/>
      <c r="D43" s="5"/>
      <c r="E43" s="5"/>
      <c r="F43" s="5"/>
      <c r="G43" s="5"/>
      <c r="H43" s="5"/>
      <c r="I43" s="5"/>
      <c r="J43" s="5"/>
      <c r="K43" s="5"/>
      <c r="L43" s="116"/>
      <c r="Y43"/>
      <c r="AA43" s="9"/>
      <c r="AB43" s="9"/>
      <c r="AC43" s="9"/>
      <c r="AD43" s="9"/>
      <c r="AE43" s="9"/>
    </row>
    <row r="44" spans="1:31" x14ac:dyDescent="0.2">
      <c r="A44" s="1"/>
      <c r="B44" s="19" t="s">
        <v>140</v>
      </c>
      <c r="C44" s="5"/>
      <c r="D44" s="5"/>
      <c r="E44" s="5"/>
      <c r="F44" s="5"/>
      <c r="G44" s="5"/>
      <c r="H44" s="5"/>
      <c r="I44" s="5"/>
      <c r="J44" s="5"/>
      <c r="K44" s="5"/>
      <c r="L44" s="116"/>
      <c r="Y44"/>
      <c r="AA44" s="9"/>
      <c r="AB44" s="9"/>
      <c r="AC44" s="9"/>
      <c r="AD44" s="9"/>
      <c r="AE44" s="9"/>
    </row>
    <row r="45" spans="1:31" x14ac:dyDescent="0.2">
      <c r="A45" s="1"/>
      <c r="B45" s="19" t="s">
        <v>141</v>
      </c>
      <c r="C45" s="5"/>
      <c r="D45" s="5"/>
      <c r="E45" s="5"/>
      <c r="F45" s="5"/>
      <c r="G45" s="5"/>
      <c r="H45" s="5"/>
      <c r="I45" s="5"/>
      <c r="J45" s="5"/>
      <c r="K45" s="5"/>
      <c r="L45" s="116"/>
      <c r="Y45"/>
      <c r="AA45" s="9"/>
      <c r="AB45" s="9"/>
      <c r="AC45" s="9"/>
      <c r="AD45" s="9"/>
      <c r="AE45" s="9"/>
    </row>
    <row r="46" spans="1:31" x14ac:dyDescent="0.2">
      <c r="A46" s="1"/>
      <c r="B46" s="19" t="s">
        <v>116</v>
      </c>
      <c r="C46" s="5"/>
      <c r="D46" s="5"/>
      <c r="E46" s="5"/>
      <c r="F46" s="5"/>
      <c r="G46" s="5"/>
      <c r="H46" s="5"/>
      <c r="I46" s="5"/>
      <c r="J46" s="5"/>
      <c r="K46" s="5"/>
      <c r="L46" s="116"/>
      <c r="Y46"/>
      <c r="AA46" s="9"/>
      <c r="AB46" s="9"/>
      <c r="AC46" s="9"/>
      <c r="AD46" s="9"/>
      <c r="AE46" s="9"/>
    </row>
    <row r="47" spans="1:31" x14ac:dyDescent="0.2">
      <c r="A47" s="1"/>
      <c r="B47" s="19" t="s">
        <v>36</v>
      </c>
      <c r="C47" s="5"/>
      <c r="D47" s="5"/>
      <c r="E47" s="5"/>
      <c r="F47" s="5"/>
      <c r="G47" s="5"/>
      <c r="H47" s="5"/>
      <c r="I47" s="5"/>
      <c r="J47" s="5"/>
      <c r="K47" s="5"/>
      <c r="L47" s="116"/>
      <c r="Y47"/>
      <c r="AA47" s="9"/>
      <c r="AB47" s="9"/>
      <c r="AC47" s="9"/>
      <c r="AD47" s="9"/>
      <c r="AE47" s="9"/>
    </row>
    <row r="48" spans="1:31" x14ac:dyDescent="0.2">
      <c r="A48" s="1"/>
      <c r="B48" s="117" t="s">
        <v>37</v>
      </c>
      <c r="C48" s="118"/>
      <c r="D48" s="118"/>
      <c r="E48" s="118"/>
      <c r="F48" s="118"/>
      <c r="G48" s="118"/>
      <c r="H48" s="118"/>
      <c r="I48" s="118"/>
      <c r="J48" s="118"/>
      <c r="K48" s="118"/>
      <c r="L48" s="119"/>
      <c r="Y48"/>
      <c r="AA48" s="9"/>
      <c r="AB48" s="9"/>
      <c r="AC48" s="9"/>
      <c r="AD48" s="9"/>
      <c r="AE48" s="9"/>
    </row>
    <row r="49" spans="1:46" s="22" customForma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/>
      <c r="O49"/>
      <c r="P49"/>
      <c r="Q49"/>
      <c r="R49"/>
      <c r="S49"/>
      <c r="T49"/>
      <c r="U49"/>
      <c r="V49"/>
      <c r="W49"/>
      <c r="X49"/>
      <c r="Y49"/>
      <c r="Z49" s="24"/>
      <c r="AA49" s="9"/>
      <c r="AB49" s="9"/>
      <c r="AC49" s="9"/>
      <c r="AD49" s="9"/>
      <c r="AE49" s="9"/>
      <c r="AF49" s="7"/>
      <c r="AG49" s="7"/>
      <c r="AH49" s="7"/>
      <c r="AI49" s="7"/>
      <c r="AJ49" s="7"/>
      <c r="AK49" s="7"/>
      <c r="AL49" s="7"/>
      <c r="AM49" s="20"/>
      <c r="AN49" s="21"/>
      <c r="AO49" s="21"/>
      <c r="AP49" s="21"/>
      <c r="AQ49" s="21"/>
      <c r="AR49" s="21"/>
      <c r="AS49" s="21"/>
      <c r="AT49" s="21"/>
    </row>
    <row r="50" spans="1:46" customForma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46" customFormat="1" ht="21" x14ac:dyDescent="0.25">
      <c r="A51" s="1"/>
      <c r="B51" s="347"/>
      <c r="C51" s="347"/>
      <c r="D51" s="348" t="s">
        <v>6</v>
      </c>
      <c r="E51" s="348"/>
      <c r="F51" s="348"/>
      <c r="G51" s="348"/>
      <c r="H51" s="348"/>
      <c r="I51" s="348"/>
      <c r="J51" s="348"/>
      <c r="K51" s="347"/>
      <c r="L51" s="347"/>
      <c r="M51" s="347"/>
    </row>
    <row r="52" spans="1:46" customFormat="1" ht="16" x14ac:dyDescent="0.2">
      <c r="A52" s="1"/>
      <c r="B52" s="347"/>
      <c r="C52" s="347"/>
      <c r="D52" s="349" t="s">
        <v>7</v>
      </c>
      <c r="E52" s="349"/>
      <c r="F52" s="349"/>
      <c r="G52" s="349"/>
      <c r="H52" s="349"/>
      <c r="I52" s="349"/>
      <c r="J52" s="349"/>
      <c r="K52" s="347"/>
      <c r="L52" s="347"/>
      <c r="M52" s="347"/>
    </row>
    <row r="53" spans="1:46" customFormat="1" x14ac:dyDescent="0.2">
      <c r="A53" s="1"/>
      <c r="B53" s="347"/>
      <c r="C53" s="347"/>
      <c r="D53" s="334" t="s">
        <v>8</v>
      </c>
      <c r="E53" s="334"/>
      <c r="F53" s="334"/>
      <c r="G53" s="334"/>
      <c r="H53" s="334"/>
      <c r="I53" s="334"/>
      <c r="J53" s="334"/>
      <c r="K53" s="347"/>
      <c r="L53" s="347"/>
      <c r="M53" s="347"/>
    </row>
    <row r="54" spans="1:46" customFormat="1" x14ac:dyDescent="0.2">
      <c r="A54" s="1"/>
      <c r="B54" s="1"/>
      <c r="C54" s="1"/>
      <c r="D54" s="334" t="s">
        <v>9</v>
      </c>
      <c r="E54" s="334"/>
      <c r="F54" s="334"/>
      <c r="G54" s="334"/>
      <c r="H54" s="334"/>
      <c r="I54" s="334"/>
      <c r="J54" s="334"/>
      <c r="K54" s="1"/>
      <c r="L54" s="1"/>
      <c r="M54" s="1"/>
    </row>
    <row r="55" spans="1:46" customFormat="1" x14ac:dyDescent="0.2">
      <c r="A55" s="1"/>
      <c r="B55" s="1"/>
      <c r="C55" s="1"/>
      <c r="D55" s="334" t="s">
        <v>10</v>
      </c>
      <c r="E55" s="334"/>
      <c r="F55" s="334"/>
      <c r="G55" s="334"/>
      <c r="H55" s="334"/>
      <c r="I55" s="334"/>
      <c r="J55" s="334"/>
      <c r="K55" s="1"/>
      <c r="L55" s="1"/>
      <c r="M55" s="1"/>
    </row>
    <row r="56" spans="1:46" customFormat="1" x14ac:dyDescent="0.2">
      <c r="A56" s="1"/>
      <c r="B56" s="1"/>
      <c r="C56" s="1"/>
      <c r="D56" s="346" t="s">
        <v>11</v>
      </c>
      <c r="E56" s="334"/>
      <c r="F56" s="334"/>
      <c r="G56" s="334"/>
      <c r="H56" s="334"/>
      <c r="I56" s="334"/>
      <c r="J56" s="334"/>
      <c r="K56" s="1"/>
      <c r="L56" s="1"/>
      <c r="M56" s="1"/>
    </row>
    <row r="57" spans="1:46" customFormat="1" ht="19" x14ac:dyDescent="0.25">
      <c r="A57" s="1"/>
      <c r="B57" s="2"/>
      <c r="C57" s="312" t="s">
        <v>12</v>
      </c>
      <c r="D57" s="312"/>
      <c r="E57" s="312"/>
      <c r="F57" s="312"/>
      <c r="G57" s="312"/>
      <c r="H57" s="312"/>
      <c r="I57" s="312"/>
      <c r="J57" s="312"/>
      <c r="K57" s="312"/>
      <c r="L57" s="8"/>
      <c r="M57" s="1"/>
    </row>
    <row r="58" spans="1:46" customForma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46" customFormat="1" x14ac:dyDescent="0.2">
      <c r="A59" s="3"/>
      <c r="B59" s="3" t="s">
        <v>0</v>
      </c>
      <c r="C59" s="334" t="s">
        <v>166</v>
      </c>
      <c r="D59" s="334"/>
      <c r="E59" s="334"/>
      <c r="F59" s="3" t="s">
        <v>1</v>
      </c>
      <c r="G59" s="335">
        <f ca="1">OFFSET(Cadastro!B$1,MATCH(LAUDO!C59,Cadastro!B$2:B$1048576,0),4,COUNTIF(Cadastro!B$2:B$1048576,LAUDO!C59))</f>
        <v>45866</v>
      </c>
      <c r="H59" s="335"/>
      <c r="I59" s="335"/>
      <c r="J59" s="3" t="s">
        <v>2</v>
      </c>
      <c r="K59" s="335">
        <f ca="1">OFFSET(Cadastro!B$1,MATCH(LAUDO!C59,Cadastro!B$2:B$1048576,0),5,COUNTIF(Cadastro!B$2:B$1048576,LAUDO!C59))</f>
        <v>45890</v>
      </c>
      <c r="L59" s="335"/>
      <c r="M59" s="3"/>
    </row>
    <row r="60" spans="1:46" customFormat="1" x14ac:dyDescent="0.2">
      <c r="A60" s="3"/>
      <c r="B60" s="3" t="s">
        <v>13</v>
      </c>
      <c r="C60" s="336" t="str">
        <f ca="1">OFFSET(Cadastro!B$1,MATCH(LAUDO!C59,Cadastro!B$2:B$1048576,0),6,COUNTIF(Cadastro!B$2:B$1048576,LAUDO!C59))</f>
        <v>-</v>
      </c>
      <c r="D60" s="336"/>
      <c r="E60" s="336"/>
      <c r="F60" s="336"/>
      <c r="G60" s="336"/>
      <c r="H60" s="336"/>
      <c r="I60" s="336"/>
      <c r="J60" s="336"/>
      <c r="K60" s="336"/>
      <c r="L60" s="336"/>
      <c r="M60" s="3"/>
    </row>
    <row r="61" spans="1:46" customFormat="1" x14ac:dyDescent="0.2">
      <c r="A61" s="1"/>
      <c r="B61" s="4" t="s">
        <v>160</v>
      </c>
      <c r="C61" s="344" t="str">
        <f ca="1">OFFSET(Cadastro!B$1,MATCH(LAUDO!C59,Cadastro!B$2:B$1048576,0),1,COUNTIF(Cadastro!B$2:B$1048576,LAUDO!C59))</f>
        <v>eliasnborges@gmail.com</v>
      </c>
      <c r="D61" s="344"/>
      <c r="E61" s="344"/>
      <c r="F61" s="344"/>
      <c r="G61" s="4" t="s">
        <v>109</v>
      </c>
      <c r="H61" s="345" t="str">
        <f ca="1">OFFSET(Cadastro!B$1,MATCH(LAUDO!C59,Cadastro!B$2:B$1048576,0),2,COUNTIF(Cadastro!B$2:B$1048576,LAUDO!C59))</f>
        <v>Greener Hortaliças</v>
      </c>
      <c r="I61" s="345"/>
      <c r="J61" s="345"/>
      <c r="K61" s="345"/>
      <c r="L61" s="345"/>
      <c r="M61" s="1"/>
    </row>
    <row r="62" spans="1:46" customFormat="1" x14ac:dyDescent="0.2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46" customFormat="1" ht="19" x14ac:dyDescent="0.25">
      <c r="A63" s="1"/>
      <c r="B63" s="317" t="s">
        <v>3</v>
      </c>
      <c r="C63" s="317"/>
      <c r="D63" s="317"/>
      <c r="E63" s="317"/>
      <c r="F63" s="317"/>
      <c r="G63" s="317"/>
      <c r="H63" s="317"/>
      <c r="I63" s="317"/>
      <c r="J63" s="317"/>
      <c r="K63" s="317"/>
      <c r="L63" s="317"/>
      <c r="M63" s="317"/>
    </row>
    <row r="64" spans="1:46" customFormat="1" x14ac:dyDescent="0.2">
      <c r="A64" s="5"/>
      <c r="B64" s="328" t="s">
        <v>4</v>
      </c>
      <c r="C64" s="330" t="s">
        <v>127</v>
      </c>
      <c r="D64" s="330"/>
      <c r="E64" s="110" t="s">
        <v>14</v>
      </c>
      <c r="F64" s="120" t="s">
        <v>14</v>
      </c>
      <c r="G64" s="110" t="s">
        <v>14</v>
      </c>
      <c r="H64" s="121" t="s">
        <v>131</v>
      </c>
      <c r="I64" s="121" t="s">
        <v>125</v>
      </c>
      <c r="J64" s="110" t="s">
        <v>15</v>
      </c>
      <c r="K64" s="120" t="s">
        <v>16</v>
      </c>
      <c r="L64" s="120" t="s">
        <v>17</v>
      </c>
      <c r="M64" s="5"/>
    </row>
    <row r="65" spans="1:16" customFormat="1" x14ac:dyDescent="0.2">
      <c r="A65" s="1"/>
      <c r="B65" s="329"/>
      <c r="C65" s="331"/>
      <c r="D65" s="331"/>
      <c r="E65" s="147" t="s">
        <v>18</v>
      </c>
      <c r="F65" s="147" t="s">
        <v>19</v>
      </c>
      <c r="G65" s="147" t="s">
        <v>134</v>
      </c>
      <c r="H65" s="332" t="s">
        <v>144</v>
      </c>
      <c r="I65" s="333"/>
      <c r="J65" s="333"/>
      <c r="K65" s="333"/>
      <c r="L65" s="174" t="s">
        <v>135</v>
      </c>
      <c r="M65" s="1"/>
    </row>
    <row r="66" spans="1:16" customFormat="1" x14ac:dyDescent="0.2">
      <c r="A66" s="1"/>
      <c r="B66" s="253" t="s">
        <v>165</v>
      </c>
      <c r="C66" s="341" t="str">
        <f ca="1">OFFSET('Planilha mestra'!A$2,MATCH(LAUDO!B66,'Planilha mestra'!A$3:A$1048576,0),1,COUNTIF('Planilha mestra'!A$3:A$1048576,LAUDO!B66))</f>
        <v>Carlos Ace</v>
      </c>
      <c r="D66" s="341"/>
      <c r="E66" s="254">
        <f ca="1">OFFSET('Planilha mestra'!A$2,MATCH(LAUDO!B66,'Planilha mestra'!A$3:A$1048576,0),2,COUNTIF('Planilha mestra'!A$3:A$1048576,LAUDO!B66))</f>
        <v>5.8135193798449611</v>
      </c>
      <c r="F66" s="255" t="str">
        <f ca="1">OFFSET('Planilha mestra'!A$2,MATCH(LAUDO!B66,'Planilha mestra'!A$3:A$1048576,0),3,COUNTIF('Planilha mestra'!A$3:A$1048576,LAUDO!B66))</f>
        <v>*</v>
      </c>
      <c r="G66" s="255" t="str">
        <f ca="1">OFFSET('Planilha mestra'!A$2,MATCH(LAUDO!B66,'Planilha mestra'!A$3:A$1048576,0),4,COUNTIF('Planilha mestra'!A$3:A$1048576,LAUDO!B66))</f>
        <v>*</v>
      </c>
      <c r="H66" s="255">
        <f ca="1">OFFSET('Planilha mestra'!A$2,MATCH(LAUDO!B66,'Planilha mestra'!A$3:A$1048576,0),5,COUNTIF('Planilha mestra'!A$3:A$1048576,LAUDO!B66))</f>
        <v>137.11124126187624</v>
      </c>
      <c r="I66" s="255" t="s">
        <v>107</v>
      </c>
      <c r="J66" s="254">
        <f ca="1">OFFSET('Planilha mestra'!A$2,MATCH(LAUDO!B66,'Planilha mestra'!A$3:A$1048576,0),7,COUNTIF('Planilha mestra'!A$3:A$1048576,LAUDO!B66))</f>
        <v>51.085930122757325</v>
      </c>
      <c r="K66" s="255">
        <f ca="1">OFFSET('Planilha mestra'!A$2,MATCH(LAUDO!B66,'Planilha mestra'!A$3:A$1048576,0),8,COUNTIF('Planilha mestra'!A$3:A$1048576,LAUDO!B66))</f>
        <v>0</v>
      </c>
      <c r="L66" s="255">
        <f ca="1">OFFSET('Planilha mestra'!A$2,MATCH(LAUDO!B66,'Planilha mestra'!A$3:A$1048576,0),9,COUNTIF('Planilha mestra'!A$3:A$1048576,LAUDO!B66))</f>
        <v>1.8581550581462398</v>
      </c>
      <c r="M66" s="1"/>
    </row>
    <row r="67" spans="1:16" customFormat="1" x14ac:dyDescent="0.2">
      <c r="A67" s="1"/>
      <c r="B67" s="247" t="s">
        <v>170</v>
      </c>
      <c r="C67" s="342" t="str">
        <f ca="1">OFFSET('Planilha mestra'!A$2,MATCH(LAUDO!B67,'Planilha mestra'!A$3:A$1048576,0),1,COUNTIF('Planilha mestra'!A$3:A$1048576,LAUDO!B67))</f>
        <v>Carlos Amostra</v>
      </c>
      <c r="D67" s="342"/>
      <c r="E67" s="248">
        <f ca="1">OFFSET('Planilha mestra'!A$2,MATCH(LAUDO!B67,'Planilha mestra'!A$3:A$1048576,0),2,COUNTIF('Planilha mestra'!A$3:A$1048576,LAUDO!B67))</f>
        <v>6.1302816537467697</v>
      </c>
      <c r="F67" s="249" t="s">
        <v>107</v>
      </c>
      <c r="G67" s="249" t="s">
        <v>107</v>
      </c>
      <c r="H67" s="249">
        <f ca="1">OFFSET('Planilha mestra'!A$2,MATCH(LAUDO!B67,'Planilha mestra'!A$3:A$1048576,0),5,COUNTIF('Planilha mestra'!A$3:A$1048576,LAUDO!B67))</f>
        <v>127.99162846095018</v>
      </c>
      <c r="I67" s="249" t="s">
        <v>107</v>
      </c>
      <c r="J67" s="248">
        <f ca="1">OFFSET('Planilha mestra'!A$2,MATCH(LAUDO!B67,'Planilha mestra'!A$3:A$1048576,0),7,COUNTIF('Planilha mestra'!A$3:A$1048576,LAUDO!B67))</f>
        <v>64.966949952785654</v>
      </c>
      <c r="K67" s="249" t="s">
        <v>107</v>
      </c>
      <c r="L67" s="249">
        <f ca="1">OFFSET('Planilha mestra'!A$2,MATCH(LAUDO!B67,'Planilha mestra'!A$3:A$1048576,0),9,COUNTIF('Planilha mestra'!A$3:A$1048576,LAUDO!B67))</f>
        <v>2.5512349433687511</v>
      </c>
      <c r="M67" s="1"/>
    </row>
    <row r="68" spans="1:16" customFormat="1" x14ac:dyDescent="0.2">
      <c r="A68" s="1"/>
      <c r="B68" s="247" t="s">
        <v>107</v>
      </c>
      <c r="C68" s="342" t="s">
        <v>107</v>
      </c>
      <c r="D68" s="342"/>
      <c r="E68" s="248" t="s">
        <v>107</v>
      </c>
      <c r="F68" s="249" t="s">
        <v>107</v>
      </c>
      <c r="G68" s="249" t="s">
        <v>107</v>
      </c>
      <c r="H68" s="249" t="s">
        <v>107</v>
      </c>
      <c r="I68" s="249" t="s">
        <v>107</v>
      </c>
      <c r="J68" s="248" t="s">
        <v>107</v>
      </c>
      <c r="K68" s="249" t="s">
        <v>107</v>
      </c>
      <c r="L68" s="249" t="s">
        <v>107</v>
      </c>
      <c r="M68" s="1"/>
    </row>
    <row r="69" spans="1:16" customFormat="1" x14ac:dyDescent="0.2">
      <c r="A69" s="1"/>
      <c r="B69" s="247" t="s">
        <v>107</v>
      </c>
      <c r="C69" s="342" t="s">
        <v>107</v>
      </c>
      <c r="D69" s="342"/>
      <c r="E69" s="248" t="s">
        <v>107</v>
      </c>
      <c r="F69" s="249" t="s">
        <v>107</v>
      </c>
      <c r="G69" s="249" t="s">
        <v>107</v>
      </c>
      <c r="H69" s="249" t="s">
        <v>107</v>
      </c>
      <c r="I69" s="249" t="s">
        <v>107</v>
      </c>
      <c r="J69" s="248" t="s">
        <v>107</v>
      </c>
      <c r="K69" s="249" t="s">
        <v>107</v>
      </c>
      <c r="L69" s="249" t="s">
        <v>107</v>
      </c>
      <c r="M69" s="1"/>
    </row>
    <row r="70" spans="1:16" customFormat="1" x14ac:dyDescent="0.2">
      <c r="A70" s="1"/>
      <c r="B70" s="247" t="s">
        <v>107</v>
      </c>
      <c r="C70" s="342" t="s">
        <v>107</v>
      </c>
      <c r="D70" s="342"/>
      <c r="E70" s="248" t="s">
        <v>107</v>
      </c>
      <c r="F70" s="249" t="s">
        <v>107</v>
      </c>
      <c r="G70" s="249" t="s">
        <v>107</v>
      </c>
      <c r="H70" s="249" t="s">
        <v>107</v>
      </c>
      <c r="I70" s="249" t="s">
        <v>107</v>
      </c>
      <c r="J70" s="248" t="s">
        <v>107</v>
      </c>
      <c r="K70" s="249" t="s">
        <v>107</v>
      </c>
      <c r="L70" s="249" t="s">
        <v>107</v>
      </c>
      <c r="M70" s="1"/>
    </row>
    <row r="71" spans="1:16" customFormat="1" x14ac:dyDescent="0.2">
      <c r="A71" s="1"/>
      <c r="B71" s="256" t="s">
        <v>107</v>
      </c>
      <c r="C71" s="343" t="s">
        <v>107</v>
      </c>
      <c r="D71" s="343"/>
      <c r="E71" s="257" t="s">
        <v>107</v>
      </c>
      <c r="F71" s="260" t="s">
        <v>107</v>
      </c>
      <c r="G71" s="260" t="s">
        <v>107</v>
      </c>
      <c r="H71" s="260" t="s">
        <v>107</v>
      </c>
      <c r="I71" s="260" t="s">
        <v>107</v>
      </c>
      <c r="J71" s="257" t="s">
        <v>107</v>
      </c>
      <c r="K71" s="260" t="s">
        <v>107</v>
      </c>
      <c r="L71" s="260" t="s">
        <v>107</v>
      </c>
      <c r="M71" s="1"/>
      <c r="P71" t="s">
        <v>204</v>
      </c>
    </row>
    <row r="72" spans="1:16" customForma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t="s">
        <v>205</v>
      </c>
    </row>
    <row r="73" spans="1:16" customFormat="1" x14ac:dyDescent="0.2">
      <c r="A73" s="1"/>
      <c r="B73" s="328" t="s">
        <v>4</v>
      </c>
      <c r="C73" s="109" t="s">
        <v>136</v>
      </c>
      <c r="D73" s="109" t="s">
        <v>137</v>
      </c>
      <c r="E73" s="110" t="s">
        <v>22</v>
      </c>
      <c r="F73" s="110" t="s">
        <v>23</v>
      </c>
      <c r="G73" s="110" t="s">
        <v>24</v>
      </c>
      <c r="H73" s="110" t="s">
        <v>25</v>
      </c>
      <c r="I73" s="110" t="s">
        <v>146</v>
      </c>
      <c r="J73" s="110" t="s">
        <v>26</v>
      </c>
      <c r="K73" s="110" t="s">
        <v>27</v>
      </c>
      <c r="L73" s="110" t="s">
        <v>28</v>
      </c>
      <c r="M73" s="1"/>
      <c r="P73" t="s">
        <v>208</v>
      </c>
    </row>
    <row r="74" spans="1:16" customFormat="1" x14ac:dyDescent="0.2">
      <c r="A74" s="1"/>
      <c r="B74" s="329"/>
      <c r="C74" s="338" t="s">
        <v>142</v>
      </c>
      <c r="D74" s="339"/>
      <c r="E74" s="339"/>
      <c r="F74" s="339"/>
      <c r="G74" s="339"/>
      <c r="H74" s="340"/>
      <c r="I74" s="146" t="s">
        <v>115</v>
      </c>
      <c r="J74" s="337" t="s">
        <v>143</v>
      </c>
      <c r="K74" s="337"/>
      <c r="L74" s="146" t="s">
        <v>29</v>
      </c>
      <c r="M74" s="1"/>
      <c r="P74" t="s">
        <v>209</v>
      </c>
    </row>
    <row r="75" spans="1:16" customFormat="1" x14ac:dyDescent="0.2">
      <c r="A75" s="1"/>
      <c r="B75" s="253" t="s">
        <v>165</v>
      </c>
      <c r="C75" s="255">
        <f ca="1">OFFSET('Planilha mestra'!A$2,MATCH(LAUDO!B75,'Planilha mestra'!A$3:A$1048576,0),10,COUNTIF('Planilha mestra'!A$3:A$1048576,LAUDO!B75))</f>
        <v>0.45445274796389784</v>
      </c>
      <c r="D75" s="255">
        <f ca="1">OFFSET('Planilha mestra'!A$2,MATCH(LAUDO!B75,'Planilha mestra'!A$3:A$1048576,0),11,COUNTIF('Planilha mestra'!A$3:A$1048576,LAUDO!B75))</f>
        <v>0.48</v>
      </c>
      <c r="E75" s="255">
        <f ca="1">OFFSET('Planilha mestra'!A$2,MATCH(LAUDO!B75,'Planilha mestra'!A$3:A$1048576,0),12,COUNTIF('Planilha mestra'!A$3:A$1048576,LAUDO!B75))</f>
        <v>1.4718718521606269</v>
      </c>
      <c r="F75" s="255">
        <f ca="1">OFFSET('Planilha mestra'!A$2,MATCH(LAUDO!B75,'Planilha mestra'!A$3:A$1048576,0),13,COUNTIF('Planilha mestra'!A$3:A$1048576,LAUDO!B75))</f>
        <v>2.4435973705274643</v>
      </c>
      <c r="G75" s="255">
        <f ca="1">OFFSET('Planilha mestra'!A$2,MATCH(LAUDO!B75,'Planilha mestra'!A$3:A$1048576,0),14,COUNTIF('Planilha mestra'!A$3:A$1048576,LAUDO!B75))</f>
        <v>2.9235973705274643</v>
      </c>
      <c r="H75" s="255">
        <f ca="1">OFFSET('Planilha mestra'!A$2,MATCH(LAUDO!B75,'Planilha mestra'!A$3:A$1048576,0),15,COUNTIF('Planilha mestra'!A$3:A$1048576,LAUDO!B75))</f>
        <v>3.9154692226880909</v>
      </c>
      <c r="I75" s="255">
        <f ca="1">OFFSET('Planilha mestra'!A$2,MATCH(LAUDO!B75,'Planilha mestra'!A$3:A$1048576,0),29,COUNTIF('Planilha mestra'!A$3:A$1048576,LAUDO!B75))</f>
        <v>0.57492397490666602</v>
      </c>
      <c r="J75" s="255">
        <f ca="1">OFFSET('Planilha mestra'!A$2,MATCH(LAUDO!B75,'Planilha mestra'!A$3:A$1048576,0),16,COUNTIF('Planilha mestra'!A$3:A$1048576,LAUDO!B75))</f>
        <v>62.408800364668913</v>
      </c>
      <c r="K75" s="255">
        <f ca="1">OFFSET('Planilha mestra'!A$2,MATCH(LAUDO!B75,'Planilha mestra'!A$3:A$1048576,0),17,COUNTIF('Planilha mestra'!A$3:A$1048576,LAUDO!B75))</f>
        <v>16.418129419558213</v>
      </c>
      <c r="L75" s="255" t="s">
        <v>107</v>
      </c>
      <c r="M75" s="1"/>
    </row>
    <row r="76" spans="1:16" customFormat="1" x14ac:dyDescent="0.2">
      <c r="A76" s="1"/>
      <c r="B76" s="247" t="s">
        <v>170</v>
      </c>
      <c r="C76" s="249">
        <f ca="1">OFFSET('Planilha mestra'!A$2,MATCH(LAUDO!B76,'Planilha mestra'!A$3:A$1048576,0),10,COUNTIF('Planilha mestra'!A$3:A$1048576,LAUDO!B76))</f>
        <v>0.31439539975078012</v>
      </c>
      <c r="D76" s="249">
        <f ca="1">OFFSET('Planilha mestra'!A$2,MATCH(LAUDO!B76,'Planilha mestra'!A$3:A$1048576,0),11,COUNTIF('Planilha mestra'!A$3:A$1048576,LAUDO!B76))</f>
        <v>0</v>
      </c>
      <c r="E76" s="249">
        <f ca="1">OFFSET('Planilha mestra'!A$2,MATCH(LAUDO!B76,'Planilha mestra'!A$3:A$1048576,0),12,COUNTIF('Planilha mestra'!A$3:A$1048576,LAUDO!B76))</f>
        <v>0.49433345135938378</v>
      </c>
      <c r="F76" s="249">
        <f ca="1">OFFSET('Planilha mestra'!A$2,MATCH(LAUDO!B76,'Planilha mestra'!A$3:A$1048576,0),13,COUNTIF('Planilha mestra'!A$3:A$1048576,LAUDO!B76))</f>
        <v>3.0322122660753918</v>
      </c>
      <c r="G76" s="249">
        <f ca="1">OFFSET('Planilha mestra'!A$2,MATCH(LAUDO!B76,'Planilha mestra'!A$3:A$1048576,0),14,COUNTIF('Planilha mestra'!A$3:A$1048576,LAUDO!B76))</f>
        <v>3.0322122660753918</v>
      </c>
      <c r="H76" s="249">
        <f ca="1">OFFSET('Planilha mestra'!A$2,MATCH(LAUDO!B76,'Planilha mestra'!A$3:A$1048576,0),15,COUNTIF('Planilha mestra'!A$3:A$1048576,LAUDO!B76))</f>
        <v>3.5265457174347756</v>
      </c>
      <c r="I76" s="249">
        <f ca="1">OFFSET('Planilha mestra'!A$2,MATCH(LAUDO!B76,'Planilha mestra'!A$3:A$1048576,0),29,COUNTIF('Planilha mestra'!A$3:A$1048576,LAUDO!B76))</f>
        <v>0.40857709134828574</v>
      </c>
      <c r="J76" s="249">
        <f ca="1">OFFSET('Planilha mestra'!A$2,MATCH(LAUDO!B76,'Planilha mestra'!A$3:A$1048576,0),16,COUNTIF('Planilha mestra'!A$3:A$1048576,LAUDO!B76))</f>
        <v>85.982502682002263</v>
      </c>
      <c r="K76" s="249">
        <f ca="1">OFFSET('Planilha mestra'!A$2,MATCH(LAUDO!B76,'Planilha mestra'!A$3:A$1048576,0),17,COUNTIF('Planilha mestra'!A$3:A$1048576,LAUDO!B76))</f>
        <v>0</v>
      </c>
      <c r="L76" s="249" t="s">
        <v>107</v>
      </c>
      <c r="M76" s="1"/>
    </row>
    <row r="77" spans="1:16" customFormat="1" x14ac:dyDescent="0.2">
      <c r="A77" s="1"/>
      <c r="B77" s="247" t="s">
        <v>107</v>
      </c>
      <c r="C77" s="251" t="s">
        <v>107</v>
      </c>
      <c r="D77" s="251" t="s">
        <v>107</v>
      </c>
      <c r="E77" s="251" t="s">
        <v>107</v>
      </c>
      <c r="F77" s="251" t="s">
        <v>107</v>
      </c>
      <c r="G77" s="251" t="s">
        <v>107</v>
      </c>
      <c r="H77" s="251" t="s">
        <v>107</v>
      </c>
      <c r="I77" s="251" t="s">
        <v>107</v>
      </c>
      <c r="J77" s="251" t="s">
        <v>107</v>
      </c>
      <c r="K77" s="251" t="s">
        <v>107</v>
      </c>
      <c r="L77" s="249" t="s">
        <v>107</v>
      </c>
      <c r="M77" s="1"/>
    </row>
    <row r="78" spans="1:16" customFormat="1" x14ac:dyDescent="0.2">
      <c r="A78" s="1"/>
      <c r="B78" s="247" t="s">
        <v>107</v>
      </c>
      <c r="C78" s="251" t="s">
        <v>107</v>
      </c>
      <c r="D78" s="251" t="s">
        <v>107</v>
      </c>
      <c r="E78" s="251" t="s">
        <v>107</v>
      </c>
      <c r="F78" s="251" t="s">
        <v>107</v>
      </c>
      <c r="G78" s="251" t="s">
        <v>107</v>
      </c>
      <c r="H78" s="251" t="s">
        <v>107</v>
      </c>
      <c r="I78" s="251" t="s">
        <v>107</v>
      </c>
      <c r="J78" s="251" t="s">
        <v>107</v>
      </c>
      <c r="K78" s="251" t="s">
        <v>107</v>
      </c>
      <c r="L78" s="249" t="s">
        <v>107</v>
      </c>
      <c r="M78" s="1"/>
    </row>
    <row r="79" spans="1:16" customFormat="1" x14ac:dyDescent="0.2">
      <c r="A79" s="1"/>
      <c r="B79" s="247" t="s">
        <v>107</v>
      </c>
      <c r="C79" s="251" t="s">
        <v>107</v>
      </c>
      <c r="D79" s="251" t="s">
        <v>107</v>
      </c>
      <c r="E79" s="251" t="s">
        <v>107</v>
      </c>
      <c r="F79" s="251" t="s">
        <v>107</v>
      </c>
      <c r="G79" s="251" t="s">
        <v>107</v>
      </c>
      <c r="H79" s="251" t="s">
        <v>107</v>
      </c>
      <c r="I79" s="251" t="s">
        <v>107</v>
      </c>
      <c r="J79" s="251" t="s">
        <v>107</v>
      </c>
      <c r="K79" s="251" t="s">
        <v>107</v>
      </c>
      <c r="L79" s="249" t="s">
        <v>107</v>
      </c>
      <c r="M79" s="1"/>
    </row>
    <row r="80" spans="1:16" customFormat="1" x14ac:dyDescent="0.2">
      <c r="A80" s="1"/>
      <c r="B80" s="256" t="s">
        <v>107</v>
      </c>
      <c r="C80" s="259" t="s">
        <v>107</v>
      </c>
      <c r="D80" s="259" t="s">
        <v>107</v>
      </c>
      <c r="E80" s="259" t="s">
        <v>107</v>
      </c>
      <c r="F80" s="259" t="s">
        <v>107</v>
      </c>
      <c r="G80" s="259" t="s">
        <v>107</v>
      </c>
      <c r="H80" s="259" t="s">
        <v>107</v>
      </c>
      <c r="I80" s="259" t="s">
        <v>107</v>
      </c>
      <c r="J80" s="259" t="s">
        <v>107</v>
      </c>
      <c r="K80" s="259" t="s">
        <v>107</v>
      </c>
      <c r="L80" s="260" t="s">
        <v>107</v>
      </c>
      <c r="M80" s="1"/>
    </row>
    <row r="81" spans="1:15" customForma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5" customFormat="1" x14ac:dyDescent="0.2">
      <c r="A82" s="1"/>
      <c r="B82" s="328" t="s">
        <v>4</v>
      </c>
      <c r="C82" s="114" t="s">
        <v>30</v>
      </c>
      <c r="D82" s="114" t="s">
        <v>31</v>
      </c>
      <c r="E82" s="111" t="s">
        <v>35</v>
      </c>
      <c r="F82" s="111" t="s">
        <v>32</v>
      </c>
      <c r="G82" s="111" t="s">
        <v>33</v>
      </c>
      <c r="H82" s="111" t="s">
        <v>34</v>
      </c>
      <c r="I82" s="111" t="s">
        <v>64</v>
      </c>
      <c r="J82" s="111" t="s">
        <v>121</v>
      </c>
      <c r="K82" s="111" t="s">
        <v>123</v>
      </c>
      <c r="L82" s="111" t="s">
        <v>122</v>
      </c>
      <c r="M82" s="1"/>
    </row>
    <row r="83" spans="1:15" customFormat="1" x14ac:dyDescent="0.2">
      <c r="A83" s="1"/>
      <c r="B83" s="329"/>
      <c r="C83" s="337" t="s">
        <v>145</v>
      </c>
      <c r="D83" s="337"/>
      <c r="E83" s="337"/>
      <c r="F83" s="337"/>
      <c r="G83" s="337"/>
      <c r="H83" s="337"/>
      <c r="I83" s="146" t="s">
        <v>115</v>
      </c>
      <c r="J83" s="338"/>
      <c r="K83" s="339"/>
      <c r="L83" s="340"/>
      <c r="M83" s="1"/>
    </row>
    <row r="84" spans="1:15" customFormat="1" x14ac:dyDescent="0.2">
      <c r="A84" s="1"/>
      <c r="B84" s="253" t="s">
        <v>165</v>
      </c>
      <c r="C84" s="258">
        <f ca="1">OFFSET('Planilha mestra'!A$2,MATCH(LAUDO!B84,'Planilha mestra'!A$3:A$1048576,0),19,COUNTIF('Planilha mestra'!A$3:A$1048576,LAUDO!B84))</f>
        <v>12.935636955691532</v>
      </c>
      <c r="D84" s="255">
        <f ca="1">OFFSET('Planilha mestra'!A$2,MATCH(LAUDO!B84,'Planilha mestra'!A$3:A$1048576,0),20,COUNTIF('Planilha mestra'!A$3:A$1048576,LAUDO!B84))</f>
        <v>6.6230958772856327E-2</v>
      </c>
      <c r="E84" s="255">
        <f ca="1">OFFSET('Planilha mestra'!A$2,MATCH(LAUDO!B84,'Planilha mestra'!A$3:A$1048576,0),21,COUNTIF('Planilha mestra'!A$3:A$1048576,LAUDO!B84))</f>
        <v>9.5396972505406268</v>
      </c>
      <c r="F84" s="255">
        <f ca="1">OFFSET('Planilha mestra'!A$2,MATCH(LAUDO!B84,'Planilha mestra'!A$3:A$1048576,0),22,COUNTIF('Planilha mestra'!A$3:A$1048576,LAUDO!B84))</f>
        <v>1.6733870967741928</v>
      </c>
      <c r="G84" s="255">
        <f ca="1">OFFSET('Planilha mestra'!A$2,MATCH(LAUDO!B84,'Planilha mestra'!A$3:A$1048576,0),23,COUNTIF('Planilha mestra'!A$3:A$1048576,LAUDO!B84))</f>
        <v>37.266095781795116</v>
      </c>
      <c r="H84" s="255">
        <f ca="1">OFFSET('Planilha mestra'!A$2,MATCH(LAUDO!B84,'Planilha mestra'!A$3:A$1048576,0),24,COUNTIF('Planilha mestra'!A$3:A$1048576,LAUDO!B84))</f>
        <v>26.284745762711868</v>
      </c>
      <c r="I84" s="255">
        <f ca="1">OFFSET('Planilha mestra'!A$2,MATCH(LAUDO!B75,'Planilha mestra'!A$3:A$1048576,0),25,COUNTIF('Planilha mestra'!A$3:A$1048576,LAUDO!B75))</f>
        <v>0.98886923683946559</v>
      </c>
      <c r="J84" s="254">
        <f ca="1">OFFSET('Planilha mestra'!A$2,MATCH(LAUDO!B75,'Planilha mestra'!A$3:A$1048576,0),26,COUNTIF('Planilha mestra'!A$3:A$1048576,LAUDO!B75))</f>
        <v>4.0887750519089243</v>
      </c>
      <c r="K84" s="254">
        <f ca="1">OFFSET('Planilha mestra'!A$2,MATCH(LAUDO!B75,'Planilha mestra'!A$3:A$1048576,0),27,COUNTIF('Planilha mestra'!A$3:A$1048576,LAUDO!B75))</f>
        <v>14.185519788631762</v>
      </c>
      <c r="L84" s="254">
        <f ca="1">OFFSET('Planilha mestra'!A$2,MATCH(LAUDO!B75,'Planilha mestra'!A$3:A$1048576,0),28,COUNTIF('Planilha mestra'!A$3:A$1048576,LAUDO!B75))</f>
        <v>3.4693813204541479</v>
      </c>
      <c r="M84" s="1"/>
    </row>
    <row r="85" spans="1:15" customFormat="1" x14ac:dyDescent="0.2">
      <c r="A85" s="1"/>
      <c r="B85" s="247" t="s">
        <v>170</v>
      </c>
      <c r="C85" s="251">
        <f ca="1">OFFSET('Planilha mestra'!A$2,MATCH(LAUDO!B85,'Planilha mestra'!A$3:A$1048576,0),19,COUNTIF('Planilha mestra'!A$3:A$1048576,LAUDO!B85))</f>
        <v>1.2480036823487908</v>
      </c>
      <c r="D85" s="249">
        <f ca="1">OFFSET('Planilha mestra'!A$2,MATCH(LAUDO!B85,'Planilha mestra'!A$3:A$1048576,0),20,COUNTIF('Planilha mestra'!A$3:A$1048576,LAUDO!B85))</f>
        <v>4.3906115370104776E-2</v>
      </c>
      <c r="E85" s="249">
        <f ca="1">OFFSET('Planilha mestra'!A$2,MATCH(LAUDO!B85,'Planilha mestra'!A$3:A$1048576,0),21,COUNTIF('Planilha mestra'!A$3:A$1048576,LAUDO!B85))</f>
        <v>6.1291319122644463</v>
      </c>
      <c r="F85" s="249">
        <f ca="1">OFFSET('Planilha mestra'!A$2,MATCH(LAUDO!B85,'Planilha mestra'!A$3:A$1048576,0),22,COUNTIF('Planilha mestra'!A$3:A$1048576,LAUDO!B85))</f>
        <v>1.3205645161290314</v>
      </c>
      <c r="G85" s="249">
        <f ca="1">OFFSET('Planilha mestra'!A$2,MATCH(LAUDO!B85,'Planilha mestra'!A$3:A$1048576,0),23,COUNTIF('Planilha mestra'!A$3:A$1048576,LAUDO!B85))</f>
        <v>18.339676498572793</v>
      </c>
      <c r="H85" s="249">
        <f ca="1">OFFSET('Planilha mestra'!A$2,MATCH(LAUDO!B85,'Planilha mestra'!A$3:A$1048576,0),24,COUNTIF('Planilha mestra'!A$3:A$1048576,LAUDO!B85))</f>
        <v>16.461016949152551</v>
      </c>
      <c r="I85" s="249">
        <f ca="1">OFFSET('Planilha mestra'!A$2,MATCH(LAUDO!B76,'Planilha mestra'!A$3:A$1048576,0),25,COUNTIF('Planilha mestra'!A$3:A$1048576,LAUDO!B76))</f>
        <v>0.70275259711905147</v>
      </c>
      <c r="J85" s="248">
        <f ca="1">OFFSET('Planilha mestra'!A$2,MATCH(LAUDO!B76,'Planilha mestra'!A$3:A$1048576,0),26,COUNTIF('Planilha mestra'!A$3:A$1048576,LAUDO!B76))</f>
        <v>8.1147336932763778</v>
      </c>
      <c r="K85" s="248">
        <f ca="1">OFFSET('Planilha mestra'!A$2,MATCH(LAUDO!B76,'Planilha mestra'!A$3:A$1048576,0),27,COUNTIF('Planilha mestra'!A$3:A$1048576,LAUDO!B76))</f>
        <v>15.315196859894298</v>
      </c>
      <c r="L85" s="248">
        <f ca="1">OFFSET('Planilha mestra'!A$2,MATCH(LAUDO!B76,'Planilha mestra'!A$3:A$1048576,0),28,COUNTIF('Planilha mestra'!A$3:A$1048576,LAUDO!B76))</f>
        <v>1.8873320356260128</v>
      </c>
      <c r="M85" s="1"/>
    </row>
    <row r="86" spans="1:15" customFormat="1" x14ac:dyDescent="0.2">
      <c r="A86" s="1"/>
      <c r="B86" s="247" t="s">
        <v>107</v>
      </c>
      <c r="C86" s="251" t="s">
        <v>107</v>
      </c>
      <c r="D86" s="251" t="s">
        <v>107</v>
      </c>
      <c r="E86" s="251" t="s">
        <v>107</v>
      </c>
      <c r="F86" s="251" t="s">
        <v>107</v>
      </c>
      <c r="G86" s="251" t="s">
        <v>107</v>
      </c>
      <c r="H86" s="251" t="s">
        <v>107</v>
      </c>
      <c r="I86" s="251" t="s">
        <v>107</v>
      </c>
      <c r="J86" s="251" t="s">
        <v>107</v>
      </c>
      <c r="K86" s="251" t="s">
        <v>107</v>
      </c>
      <c r="L86" s="251" t="s">
        <v>107</v>
      </c>
      <c r="M86" s="1"/>
    </row>
    <row r="87" spans="1:15" customFormat="1" x14ac:dyDescent="0.2">
      <c r="A87" s="1"/>
      <c r="B87" s="247" t="s">
        <v>107</v>
      </c>
      <c r="C87" s="251" t="s">
        <v>107</v>
      </c>
      <c r="D87" s="251" t="s">
        <v>107</v>
      </c>
      <c r="E87" s="251" t="s">
        <v>107</v>
      </c>
      <c r="F87" s="251" t="s">
        <v>107</v>
      </c>
      <c r="G87" s="251" t="s">
        <v>107</v>
      </c>
      <c r="H87" s="251" t="s">
        <v>107</v>
      </c>
      <c r="I87" s="251" t="s">
        <v>107</v>
      </c>
      <c r="J87" s="251" t="s">
        <v>107</v>
      </c>
      <c r="K87" s="251" t="s">
        <v>107</v>
      </c>
      <c r="L87" s="251" t="s">
        <v>107</v>
      </c>
      <c r="M87" s="1"/>
    </row>
    <row r="88" spans="1:15" customFormat="1" x14ac:dyDescent="0.2">
      <c r="A88" s="1"/>
      <c r="B88" s="247" t="s">
        <v>107</v>
      </c>
      <c r="C88" s="251" t="s">
        <v>107</v>
      </c>
      <c r="D88" s="251" t="s">
        <v>107</v>
      </c>
      <c r="E88" s="251" t="s">
        <v>107</v>
      </c>
      <c r="F88" s="251" t="s">
        <v>107</v>
      </c>
      <c r="G88" s="251" t="s">
        <v>107</v>
      </c>
      <c r="H88" s="251" t="s">
        <v>107</v>
      </c>
      <c r="I88" s="251" t="s">
        <v>107</v>
      </c>
      <c r="J88" s="251" t="s">
        <v>107</v>
      </c>
      <c r="K88" s="251" t="s">
        <v>107</v>
      </c>
      <c r="L88" s="251" t="s">
        <v>107</v>
      </c>
      <c r="M88" s="1"/>
    </row>
    <row r="89" spans="1:15" customFormat="1" x14ac:dyDescent="0.2">
      <c r="A89" s="1"/>
      <c r="B89" s="256" t="s">
        <v>107</v>
      </c>
      <c r="C89" s="259" t="s">
        <v>107</v>
      </c>
      <c r="D89" s="259" t="s">
        <v>107</v>
      </c>
      <c r="E89" s="259" t="s">
        <v>107</v>
      </c>
      <c r="F89" s="259" t="s">
        <v>107</v>
      </c>
      <c r="G89" s="259" t="s">
        <v>107</v>
      </c>
      <c r="H89" s="259" t="s">
        <v>107</v>
      </c>
      <c r="I89" s="259" t="s">
        <v>107</v>
      </c>
      <c r="J89" s="259" t="s">
        <v>107</v>
      </c>
      <c r="K89" s="259" t="s">
        <v>107</v>
      </c>
      <c r="L89" s="259" t="s">
        <v>107</v>
      </c>
      <c r="M89" s="1"/>
    </row>
    <row r="90" spans="1:15" customFormat="1" x14ac:dyDescent="0.2">
      <c r="A90" s="1"/>
      <c r="B90" s="1" t="s">
        <v>132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5" customFormat="1" x14ac:dyDescent="0.2">
      <c r="A91" s="1"/>
      <c r="B91" s="17" t="s">
        <v>139</v>
      </c>
      <c r="C91" s="18"/>
      <c r="D91" s="18"/>
      <c r="E91" s="18"/>
      <c r="F91" s="18"/>
      <c r="G91" s="18"/>
      <c r="H91" s="18"/>
      <c r="I91" s="18"/>
      <c r="J91" s="18"/>
      <c r="K91" s="18"/>
      <c r="L91" s="115"/>
      <c r="M91" s="1"/>
    </row>
    <row r="92" spans="1:15" customFormat="1" x14ac:dyDescent="0.2">
      <c r="A92" s="1"/>
      <c r="B92" s="19" t="s">
        <v>162</v>
      </c>
      <c r="C92" s="5"/>
      <c r="D92" s="5"/>
      <c r="E92" s="5"/>
      <c r="F92" s="5"/>
      <c r="G92" s="5"/>
      <c r="H92" s="5"/>
      <c r="I92" s="5"/>
      <c r="J92" s="5"/>
      <c r="K92" s="5"/>
      <c r="L92" s="116"/>
      <c r="M92" s="1"/>
    </row>
    <row r="93" spans="1:15" customFormat="1" x14ac:dyDescent="0.2">
      <c r="A93" s="1"/>
      <c r="B93" s="19" t="s">
        <v>163</v>
      </c>
      <c r="C93" s="5"/>
      <c r="D93" s="5"/>
      <c r="E93" s="5"/>
      <c r="F93" s="5"/>
      <c r="G93" s="5"/>
      <c r="H93" s="5"/>
      <c r="I93" s="5"/>
      <c r="J93" s="5"/>
      <c r="K93" s="5"/>
      <c r="L93" s="116"/>
      <c r="M93" s="1"/>
      <c r="O93" t="s">
        <v>206</v>
      </c>
    </row>
    <row r="94" spans="1:15" customFormat="1" x14ac:dyDescent="0.2">
      <c r="A94" s="1"/>
      <c r="B94" s="19" t="s">
        <v>164</v>
      </c>
      <c r="C94" s="5"/>
      <c r="D94" s="5"/>
      <c r="E94" s="5"/>
      <c r="F94" s="5"/>
      <c r="G94" s="5"/>
      <c r="H94" s="5"/>
      <c r="I94" s="5"/>
      <c r="J94" s="5"/>
      <c r="K94" s="5"/>
      <c r="L94" s="116"/>
      <c r="M94" s="1"/>
    </row>
    <row r="95" spans="1:15" customFormat="1" x14ac:dyDescent="0.2">
      <c r="A95" s="1"/>
      <c r="B95" s="19" t="s">
        <v>116</v>
      </c>
      <c r="C95" s="5"/>
      <c r="D95" s="5"/>
      <c r="E95" s="5"/>
      <c r="F95" s="5"/>
      <c r="G95" s="5"/>
      <c r="H95" s="5"/>
      <c r="I95" s="5"/>
      <c r="J95" s="5"/>
      <c r="K95" s="5"/>
      <c r="L95" s="116"/>
      <c r="M95" s="1"/>
    </row>
    <row r="96" spans="1:15" customFormat="1" x14ac:dyDescent="0.2">
      <c r="A96" s="1"/>
      <c r="B96" s="19" t="s">
        <v>36</v>
      </c>
      <c r="C96" s="5"/>
      <c r="D96" s="5"/>
      <c r="E96" s="5"/>
      <c r="F96" s="5"/>
      <c r="G96" s="5"/>
      <c r="H96" s="5"/>
      <c r="I96" s="5"/>
      <c r="J96" s="5"/>
      <c r="K96" s="5"/>
      <c r="L96" s="116"/>
      <c r="M96" s="1"/>
    </row>
    <row r="97" spans="1:15" customFormat="1" x14ac:dyDescent="0.2">
      <c r="A97" s="1"/>
      <c r="B97" s="117" t="s">
        <v>37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9"/>
      <c r="M97" s="1"/>
    </row>
    <row r="98" spans="1:15" customForma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5" customForma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5" customFormat="1" ht="21" x14ac:dyDescent="0.25">
      <c r="A100" s="1"/>
      <c r="B100" s="347"/>
      <c r="C100" s="347"/>
      <c r="D100" s="348" t="s">
        <v>6</v>
      </c>
      <c r="E100" s="348"/>
      <c r="F100" s="348"/>
      <c r="G100" s="348"/>
      <c r="H100" s="348"/>
      <c r="I100" s="348"/>
      <c r="J100" s="348"/>
      <c r="K100" s="347"/>
      <c r="L100" s="347"/>
      <c r="M100" s="347"/>
    </row>
    <row r="101" spans="1:15" customFormat="1" ht="16" x14ac:dyDescent="0.2">
      <c r="A101" s="1"/>
      <c r="B101" s="347"/>
      <c r="C101" s="347"/>
      <c r="D101" s="349" t="s">
        <v>7</v>
      </c>
      <c r="E101" s="349"/>
      <c r="F101" s="349"/>
      <c r="G101" s="349"/>
      <c r="H101" s="349"/>
      <c r="I101" s="349"/>
      <c r="J101" s="349"/>
      <c r="K101" s="347"/>
      <c r="L101" s="347"/>
      <c r="M101" s="347"/>
      <c r="O101" t="s">
        <v>210</v>
      </c>
    </row>
    <row r="102" spans="1:15" customFormat="1" x14ac:dyDescent="0.2">
      <c r="A102" s="1"/>
      <c r="B102" s="347"/>
      <c r="C102" s="347"/>
      <c r="D102" s="334" t="s">
        <v>8</v>
      </c>
      <c r="E102" s="334"/>
      <c r="F102" s="334"/>
      <c r="G102" s="334"/>
      <c r="H102" s="334"/>
      <c r="I102" s="334"/>
      <c r="J102" s="334"/>
      <c r="K102" s="347"/>
      <c r="L102" s="347"/>
      <c r="M102" s="347"/>
    </row>
    <row r="103" spans="1:15" customFormat="1" x14ac:dyDescent="0.2">
      <c r="A103" s="1"/>
      <c r="B103" s="1"/>
      <c r="C103" s="1"/>
      <c r="D103" s="334" t="s">
        <v>9</v>
      </c>
      <c r="E103" s="334"/>
      <c r="F103" s="334"/>
      <c r="G103" s="334"/>
      <c r="H103" s="334"/>
      <c r="I103" s="334"/>
      <c r="J103" s="334"/>
      <c r="K103" s="1"/>
      <c r="L103" s="1"/>
      <c r="M103" s="1"/>
    </row>
    <row r="104" spans="1:15" customFormat="1" x14ac:dyDescent="0.2">
      <c r="A104" s="1"/>
      <c r="B104" s="1"/>
      <c r="C104" s="1"/>
      <c r="D104" s="334" t="s">
        <v>10</v>
      </c>
      <c r="E104" s="334"/>
      <c r="F104" s="334"/>
      <c r="G104" s="334"/>
      <c r="H104" s="334"/>
      <c r="I104" s="334"/>
      <c r="J104" s="334"/>
      <c r="K104" s="1"/>
      <c r="L104" s="1"/>
      <c r="M104" s="1"/>
    </row>
    <row r="105" spans="1:15" customFormat="1" x14ac:dyDescent="0.2">
      <c r="A105" s="1"/>
      <c r="B105" s="1"/>
      <c r="C105" s="1"/>
      <c r="D105" s="346" t="s">
        <v>11</v>
      </c>
      <c r="E105" s="334"/>
      <c r="F105" s="334"/>
      <c r="G105" s="334"/>
      <c r="H105" s="334"/>
      <c r="I105" s="334"/>
      <c r="J105" s="334"/>
      <c r="K105" s="1"/>
      <c r="L105" s="1"/>
      <c r="M105" s="1"/>
    </row>
    <row r="106" spans="1:15" customFormat="1" ht="19" x14ac:dyDescent="0.25">
      <c r="A106" s="1"/>
      <c r="B106" s="2"/>
      <c r="C106" s="312" t="s">
        <v>12</v>
      </c>
      <c r="D106" s="312"/>
      <c r="E106" s="312"/>
      <c r="F106" s="312"/>
      <c r="G106" s="312"/>
      <c r="H106" s="312"/>
      <c r="I106" s="312"/>
      <c r="J106" s="312"/>
      <c r="K106" s="312"/>
      <c r="L106" s="8"/>
      <c r="M106" s="1"/>
    </row>
    <row r="107" spans="1:15" customForma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5" customFormat="1" x14ac:dyDescent="0.2">
      <c r="A108" s="3"/>
      <c r="B108" s="3" t="s">
        <v>0</v>
      </c>
      <c r="C108" s="334" t="s">
        <v>173</v>
      </c>
      <c r="D108" s="334"/>
      <c r="E108" s="334"/>
      <c r="F108" s="3" t="s">
        <v>1</v>
      </c>
      <c r="G108" s="335">
        <f ca="1">OFFSET(Cadastro!B$1,MATCH(LAUDO!C108,Cadastro!B$2:B$1048576,0),4,COUNTIF(Cadastro!B$2:B$1048576,LAUDO!C108))</f>
        <v>45866</v>
      </c>
      <c r="H108" s="335"/>
      <c r="I108" s="335"/>
      <c r="J108" s="3" t="s">
        <v>2</v>
      </c>
      <c r="K108" s="335">
        <f ca="1">OFFSET(Cadastro!B$1,MATCH(LAUDO!C108,Cadastro!B$2:B$1048576,0),5,COUNTIF(Cadastro!B$2:B$1048576,LAUDO!C108))</f>
        <v>45890</v>
      </c>
      <c r="L108" s="335"/>
      <c r="M108" s="3"/>
    </row>
    <row r="109" spans="1:15" customFormat="1" x14ac:dyDescent="0.2">
      <c r="A109" s="3"/>
      <c r="B109" s="3" t="s">
        <v>13</v>
      </c>
      <c r="C109" s="336" t="str">
        <f ca="1">OFFSET(Cadastro!B$1,MATCH(LAUDO!C108,Cadastro!B$2:B$1048576,0),6,COUNTIF(Cadastro!B$2:B$1048576,LAUDO!C108))</f>
        <v>-</v>
      </c>
      <c r="D109" s="336"/>
      <c r="E109" s="336"/>
      <c r="F109" s="336"/>
      <c r="G109" s="336"/>
      <c r="H109" s="336"/>
      <c r="I109" s="336"/>
      <c r="J109" s="336"/>
      <c r="K109" s="336"/>
      <c r="L109" s="336"/>
      <c r="M109" s="3"/>
    </row>
    <row r="110" spans="1:15" customFormat="1" x14ac:dyDescent="0.2">
      <c r="A110" s="1"/>
      <c r="B110" s="4" t="s">
        <v>160</v>
      </c>
      <c r="C110" s="344" t="str">
        <f ca="1">OFFSET(Cadastro!B$1,MATCH(LAUDO!C108,Cadastro!B$2:B$1048576,0),1,COUNTIF(Cadastro!B$2:B$1048576,LAUDO!C108))</f>
        <v>eliasnborges@gmail.com</v>
      </c>
      <c r="D110" s="344"/>
      <c r="E110" s="344"/>
      <c r="F110" s="344"/>
      <c r="G110" s="4" t="s">
        <v>109</v>
      </c>
      <c r="H110" s="345" t="str">
        <f ca="1">OFFSET(Cadastro!B$1,MATCH(LAUDO!C108,Cadastro!B$2:B$1048576,0),2,COUNTIF(Cadastro!B$2:B$1048576,LAUDO!C108))</f>
        <v>Fazenda Ponte Branca</v>
      </c>
      <c r="I110" s="345"/>
      <c r="J110" s="345"/>
      <c r="K110" s="345"/>
      <c r="L110" s="345"/>
      <c r="M110" s="1"/>
    </row>
    <row r="111" spans="1:15" customFormat="1" x14ac:dyDescent="0.2">
      <c r="A111" s="26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5" customFormat="1" ht="19" x14ac:dyDescent="0.25">
      <c r="A112" s="1"/>
      <c r="B112" s="317" t="s">
        <v>3</v>
      </c>
      <c r="C112" s="317"/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</row>
    <row r="113" spans="1:13" customFormat="1" x14ac:dyDescent="0.2">
      <c r="A113" s="5"/>
      <c r="B113" s="328" t="s">
        <v>4</v>
      </c>
      <c r="C113" s="330" t="s">
        <v>127</v>
      </c>
      <c r="D113" s="330"/>
      <c r="E113" s="110" t="s">
        <v>14</v>
      </c>
      <c r="F113" s="120" t="s">
        <v>14</v>
      </c>
      <c r="G113" s="110" t="s">
        <v>14</v>
      </c>
      <c r="H113" s="121" t="s">
        <v>131</v>
      </c>
      <c r="I113" s="121" t="s">
        <v>125</v>
      </c>
      <c r="J113" s="110" t="s">
        <v>15</v>
      </c>
      <c r="K113" s="120" t="s">
        <v>16</v>
      </c>
      <c r="L113" s="120" t="s">
        <v>17</v>
      </c>
      <c r="M113" s="5"/>
    </row>
    <row r="114" spans="1:13" customFormat="1" x14ac:dyDescent="0.2">
      <c r="A114" s="1"/>
      <c r="B114" s="329"/>
      <c r="C114" s="331"/>
      <c r="D114" s="331"/>
      <c r="E114" s="147" t="s">
        <v>18</v>
      </c>
      <c r="F114" s="147" t="s">
        <v>19</v>
      </c>
      <c r="G114" s="147" t="s">
        <v>134</v>
      </c>
      <c r="H114" s="332" t="s">
        <v>144</v>
      </c>
      <c r="I114" s="333"/>
      <c r="J114" s="333"/>
      <c r="K114" s="333"/>
      <c r="L114" s="174" t="s">
        <v>135</v>
      </c>
      <c r="M114" s="1"/>
    </row>
    <row r="115" spans="1:13" customFormat="1" x14ac:dyDescent="0.2">
      <c r="A115" s="1"/>
      <c r="B115" s="253" t="s">
        <v>172</v>
      </c>
      <c r="C115" s="341" t="str">
        <f ca="1">OFFSET('Planilha mestra'!A$2,MATCH(LAUDO!B115,'Planilha mestra'!A$3:A$1048576,0),1,COUNTIF('Planilha mestra'!A$3:A$1048576,LAUDO!B115))</f>
        <v>Rubens alface 1</v>
      </c>
      <c r="D115" s="341"/>
      <c r="E115" s="254">
        <f ca="1">OFFSET('Planilha mestra'!A$2,MATCH(LAUDO!B115,'Planilha mestra'!A$3:A$1048576,0),2,COUNTIF('Planilha mestra'!A$3:A$1048576,LAUDO!B115))</f>
        <v>6.1209651162790699</v>
      </c>
      <c r="F115" s="255" t="str">
        <f ca="1">OFFSET('Planilha mestra'!A$2,MATCH(LAUDO!B115,'Planilha mestra'!A$3:A$1048576,0),3,COUNTIF('Planilha mestra'!A$3:A$1048576,LAUDO!B115))</f>
        <v>*</v>
      </c>
      <c r="G115" s="255" t="str">
        <f ca="1">OFFSET('Planilha mestra'!A$2,MATCH(LAUDO!B115,'Planilha mestra'!A$3:A$1048576,0),4,COUNTIF('Planilha mestra'!A$3:A$1048576,LAUDO!B115))</f>
        <v>*</v>
      </c>
      <c r="H115" s="255">
        <f ca="1">OFFSET('Planilha mestra'!A$2,MATCH(LAUDO!B115,'Planilha mestra'!A$3:A$1048576,0),5,COUNTIF('Planilha mestra'!A$3:A$1048576,LAUDO!B115))</f>
        <v>179.10732551546971</v>
      </c>
      <c r="I115" s="255" t="s">
        <v>107</v>
      </c>
      <c r="J115" s="254">
        <f ca="1">OFFSET('Planilha mestra'!A$2,MATCH(LAUDO!B115,'Planilha mestra'!A$3:A$1048576,0),7,COUNTIF('Planilha mestra'!A$3:A$1048576,LAUDO!B115))</f>
        <v>33.238904627006612</v>
      </c>
      <c r="K115" s="255" t="str">
        <f ca="1">OFFSET('Planilha mestra'!A$2,MATCH(LAUDO!B115,'Planilha mestra'!A$3:A$1048576,0),8,COUNTIF('Planilha mestra'!A$3:A$1048576,LAUDO!B115))</f>
        <v>*</v>
      </c>
      <c r="L115" s="255">
        <f ca="1">OFFSET('Planilha mestra'!A$2,MATCH(LAUDO!B115,'Planilha mestra'!A$3:A$1048576,0),9,COUNTIF('Planilha mestra'!A$3:A$1048576,LAUDO!B115))</f>
        <v>2.5892623353013136</v>
      </c>
      <c r="M115" s="1"/>
    </row>
    <row r="116" spans="1:13" customFormat="1" x14ac:dyDescent="0.2">
      <c r="A116" s="1"/>
      <c r="B116" s="247" t="s">
        <v>176</v>
      </c>
      <c r="C116" s="342" t="str">
        <f ca="1">OFFSET('Planilha mestra'!A$2,MATCH(LAUDO!B116,'Planilha mestra'!A$3:A$1048576,0),1,COUNTIF('Planilha mestra'!A$3:A$1048576,LAUDO!B116))</f>
        <v>Rubens Alface 2</v>
      </c>
      <c r="D116" s="342"/>
      <c r="E116" s="248">
        <f ca="1">OFFSET('Planilha mestra'!A$2,MATCH(LAUDO!B116,'Planilha mestra'!A$3:A$1048576,0),2,COUNTIF('Planilha mestra'!A$3:A$1048576,LAUDO!B116))</f>
        <v>6.2420801033591724</v>
      </c>
      <c r="F116" s="249" t="s">
        <v>107</v>
      </c>
      <c r="G116" s="249" t="s">
        <v>107</v>
      </c>
      <c r="H116" s="249">
        <f ca="1">OFFSET('Planilha mestra'!A$2,MATCH(LAUDO!B116,'Planilha mestra'!A$3:A$1048576,0),5,COUNTIF('Planilha mestra'!A$3:A$1048576,LAUDO!B116))</f>
        <v>172.84153000769544</v>
      </c>
      <c r="I116" s="249" t="s">
        <v>107</v>
      </c>
      <c r="J116" s="248">
        <f ca="1">OFFSET('Planilha mestra'!A$2,MATCH(LAUDO!B116,'Planilha mestra'!A$3:A$1048576,0),7,COUNTIF('Planilha mestra'!A$3:A$1048576,LAUDO!B116))</f>
        <v>120.49102927289898</v>
      </c>
      <c r="K116" s="249" t="s">
        <v>107</v>
      </c>
      <c r="L116" s="249">
        <f ca="1">OFFSET('Planilha mestra'!A$2,MATCH(LAUDO!B116,'Planilha mestra'!A$3:A$1048576,0),9,COUNTIF('Planilha mestra'!A$3:A$1048576,LAUDO!B116))</f>
        <v>2.8750811198267034</v>
      </c>
      <c r="M116" s="1"/>
    </row>
    <row r="117" spans="1:13" customFormat="1" x14ac:dyDescent="0.2">
      <c r="A117" s="1"/>
      <c r="B117" s="247" t="s">
        <v>178</v>
      </c>
      <c r="C117" s="342" t="str">
        <f ca="1">OFFSET('Planilha mestra'!A$2,MATCH(LAUDO!B117,'Planilha mestra'!A$3:A$1048576,0),1,COUNTIF('Planilha mestra'!A$3:A$1048576,LAUDO!B117))</f>
        <v>Rubens Brócolis Y28</v>
      </c>
      <c r="D117" s="342"/>
      <c r="E117" s="248">
        <f ca="1">OFFSET('Planilha mestra'!A$2,MATCH(LAUDO!B117,'Planilha mestra'!A$3:A$1048576,0),2,COUNTIF('Planilha mestra'!A$3:A$1048576,LAUDO!B117))</f>
        <v>6.9780865633074933</v>
      </c>
      <c r="F117" s="249" t="s">
        <v>107</v>
      </c>
      <c r="G117" s="249" t="s">
        <v>107</v>
      </c>
      <c r="H117" s="249">
        <f ca="1">OFFSET('Planilha mestra'!A$2,MATCH(LAUDO!B117,'Planilha mestra'!A$3:A$1048576,0),5,COUNTIF('Planilha mestra'!A$3:A$1048576,LAUDO!B117))</f>
        <v>218.00670148230878</v>
      </c>
      <c r="I117" s="249" t="s">
        <v>107</v>
      </c>
      <c r="J117" s="248">
        <f ca="1">OFFSET('Planilha mestra'!A$2,MATCH(LAUDO!B117,'Planilha mestra'!A$3:A$1048576,0),7,COUNTIF('Planilha mestra'!A$3:A$1048576,LAUDO!B117))</f>
        <v>152.21907459867799</v>
      </c>
      <c r="K117" s="249" t="s">
        <v>107</v>
      </c>
      <c r="L117" s="249">
        <f ca="1">OFFSET('Planilha mestra'!A$2,MATCH(LAUDO!B117,'Planilha mestra'!A$3:A$1048576,0),9,COUNTIF('Planilha mestra'!A$3:A$1048576,LAUDO!B117))</f>
        <v>3.7644314150237315</v>
      </c>
      <c r="M117" s="1"/>
    </row>
    <row r="118" spans="1:13" customFormat="1" x14ac:dyDescent="0.2">
      <c r="A118" s="1"/>
      <c r="B118" s="247" t="s">
        <v>180</v>
      </c>
      <c r="C118" s="342" t="str">
        <f ca="1">OFFSET('Planilha mestra'!A$2,MATCH(LAUDO!B118,'Planilha mestra'!A$3:A$1048576,0),1,COUNTIF('Planilha mestra'!A$3:A$1048576,LAUDO!B118))</f>
        <v>Rubens Couve 1 329</v>
      </c>
      <c r="D118" s="342"/>
      <c r="E118" s="248">
        <f ca="1">OFFSET('Planilha mestra'!A$2,MATCH(LAUDO!B118,'Planilha mestra'!A$3:A$1048576,0),2,COUNTIF('Planilha mestra'!A$3:A$1048576,LAUDO!B118))</f>
        <v>6.1302816537467697</v>
      </c>
      <c r="F118" s="249" t="s">
        <v>107</v>
      </c>
      <c r="G118" s="249" t="s">
        <v>107</v>
      </c>
      <c r="H118" s="249">
        <f ca="1">OFFSET('Planilha mestra'!A$2,MATCH(LAUDO!B118,'Planilha mestra'!A$3:A$1048576,0),5,COUNTIF('Planilha mestra'!A$3:A$1048576,LAUDO!B118))</f>
        <v>201.83357529279954</v>
      </c>
      <c r="I118" s="249" t="s">
        <v>107</v>
      </c>
      <c r="J118" s="248">
        <f ca="1">OFFSET('Planilha mestra'!A$2,MATCH(LAUDO!B118,'Planilha mestra'!A$3:A$1048576,0),7,COUNTIF('Planilha mestra'!A$3:A$1048576,LAUDO!B118))</f>
        <v>43.15391879131257</v>
      </c>
      <c r="K118" s="249" t="s">
        <v>107</v>
      </c>
      <c r="L118" s="249">
        <f ca="1">OFFSET('Planilha mestra'!A$2,MATCH(LAUDO!B118,'Planilha mestra'!A$3:A$1048576,0),9,COUNTIF('Planilha mestra'!A$3:A$1048576,LAUDO!B118))</f>
        <v>3.0676714596141981</v>
      </c>
      <c r="M118" s="1"/>
    </row>
    <row r="119" spans="1:13" customFormat="1" x14ac:dyDescent="0.2">
      <c r="A119" s="1"/>
      <c r="B119" s="247" t="s">
        <v>107</v>
      </c>
      <c r="C119" s="342" t="s">
        <v>107</v>
      </c>
      <c r="D119" s="342"/>
      <c r="E119" s="248" t="s">
        <v>107</v>
      </c>
      <c r="F119" s="249" t="s">
        <v>107</v>
      </c>
      <c r="G119" s="249" t="s">
        <v>107</v>
      </c>
      <c r="H119" s="249" t="s">
        <v>107</v>
      </c>
      <c r="I119" s="249" t="s">
        <v>107</v>
      </c>
      <c r="J119" s="248" t="s">
        <v>107</v>
      </c>
      <c r="K119" s="249" t="s">
        <v>107</v>
      </c>
      <c r="L119" s="249" t="s">
        <v>107</v>
      </c>
      <c r="M119" s="1"/>
    </row>
    <row r="120" spans="1:13" customFormat="1" x14ac:dyDescent="0.2">
      <c r="A120" s="1"/>
      <c r="B120" s="256" t="s">
        <v>107</v>
      </c>
      <c r="C120" s="343" t="s">
        <v>107</v>
      </c>
      <c r="D120" s="343"/>
      <c r="E120" s="257" t="s">
        <v>107</v>
      </c>
      <c r="F120" s="260" t="s">
        <v>107</v>
      </c>
      <c r="G120" s="260" t="s">
        <v>107</v>
      </c>
      <c r="H120" s="260" t="s">
        <v>107</v>
      </c>
      <c r="I120" s="260" t="s">
        <v>107</v>
      </c>
      <c r="J120" s="257" t="s">
        <v>107</v>
      </c>
      <c r="K120" s="260" t="s">
        <v>107</v>
      </c>
      <c r="L120" s="260" t="s">
        <v>107</v>
      </c>
      <c r="M120" s="1"/>
    </row>
    <row r="121" spans="1:13" customForma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customFormat="1" x14ac:dyDescent="0.2">
      <c r="A122" s="1"/>
      <c r="B122" s="328" t="s">
        <v>4</v>
      </c>
      <c r="C122" s="109" t="s">
        <v>136</v>
      </c>
      <c r="D122" s="109" t="s">
        <v>137</v>
      </c>
      <c r="E122" s="110" t="s">
        <v>22</v>
      </c>
      <c r="F122" s="110" t="s">
        <v>23</v>
      </c>
      <c r="G122" s="110" t="s">
        <v>24</v>
      </c>
      <c r="H122" s="110" t="s">
        <v>25</v>
      </c>
      <c r="I122" s="110" t="s">
        <v>146</v>
      </c>
      <c r="J122" s="110" t="s">
        <v>26</v>
      </c>
      <c r="K122" s="110" t="s">
        <v>27</v>
      </c>
      <c r="L122" s="110" t="s">
        <v>28</v>
      </c>
      <c r="M122" s="1"/>
    </row>
    <row r="123" spans="1:13" customFormat="1" x14ac:dyDescent="0.2">
      <c r="A123" s="1"/>
      <c r="B123" s="329"/>
      <c r="C123" s="338" t="s">
        <v>142</v>
      </c>
      <c r="D123" s="339"/>
      <c r="E123" s="339"/>
      <c r="F123" s="339"/>
      <c r="G123" s="339"/>
      <c r="H123" s="340"/>
      <c r="I123" s="146" t="s">
        <v>115</v>
      </c>
      <c r="J123" s="337" t="s">
        <v>143</v>
      </c>
      <c r="K123" s="337"/>
      <c r="L123" s="146" t="s">
        <v>29</v>
      </c>
      <c r="M123" s="1"/>
    </row>
    <row r="124" spans="1:13" customFormat="1" x14ac:dyDescent="0.2">
      <c r="A124" s="1"/>
      <c r="B124" s="253" t="s">
        <v>172</v>
      </c>
      <c r="C124" s="255">
        <f ca="1">OFFSET('Planilha mestra'!A$2,MATCH(LAUDO!B124,'Planilha mestra'!A$3:A$1048576,0),10,COUNTIF('Planilha mestra'!A$3:A$1048576,LAUDO!B124))</f>
        <v>0.23191718358083299</v>
      </c>
      <c r="D124" s="255">
        <f ca="1">OFFSET('Planilha mestra'!A$2,MATCH(LAUDO!B124,'Planilha mestra'!A$3:A$1048576,0),11,COUNTIF('Planilha mestra'!A$3:A$1048576,LAUDO!B124))</f>
        <v>0</v>
      </c>
      <c r="E124" s="255">
        <f ca="1">OFFSET('Planilha mestra'!A$2,MATCH(LAUDO!B124,'Planilha mestra'!A$3:A$1048576,0),12,COUNTIF('Planilha mestra'!A$3:A$1048576,LAUDO!B124))</f>
        <v>0.84271359462401396</v>
      </c>
      <c r="F124" s="255">
        <f ca="1">OFFSET('Planilha mestra'!A$2,MATCH(LAUDO!B124,'Planilha mestra'!A$3:A$1048576,0),13,COUNTIF('Planilha mestra'!A$3:A$1048576,LAUDO!B124))</f>
        <v>2.9064074794642147</v>
      </c>
      <c r="G124" s="255">
        <f ca="1">OFFSET('Planilha mestra'!A$2,MATCH(LAUDO!B124,'Planilha mestra'!A$3:A$1048576,0),14,COUNTIF('Planilha mestra'!A$3:A$1048576,LAUDO!B124))</f>
        <v>2.9064074794642147</v>
      </c>
      <c r="H124" s="255">
        <f ca="1">OFFSET('Planilha mestra'!A$2,MATCH(LAUDO!B124,'Planilha mestra'!A$3:A$1048576,0),15,COUNTIF('Planilha mestra'!A$3:A$1048576,LAUDO!B124))</f>
        <v>3.7491210740882286</v>
      </c>
      <c r="I124" s="255">
        <f ca="1">OFFSET('Planilha mestra'!A$2,MATCH(LAUDO!B124,'Planilha mestra'!A$3:A$1048576,0),29,COUNTIF('Planilha mestra'!A$3:A$1048576,LAUDO!B124))</f>
        <v>0.35981953174199266</v>
      </c>
      <c r="J124" s="255">
        <f ca="1">OFFSET('Planilha mestra'!A$2,MATCH(LAUDO!B124,'Planilha mestra'!A$3:A$1048576,0),16,COUNTIF('Planilha mestra'!A$3:A$1048576,LAUDO!B124))</f>
        <v>77.522369164112462</v>
      </c>
      <c r="K124" s="255">
        <f ca="1">OFFSET('Planilha mestra'!A$2,MATCH(LAUDO!B124,'Planilha mestra'!A$3:A$1048576,0),17,COUNTIF('Planilha mestra'!A$3:A$1048576,LAUDO!B124))</f>
        <v>0</v>
      </c>
      <c r="L124" s="255" t="s">
        <v>107</v>
      </c>
      <c r="M124" s="1"/>
    </row>
    <row r="125" spans="1:13" customFormat="1" x14ac:dyDescent="0.2">
      <c r="A125" s="1"/>
      <c r="B125" s="247" t="s">
        <v>176</v>
      </c>
      <c r="C125" s="249">
        <f ca="1">OFFSET('Planilha mestra'!A$2,MATCH(LAUDO!B125,'Planilha mestra'!A$3:A$1048576,0),10,COUNTIF('Planilha mestra'!A$3:A$1048576,LAUDO!B125))</f>
        <v>0.36263737524640954</v>
      </c>
      <c r="D125" s="249">
        <f ca="1">OFFSET('Planilha mestra'!A$2,MATCH(LAUDO!B125,'Planilha mestra'!A$3:A$1048576,0),11,COUNTIF('Planilha mestra'!A$3:A$1048576,LAUDO!B125))</f>
        <v>0</v>
      </c>
      <c r="E125" s="249">
        <f ca="1">OFFSET('Planilha mestra'!A$2,MATCH(LAUDO!B125,'Planilha mestra'!A$3:A$1048576,0),12,COUNTIF('Planilha mestra'!A$3:A$1048576,LAUDO!B125))</f>
        <v>0.82252669154678215</v>
      </c>
      <c r="F125" s="249">
        <f ca="1">OFFSET('Planilha mestra'!A$2,MATCH(LAUDO!B125,'Planilha mestra'!A$3:A$1048576,0),13,COUNTIF('Planilha mestra'!A$3:A$1048576,LAUDO!B125))</f>
        <v>3.5466698521831104</v>
      </c>
      <c r="G125" s="249">
        <f ca="1">OFFSET('Planilha mestra'!A$2,MATCH(LAUDO!B125,'Planilha mestra'!A$3:A$1048576,0),14,COUNTIF('Planilha mestra'!A$3:A$1048576,LAUDO!B125))</f>
        <v>3.5466698521831104</v>
      </c>
      <c r="H125" s="249">
        <f ca="1">OFFSET('Planilha mestra'!A$2,MATCH(LAUDO!B125,'Planilha mestra'!A$3:A$1048576,0),15,COUNTIF('Planilha mestra'!A$3:A$1048576,LAUDO!B125))</f>
        <v>4.3691965437298927</v>
      </c>
      <c r="I125" s="249">
        <f ca="1">OFFSET('Planilha mestra'!A$2,MATCH(LAUDO!B125,'Planilha mestra'!A$3:A$1048576,0),29,COUNTIF('Planilha mestra'!A$3:A$1048576,LAUDO!B125))</f>
        <v>0.4580308285054131</v>
      </c>
      <c r="J125" s="249">
        <f ca="1">OFFSET('Planilha mestra'!A$2,MATCH(LAUDO!B125,'Planilha mestra'!A$3:A$1048576,0),16,COUNTIF('Planilha mestra'!A$3:A$1048576,LAUDO!B125))</f>
        <v>81.174417691802702</v>
      </c>
      <c r="K125" s="249">
        <f ca="1">OFFSET('Planilha mestra'!A$2,MATCH(LAUDO!B125,'Planilha mestra'!A$3:A$1048576,0),17,COUNTIF('Planilha mestra'!A$3:A$1048576,LAUDO!B125))</f>
        <v>0</v>
      </c>
      <c r="L125" s="249" t="s">
        <v>107</v>
      </c>
      <c r="M125" s="1"/>
    </row>
    <row r="126" spans="1:13" customFormat="1" x14ac:dyDescent="0.2">
      <c r="A126" s="1"/>
      <c r="B126" s="247" t="s">
        <v>178</v>
      </c>
      <c r="C126" s="249">
        <f ca="1">OFFSET('Planilha mestra'!A$2,MATCH(LAUDO!B126,'Planilha mestra'!A$3:A$1048576,0),10,COUNTIF('Planilha mestra'!A$3:A$1048576,LAUDO!B126))</f>
        <v>0.54159954240761565</v>
      </c>
      <c r="D126" s="249">
        <f ca="1">OFFSET('Planilha mestra'!A$2,MATCH(LAUDO!B126,'Planilha mestra'!A$3:A$1048576,0),11,COUNTIF('Planilha mestra'!A$3:A$1048576,LAUDO!B126))</f>
        <v>0</v>
      </c>
      <c r="E126" s="249">
        <f ca="1">OFFSET('Planilha mestra'!A$2,MATCH(LAUDO!B126,'Planilha mestra'!A$3:A$1048576,0),12,COUNTIF('Planilha mestra'!A$3:A$1048576,LAUDO!B126))</f>
        <v>0.50646565518082898</v>
      </c>
      <c r="F126" s="249">
        <f ca="1">OFFSET('Planilha mestra'!A$2,MATCH(LAUDO!B126,'Planilha mestra'!A$3:A$1048576,0),13,COUNTIF('Planilha mestra'!A$3:A$1048576,LAUDO!B126))</f>
        <v>4.6963362769151367</v>
      </c>
      <c r="G126" s="249">
        <f ca="1">OFFSET('Planilha mestra'!A$2,MATCH(LAUDO!B126,'Planilha mestra'!A$3:A$1048576,0),14,COUNTIF('Planilha mestra'!A$3:A$1048576,LAUDO!B126))</f>
        <v>4.6963362769151367</v>
      </c>
      <c r="H126" s="249">
        <f ca="1">OFFSET('Planilha mestra'!A$2,MATCH(LAUDO!B126,'Planilha mestra'!A$3:A$1048576,0),15,COUNTIF('Planilha mestra'!A$3:A$1048576,LAUDO!B126))</f>
        <v>5.2028019320959658</v>
      </c>
      <c r="I126" s="249">
        <f ca="1">OFFSET('Planilha mestra'!A$2,MATCH(LAUDO!B126,'Planilha mestra'!A$3:A$1048576,0),29,COUNTIF('Planilha mestra'!A$3:A$1048576,LAUDO!B126))</f>
        <v>0.44655559495250463</v>
      </c>
      <c r="J126" s="249">
        <f ca="1">OFFSET('Planilha mestra'!A$2,MATCH(LAUDO!B126,'Planilha mestra'!A$3:A$1048576,0),16,COUNTIF('Planilha mestra'!A$3:A$1048576,LAUDO!B126))</f>
        <v>90.265521121293233</v>
      </c>
      <c r="K126" s="249">
        <f ca="1">OFFSET('Planilha mestra'!A$2,MATCH(LAUDO!B126,'Planilha mestra'!A$3:A$1048576,0),17,COUNTIF('Planilha mestra'!A$3:A$1048576,LAUDO!B126))</f>
        <v>0</v>
      </c>
      <c r="L126" s="249" t="s">
        <v>107</v>
      </c>
      <c r="M126" s="1"/>
    </row>
    <row r="127" spans="1:13" customFormat="1" x14ac:dyDescent="0.2">
      <c r="A127" s="1"/>
      <c r="B127" s="247" t="s">
        <v>180</v>
      </c>
      <c r="C127" s="249">
        <f ca="1">OFFSET('Planilha mestra'!A$2,MATCH(LAUDO!B127,'Planilha mestra'!A$3:A$1048576,0),10,COUNTIF('Planilha mestra'!A$3:A$1048576,LAUDO!B127))</f>
        <v>0.13854561810542107</v>
      </c>
      <c r="D127" s="249">
        <f ca="1">OFFSET('Planilha mestra'!A$2,MATCH(LAUDO!B127,'Planilha mestra'!A$3:A$1048576,0),11,COUNTIF('Planilha mestra'!A$3:A$1048576,LAUDO!B127))</f>
        <v>0</v>
      </c>
      <c r="E127" s="249">
        <f ca="1">OFFSET('Planilha mestra'!A$2,MATCH(LAUDO!B127,'Planilha mestra'!A$3:A$1048576,0),12,COUNTIF('Planilha mestra'!A$3:A$1048576,LAUDO!B127))</f>
        <v>0.84271359462401396</v>
      </c>
      <c r="F127" s="249">
        <f ca="1">OFFSET('Planilha mestra'!A$2,MATCH(LAUDO!B127,'Planilha mestra'!A$3:A$1048576,0),13,COUNTIF('Planilha mestra'!A$3:A$1048576,LAUDO!B127))</f>
        <v>3.3168681515434977</v>
      </c>
      <c r="G127" s="249">
        <f ca="1">OFFSET('Planilha mestra'!A$2,MATCH(LAUDO!B127,'Planilha mestra'!A$3:A$1048576,0),14,COUNTIF('Planilha mestra'!A$3:A$1048576,LAUDO!B127))</f>
        <v>3.3168681515434977</v>
      </c>
      <c r="H127" s="249">
        <f ca="1">OFFSET('Planilha mestra'!A$2,MATCH(LAUDO!B127,'Planilha mestra'!A$3:A$1048576,0),15,COUNTIF('Planilha mestra'!A$3:A$1048576,LAUDO!B127))</f>
        <v>4.159581746167512</v>
      </c>
      <c r="I127" s="249">
        <f ca="1">OFFSET('Planilha mestra'!A$2,MATCH(LAUDO!B127,'Planilha mestra'!A$3:A$1048576,0),29,COUNTIF('Planilha mestra'!A$3:A$1048576,LAUDO!B127))</f>
        <v>0.33015249960869936</v>
      </c>
      <c r="J127" s="249">
        <f ca="1">OFFSET('Planilha mestra'!A$2,MATCH(LAUDO!B127,'Planilha mestra'!A$3:A$1048576,0),16,COUNTIF('Planilha mestra'!A$3:A$1048576,LAUDO!B127))</f>
        <v>79.740424733797809</v>
      </c>
      <c r="K127" s="249">
        <f ca="1">OFFSET('Planilha mestra'!A$2,MATCH(LAUDO!B127,'Planilha mestra'!A$3:A$1048576,0),17,COUNTIF('Planilha mestra'!A$3:A$1048576,LAUDO!B127))</f>
        <v>0</v>
      </c>
      <c r="L127" s="249" t="s">
        <v>107</v>
      </c>
      <c r="M127" s="1"/>
    </row>
    <row r="128" spans="1:13" customFormat="1" x14ac:dyDescent="0.2">
      <c r="A128" s="1"/>
      <c r="B128" s="247" t="s">
        <v>107</v>
      </c>
      <c r="C128" s="251" t="s">
        <v>107</v>
      </c>
      <c r="D128" s="251" t="s">
        <v>107</v>
      </c>
      <c r="E128" s="251" t="s">
        <v>107</v>
      </c>
      <c r="F128" s="251" t="s">
        <v>107</v>
      </c>
      <c r="G128" s="251" t="s">
        <v>107</v>
      </c>
      <c r="H128" s="251" t="s">
        <v>107</v>
      </c>
      <c r="I128" s="251" t="s">
        <v>107</v>
      </c>
      <c r="J128" s="251" t="s">
        <v>107</v>
      </c>
      <c r="K128" s="251" t="s">
        <v>107</v>
      </c>
      <c r="L128" s="249" t="s">
        <v>107</v>
      </c>
      <c r="M128" s="1"/>
    </row>
    <row r="129" spans="1:13" customFormat="1" x14ac:dyDescent="0.2">
      <c r="A129" s="1"/>
      <c r="B129" s="256" t="s">
        <v>107</v>
      </c>
      <c r="C129" s="259" t="s">
        <v>107</v>
      </c>
      <c r="D129" s="259" t="s">
        <v>107</v>
      </c>
      <c r="E129" s="259" t="s">
        <v>107</v>
      </c>
      <c r="F129" s="259" t="s">
        <v>107</v>
      </c>
      <c r="G129" s="259" t="s">
        <v>107</v>
      </c>
      <c r="H129" s="259" t="s">
        <v>107</v>
      </c>
      <c r="I129" s="259" t="s">
        <v>107</v>
      </c>
      <c r="J129" s="259" t="s">
        <v>107</v>
      </c>
      <c r="K129" s="259" t="s">
        <v>107</v>
      </c>
      <c r="L129" s="260" t="s">
        <v>107</v>
      </c>
      <c r="M129" s="1"/>
    </row>
    <row r="130" spans="1:13" customForma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customFormat="1" x14ac:dyDescent="0.2">
      <c r="A131" s="1"/>
      <c r="B131" s="328" t="s">
        <v>4</v>
      </c>
      <c r="C131" s="114" t="s">
        <v>30</v>
      </c>
      <c r="D131" s="114" t="s">
        <v>31</v>
      </c>
      <c r="E131" s="111" t="s">
        <v>35</v>
      </c>
      <c r="F131" s="111" t="s">
        <v>32</v>
      </c>
      <c r="G131" s="111" t="s">
        <v>33</v>
      </c>
      <c r="H131" s="111" t="s">
        <v>34</v>
      </c>
      <c r="I131" s="111" t="s">
        <v>64</v>
      </c>
      <c r="J131" s="111" t="s">
        <v>121</v>
      </c>
      <c r="K131" s="111" t="s">
        <v>123</v>
      </c>
      <c r="L131" s="111" t="s">
        <v>122</v>
      </c>
      <c r="M131" s="1"/>
    </row>
    <row r="132" spans="1:13" customFormat="1" x14ac:dyDescent="0.2">
      <c r="A132" s="1"/>
      <c r="B132" s="329"/>
      <c r="C132" s="337" t="s">
        <v>145</v>
      </c>
      <c r="D132" s="337"/>
      <c r="E132" s="337"/>
      <c r="F132" s="337"/>
      <c r="G132" s="337"/>
      <c r="H132" s="337"/>
      <c r="I132" s="146" t="s">
        <v>115</v>
      </c>
      <c r="J132" s="338"/>
      <c r="K132" s="339"/>
      <c r="L132" s="340"/>
      <c r="M132" s="1"/>
    </row>
    <row r="133" spans="1:13" customFormat="1" x14ac:dyDescent="0.2">
      <c r="A133" s="1"/>
      <c r="B133" s="253" t="s">
        <v>172</v>
      </c>
      <c r="C133" s="258">
        <f ca="1">OFFSET('Planilha mestra'!A$2,MATCH(LAUDO!B133,'Planilha mestra'!A$3:A$1048576,0),19,COUNTIF('Planilha mestra'!A$3:A$1048576,LAUDO!B133))</f>
        <v>0.74653652276593485</v>
      </c>
      <c r="D133" s="255">
        <f ca="1">OFFSET('Planilha mestra'!A$2,MATCH(LAUDO!B133,'Planilha mestra'!A$3:A$1048576,0),20,COUNTIF('Planilha mestra'!A$3:A$1048576,LAUDO!B133))</f>
        <v>3.5850193709973437E-2</v>
      </c>
      <c r="E133" s="255">
        <f ca="1">OFFSET('Planilha mestra'!A$2,MATCH(LAUDO!B133,'Planilha mestra'!A$3:A$1048576,0),21,COUNTIF('Planilha mestra'!A$3:A$1048576,LAUDO!B133))</f>
        <v>10.169910410874268</v>
      </c>
      <c r="F133" s="255">
        <f ca="1">OFFSET('Planilha mestra'!A$2,MATCH(LAUDO!B133,'Planilha mestra'!A$3:A$1048576,0),22,COUNTIF('Planilha mestra'!A$3:A$1048576,LAUDO!B133))</f>
        <v>4.4959677419354822</v>
      </c>
      <c r="G133" s="255">
        <f ca="1">OFFSET('Planilha mestra'!A$2,MATCH(LAUDO!B133,'Planilha mestra'!A$3:A$1048576,0),23,COUNTIF('Planilha mestra'!A$3:A$1048576,LAUDO!B133))</f>
        <v>17.729146844275302</v>
      </c>
      <c r="H133" s="255">
        <f ca="1">OFFSET('Planilha mestra'!A$2,MATCH(LAUDO!B133,'Planilha mestra'!A$3:A$1048576,0),24,COUNTIF('Planilha mestra'!A$3:A$1048576,LAUDO!B133))</f>
        <v>25.572881355932207</v>
      </c>
      <c r="I133" s="255">
        <f ca="1">OFFSET('Planilha mestra'!A$2,MATCH(LAUDO!B124,'Planilha mestra'!A$3:A$1048576,0),25,COUNTIF('Planilha mestra'!A$3:A$1048576,LAUDO!B124))</f>
        <v>0.61888959459622739</v>
      </c>
      <c r="J133" s="254">
        <f ca="1">OFFSET('Planilha mestra'!A$2,MATCH(LAUDO!B124,'Planilha mestra'!A$3:A$1048576,0),26,COUNTIF('Planilha mestra'!A$3:A$1048576,LAUDO!B124))</f>
        <v>11.164598911226626</v>
      </c>
      <c r="K133" s="254">
        <f ca="1">OFFSET('Planilha mestra'!A$2,MATCH(LAUDO!B124,'Planilha mestra'!A$3:A$1048576,0),27,COUNTIF('Planilha mestra'!A$3:A$1048576,LAUDO!B124))</f>
        <v>30.380432872238508</v>
      </c>
      <c r="L133" s="254">
        <f ca="1">OFFSET('Planilha mestra'!A$2,MATCH(LAUDO!B124,'Planilha mestra'!A$3:A$1048576,0),28,COUNTIF('Planilha mestra'!A$3:A$1048576,LAUDO!B124))</f>
        <v>2.7211396588272678</v>
      </c>
      <c r="M133" s="1"/>
    </row>
    <row r="134" spans="1:13" customFormat="1" x14ac:dyDescent="0.2">
      <c r="A134" s="1"/>
      <c r="B134" s="247" t="s">
        <v>176</v>
      </c>
      <c r="C134" s="251">
        <f ca="1">OFFSET('Planilha mestra'!A$2,MATCH(LAUDO!B134,'Planilha mestra'!A$3:A$1048576,0),19,COUNTIF('Planilha mestra'!A$3:A$1048576,LAUDO!B134))</f>
        <v>0.24809634636673217</v>
      </c>
      <c r="D134" s="249">
        <f ca="1">OFFSET('Planilha mestra'!A$2,MATCH(LAUDO!B134,'Planilha mestra'!A$3:A$1048576,0),20,COUNTIF('Planilha mestra'!A$3:A$1048576,LAUDO!B134))</f>
        <v>9.087683239978761E-2</v>
      </c>
      <c r="E134" s="249">
        <f ca="1">OFFSET('Planilha mestra'!A$2,MATCH(LAUDO!B134,'Planilha mestra'!A$3:A$1048576,0),21,COUNTIF('Planilha mestra'!A$3:A$1048576,LAUDO!B134))</f>
        <v>15.675007723200491</v>
      </c>
      <c r="F134" s="249">
        <f ca="1">OFFSET('Planilha mestra'!A$2,MATCH(LAUDO!B134,'Planilha mestra'!A$3:A$1048576,0),22,COUNTIF('Planilha mestra'!A$3:A$1048576,LAUDO!B134))</f>
        <v>5.2721774193548381</v>
      </c>
      <c r="G134" s="249">
        <f ca="1">OFFSET('Planilha mestra'!A$2,MATCH(LAUDO!B134,'Planilha mestra'!A$3:A$1048576,0),23,COUNTIF('Planilha mestra'!A$3:A$1048576,LAUDO!B134))</f>
        <v>25.999048525214086</v>
      </c>
      <c r="H134" s="249">
        <f ca="1">OFFSET('Planilha mestra'!A$2,MATCH(LAUDO!B134,'Planilha mestra'!A$3:A$1048576,0),24,COUNTIF('Planilha mestra'!A$3:A$1048576,LAUDO!B134))</f>
        <v>26.711864406779668</v>
      </c>
      <c r="I134" s="249">
        <f ca="1">OFFSET('Planilha mestra'!A$2,MATCH(LAUDO!B125,'Planilha mestra'!A$3:A$1048576,0),25,COUNTIF('Planilha mestra'!A$3:A$1048576,LAUDO!B125))</f>
        <v>0.7878130250293105</v>
      </c>
      <c r="J134" s="248">
        <f ca="1">OFFSET('Planilha mestra'!A$2,MATCH(LAUDO!B125,'Planilha mestra'!A$3:A$1048576,0),26,COUNTIF('Planilha mestra'!A$3:A$1048576,LAUDO!B125))</f>
        <v>7.9282537214293098</v>
      </c>
      <c r="K134" s="248">
        <f ca="1">OFFSET('Planilha mestra'!A$2,MATCH(LAUDO!B125,'Planilha mestra'!A$3:A$1048576,0),27,COUNTIF('Planilha mestra'!A$3:A$1048576,LAUDO!B125))</f>
        <v>9.3059345869876697</v>
      </c>
      <c r="L134" s="248">
        <f ca="1">OFFSET('Planilha mestra'!A$2,MATCH(LAUDO!B125,'Planilha mestra'!A$3:A$1048576,0),28,COUNTIF('Planilha mestra'!A$3:A$1048576,LAUDO!B125))</f>
        <v>1.1737685137188054</v>
      </c>
      <c r="M134" s="1"/>
    </row>
    <row r="135" spans="1:13" customFormat="1" x14ac:dyDescent="0.2">
      <c r="A135" s="1"/>
      <c r="B135" s="247" t="s">
        <v>178</v>
      </c>
      <c r="C135" s="251">
        <f ca="1">OFFSET('Planilha mestra'!A$2,MATCH(LAUDO!B135,'Planilha mestra'!A$3:A$1048576,0),19,COUNTIF('Planilha mestra'!A$3:A$1048576,LAUDO!B135))</f>
        <v>3.1353936068491177</v>
      </c>
      <c r="D135" s="249">
        <f ca="1">OFFSET('Planilha mestra'!A$2,MATCH(LAUDO!B135,'Planilha mestra'!A$3:A$1048576,0),20,COUNTIF('Planilha mestra'!A$3:A$1048576,LAUDO!B135))</f>
        <v>0.11374246858668359</v>
      </c>
      <c r="E135" s="249">
        <f ca="1">OFFSET('Planilha mestra'!A$2,MATCH(LAUDO!B135,'Planilha mestra'!A$3:A$1048576,0),21,COUNTIF('Planilha mestra'!A$3:A$1048576,LAUDO!B135))</f>
        <v>27.797343219029962</v>
      </c>
      <c r="F135" s="249">
        <f ca="1">OFFSET('Planilha mestra'!A$2,MATCH(LAUDO!B135,'Planilha mestra'!A$3:A$1048576,0),22,COUNTIF('Planilha mestra'!A$3:A$1048576,LAUDO!B135))</f>
        <v>4.9899193548387091</v>
      </c>
      <c r="G135" s="249">
        <f ca="1">OFFSET('Planilha mestra'!A$2,MATCH(LAUDO!B135,'Planilha mestra'!A$3:A$1048576,0),23,COUNTIF('Planilha mestra'!A$3:A$1048576,LAUDO!B135))</f>
        <v>51.474785918173147</v>
      </c>
      <c r="H135" s="249">
        <f ca="1">OFFSET('Planilha mestra'!A$2,MATCH(LAUDO!B135,'Planilha mestra'!A$3:A$1048576,0),24,COUNTIF('Planilha mestra'!A$3:A$1048576,LAUDO!B135))</f>
        <v>33.403389830508473</v>
      </c>
      <c r="I135" s="249">
        <f ca="1">OFFSET('Planilha mestra'!A$2,MATCH(LAUDO!B126,'Planilha mestra'!A$3:A$1048576,0),25,COUNTIF('Planilha mestra'!A$3:A$1048576,LAUDO!B126))</f>
        <v>0.76807562331830792</v>
      </c>
      <c r="J135" s="248">
        <f ca="1">OFFSET('Planilha mestra'!A$2,MATCH(LAUDO!B126,'Planilha mestra'!A$3:A$1048576,0),26,COUNTIF('Planilha mestra'!A$3:A$1048576,LAUDO!B126))</f>
        <v>6.9505808632876684</v>
      </c>
      <c r="K135" s="248">
        <f ca="1">OFFSET('Planilha mestra'!A$2,MATCH(LAUDO!B126,'Planilha mestra'!A$3:A$1048576,0),27,COUNTIF('Planilha mestra'!A$3:A$1048576,LAUDO!B126))</f>
        <v>9.644837585105158</v>
      </c>
      <c r="L135" s="248">
        <f ca="1">OFFSET('Planilha mestra'!A$2,MATCH(LAUDO!B126,'Planilha mestra'!A$3:A$1048576,0),28,COUNTIF('Planilha mestra'!A$3:A$1048576,LAUDO!B126))</f>
        <v>1.3876304405072541</v>
      </c>
      <c r="M135" s="1"/>
    </row>
    <row r="136" spans="1:13" customFormat="1" x14ac:dyDescent="0.2">
      <c r="A136" s="1"/>
      <c r="B136" s="247" t="s">
        <v>180</v>
      </c>
      <c r="C136" s="251">
        <f ca="1">OFFSET('Planilha mestra'!A$2,MATCH(LAUDO!B136,'Planilha mestra'!A$3:A$1048576,0),19,COUNTIF('Planilha mestra'!A$3:A$1048576,LAUDO!B136))</f>
        <v>27.841156646258597</v>
      </c>
      <c r="D136" s="249">
        <f ca="1">OFFSET('Planilha mestra'!A$2,MATCH(LAUDO!B136,'Planilha mestra'!A$3:A$1048576,0),20,COUNTIF('Planilha mestra'!A$3:A$1048576,LAUDO!B136))</f>
        <v>6.4190960589569468E-2</v>
      </c>
      <c r="E136" s="249">
        <f ca="1">OFFSET('Planilha mestra'!A$2,MATCH(LAUDO!B136,'Planilha mestra'!A$3:A$1048576,0),21,COUNTIF('Planilha mestra'!A$3:A$1048576,LAUDO!B136))</f>
        <v>22.792709298733389</v>
      </c>
      <c r="F136" s="249">
        <f ca="1">OFFSET('Planilha mestra'!A$2,MATCH(LAUDO!B136,'Planilha mestra'!A$3:A$1048576,0),22,COUNTIF('Planilha mestra'!A$3:A$1048576,LAUDO!B136))</f>
        <v>8.1653225806451601</v>
      </c>
      <c r="G136" s="249">
        <f ca="1">OFFSET('Planilha mestra'!A$2,MATCH(LAUDO!B136,'Planilha mestra'!A$3:A$1048576,0),23,COUNTIF('Planilha mestra'!A$3:A$1048576,LAUDO!B136))</f>
        <v>30.21725340945131</v>
      </c>
      <c r="H136" s="249">
        <f ca="1">OFFSET('Planilha mestra'!A$2,MATCH(LAUDO!B136,'Planilha mestra'!A$3:A$1048576,0),24,COUNTIF('Planilha mestra'!A$3:A$1048576,LAUDO!B136))</f>
        <v>50.345762711864403</v>
      </c>
      <c r="I136" s="249">
        <f ca="1">OFFSET('Planilha mestra'!A$2,MATCH(LAUDO!B127,'Planilha mestra'!A$3:A$1048576,0),25,COUNTIF('Planilha mestra'!A$3:A$1048576,LAUDO!B127))</f>
        <v>0.56786229932696286</v>
      </c>
      <c r="J136" s="248">
        <f ca="1">OFFSET('Planilha mestra'!A$2,MATCH(LAUDO!B127,'Planilha mestra'!A$3:A$1048576,0),26,COUNTIF('Planilha mestra'!A$3:A$1048576,LAUDO!B127))</f>
        <v>22.141959461178836</v>
      </c>
      <c r="K136" s="248">
        <f ca="1">OFFSET('Planilha mestra'!A$2,MATCH(LAUDO!B127,'Planilha mestra'!A$3:A$1048576,0),27,COUNTIF('Planilha mestra'!A$3:A$1048576,LAUDO!B127))</f>
        <v>27.723829092675267</v>
      </c>
      <c r="L136" s="248">
        <f ca="1">OFFSET('Planilha mestra'!A$2,MATCH(LAUDO!B127,'Planilha mestra'!A$3:A$1048576,0),28,COUNTIF('Planilha mestra'!A$3:A$1048576,LAUDO!B127))</f>
        <v>1.2520946550048127</v>
      </c>
      <c r="M136" s="1"/>
    </row>
    <row r="137" spans="1:13" customFormat="1" x14ac:dyDescent="0.2">
      <c r="A137" s="1"/>
      <c r="B137" s="256" t="s">
        <v>107</v>
      </c>
      <c r="C137" s="259" t="s">
        <v>107</v>
      </c>
      <c r="D137" s="259" t="s">
        <v>107</v>
      </c>
      <c r="E137" s="259" t="s">
        <v>107</v>
      </c>
      <c r="F137" s="259" t="s">
        <v>107</v>
      </c>
      <c r="G137" s="259" t="s">
        <v>107</v>
      </c>
      <c r="H137" s="259" t="s">
        <v>107</v>
      </c>
      <c r="I137" s="259" t="s">
        <v>107</v>
      </c>
      <c r="J137" s="259" t="s">
        <v>107</v>
      </c>
      <c r="K137" s="259" t="s">
        <v>107</v>
      </c>
      <c r="L137" s="259" t="s">
        <v>107</v>
      </c>
      <c r="M137" s="1"/>
    </row>
    <row r="138" spans="1:13" customFormat="1" x14ac:dyDescent="0.2">
      <c r="A138" s="1"/>
      <c r="B138" s="178" t="s">
        <v>107</v>
      </c>
      <c r="C138" s="179" t="s">
        <v>107</v>
      </c>
      <c r="D138" s="179" t="s">
        <v>107</v>
      </c>
      <c r="E138" s="179" t="s">
        <v>107</v>
      </c>
      <c r="F138" s="179" t="s">
        <v>107</v>
      </c>
      <c r="G138" s="179" t="s">
        <v>107</v>
      </c>
      <c r="H138" s="179" t="s">
        <v>107</v>
      </c>
      <c r="I138" s="179" t="s">
        <v>107</v>
      </c>
      <c r="J138" s="179" t="s">
        <v>107</v>
      </c>
      <c r="K138" s="179" t="s">
        <v>107</v>
      </c>
      <c r="L138" s="179" t="s">
        <v>107</v>
      </c>
      <c r="M138" s="1"/>
    </row>
    <row r="139" spans="1:13" customFormat="1" x14ac:dyDescent="0.2">
      <c r="A139" s="1"/>
      <c r="B139" s="1" t="s">
        <v>132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customFormat="1" x14ac:dyDescent="0.2">
      <c r="A140" s="1"/>
      <c r="B140" s="17" t="s">
        <v>139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15"/>
      <c r="M140" s="1"/>
    </row>
    <row r="141" spans="1:13" customFormat="1" x14ac:dyDescent="0.2">
      <c r="A141" s="1"/>
      <c r="B141" s="19" t="s">
        <v>162</v>
      </c>
      <c r="C141" s="5"/>
      <c r="D141" s="5"/>
      <c r="E141" s="5"/>
      <c r="F141" s="5"/>
      <c r="G141" s="5"/>
      <c r="H141" s="5"/>
      <c r="I141" s="5"/>
      <c r="J141" s="5"/>
      <c r="K141" s="5"/>
      <c r="L141" s="116"/>
      <c r="M141" s="1"/>
    </row>
    <row r="142" spans="1:13" customFormat="1" x14ac:dyDescent="0.2">
      <c r="A142" s="1"/>
      <c r="B142" s="19" t="s">
        <v>163</v>
      </c>
      <c r="C142" s="5"/>
      <c r="D142" s="5"/>
      <c r="E142" s="5"/>
      <c r="F142" s="5"/>
      <c r="G142" s="5"/>
      <c r="H142" s="5"/>
      <c r="I142" s="5"/>
      <c r="J142" s="5"/>
      <c r="K142" s="5"/>
      <c r="L142" s="116"/>
      <c r="M142" s="1"/>
    </row>
    <row r="143" spans="1:13" customFormat="1" x14ac:dyDescent="0.2">
      <c r="A143" s="1"/>
      <c r="B143" s="19" t="s">
        <v>164</v>
      </c>
      <c r="C143" s="5"/>
      <c r="D143" s="5"/>
      <c r="E143" s="5"/>
      <c r="F143" s="5"/>
      <c r="G143" s="5"/>
      <c r="H143" s="5"/>
      <c r="I143" s="5"/>
      <c r="J143" s="5"/>
      <c r="K143" s="5"/>
      <c r="L143" s="116"/>
      <c r="M143" s="1"/>
    </row>
    <row r="144" spans="1:13" customFormat="1" x14ac:dyDescent="0.2">
      <c r="A144" s="1"/>
      <c r="B144" s="19" t="s">
        <v>116</v>
      </c>
      <c r="C144" s="5"/>
      <c r="D144" s="5"/>
      <c r="E144" s="5"/>
      <c r="F144" s="5"/>
      <c r="G144" s="5"/>
      <c r="H144" s="5"/>
      <c r="I144" s="5"/>
      <c r="J144" s="5"/>
      <c r="K144" s="5"/>
      <c r="L144" s="116"/>
      <c r="M144" s="1"/>
    </row>
    <row r="145" spans="1:15" customFormat="1" x14ac:dyDescent="0.2">
      <c r="A145" s="1"/>
      <c r="B145" s="19" t="s">
        <v>36</v>
      </c>
      <c r="C145" s="5"/>
      <c r="D145" s="5"/>
      <c r="E145" s="5"/>
      <c r="F145" s="5"/>
      <c r="G145" s="5"/>
      <c r="H145" s="5"/>
      <c r="I145" s="5"/>
      <c r="J145" s="5"/>
      <c r="K145" s="5"/>
      <c r="L145" s="116"/>
      <c r="M145" s="1"/>
    </row>
    <row r="146" spans="1:15" customFormat="1" x14ac:dyDescent="0.2">
      <c r="A146" s="1"/>
      <c r="B146" s="117" t="s">
        <v>37</v>
      </c>
      <c r="C146" s="118"/>
      <c r="D146" s="118"/>
      <c r="E146" s="118"/>
      <c r="F146" s="118"/>
      <c r="G146" s="118"/>
      <c r="H146" s="118"/>
      <c r="I146" s="118"/>
      <c r="J146" s="118"/>
      <c r="K146" s="118"/>
      <c r="L146" s="119"/>
      <c r="M146" s="1"/>
    </row>
    <row r="147" spans="1:15" customForma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5" customForma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5" customFormat="1" ht="21" x14ac:dyDescent="0.25">
      <c r="A149" s="1"/>
      <c r="B149" s="347"/>
      <c r="C149" s="347"/>
      <c r="D149" s="348" t="s">
        <v>6</v>
      </c>
      <c r="E149" s="348"/>
      <c r="F149" s="348"/>
      <c r="G149" s="348"/>
      <c r="H149" s="348"/>
      <c r="I149" s="348"/>
      <c r="J149" s="348"/>
      <c r="K149" s="347"/>
      <c r="L149" s="347"/>
      <c r="M149" s="347"/>
    </row>
    <row r="150" spans="1:15" customFormat="1" ht="16" x14ac:dyDescent="0.2">
      <c r="A150" s="1"/>
      <c r="B150" s="347"/>
      <c r="C150" s="347"/>
      <c r="D150" s="349" t="s">
        <v>7</v>
      </c>
      <c r="E150" s="349"/>
      <c r="F150" s="349"/>
      <c r="G150" s="349"/>
      <c r="H150" s="349"/>
      <c r="I150" s="349"/>
      <c r="J150" s="349"/>
      <c r="K150" s="347"/>
      <c r="L150" s="347"/>
      <c r="M150" s="347"/>
    </row>
    <row r="151" spans="1:15" customFormat="1" x14ac:dyDescent="0.2">
      <c r="A151" s="1"/>
      <c r="B151" s="347"/>
      <c r="C151" s="347"/>
      <c r="D151" s="334" t="s">
        <v>8</v>
      </c>
      <c r="E151" s="334"/>
      <c r="F151" s="334"/>
      <c r="G151" s="334"/>
      <c r="H151" s="334"/>
      <c r="I151" s="334"/>
      <c r="J151" s="334"/>
      <c r="K151" s="347"/>
      <c r="L151" s="347"/>
      <c r="M151" s="347"/>
    </row>
    <row r="152" spans="1:15" customFormat="1" x14ac:dyDescent="0.2">
      <c r="A152" s="1"/>
      <c r="B152" s="1"/>
      <c r="C152" s="1"/>
      <c r="D152" s="334" t="s">
        <v>9</v>
      </c>
      <c r="E152" s="334"/>
      <c r="F152" s="334"/>
      <c r="G152" s="334"/>
      <c r="H152" s="334"/>
      <c r="I152" s="334"/>
      <c r="J152" s="334"/>
      <c r="K152" s="1"/>
      <c r="L152" s="1"/>
      <c r="M152" s="1"/>
    </row>
    <row r="153" spans="1:15" customFormat="1" x14ac:dyDescent="0.2">
      <c r="A153" s="1"/>
      <c r="B153" s="1"/>
      <c r="C153" s="1"/>
      <c r="D153" s="334" t="s">
        <v>10</v>
      </c>
      <c r="E153" s="334"/>
      <c r="F153" s="334"/>
      <c r="G153" s="334"/>
      <c r="H153" s="334"/>
      <c r="I153" s="334"/>
      <c r="J153" s="334"/>
      <c r="K153" s="1"/>
      <c r="L153" s="1"/>
      <c r="M153" s="1"/>
    </row>
    <row r="154" spans="1:15" customFormat="1" x14ac:dyDescent="0.2">
      <c r="A154" s="1"/>
      <c r="B154" s="1"/>
      <c r="C154" s="1"/>
      <c r="D154" s="346" t="s">
        <v>11</v>
      </c>
      <c r="E154" s="334"/>
      <c r="F154" s="334"/>
      <c r="G154" s="334"/>
      <c r="H154" s="334"/>
      <c r="I154" s="334"/>
      <c r="J154" s="334"/>
      <c r="K154" s="1"/>
      <c r="L154" s="1"/>
      <c r="M154" s="1"/>
    </row>
    <row r="155" spans="1:15" customFormat="1" ht="19" x14ac:dyDescent="0.25">
      <c r="A155" s="1"/>
      <c r="B155" s="2"/>
      <c r="C155" s="312" t="s">
        <v>12</v>
      </c>
      <c r="D155" s="312"/>
      <c r="E155" s="312"/>
      <c r="F155" s="312"/>
      <c r="G155" s="312"/>
      <c r="H155" s="312"/>
      <c r="I155" s="312"/>
      <c r="J155" s="312"/>
      <c r="K155" s="312"/>
      <c r="L155" s="8"/>
      <c r="M155" s="1"/>
    </row>
    <row r="156" spans="1:15" customForma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5" customFormat="1" x14ac:dyDescent="0.2">
      <c r="A157" s="3"/>
      <c r="B157" s="3" t="s">
        <v>0</v>
      </c>
      <c r="C157" s="334" t="s">
        <v>183</v>
      </c>
      <c r="D157" s="334"/>
      <c r="E157" s="334"/>
      <c r="F157" s="3" t="s">
        <v>1</v>
      </c>
      <c r="G157" s="335">
        <f ca="1">OFFSET(Cadastro!B$1,MATCH(LAUDO!C157,Cadastro!B$2:B$1048576,0),4,COUNTIF(Cadastro!B$2:B$1048576,LAUDO!C157))</f>
        <v>45866</v>
      </c>
      <c r="H157" s="335"/>
      <c r="I157" s="335"/>
      <c r="J157" s="3" t="s">
        <v>2</v>
      </c>
      <c r="K157" s="335">
        <f ca="1">OFFSET(Cadastro!B$1,MATCH(LAUDO!C157,Cadastro!B$2:B$1048576,0),5,COUNTIF(Cadastro!B$2:B$1048576,LAUDO!C157))</f>
        <v>45890</v>
      </c>
      <c r="L157" s="335"/>
      <c r="M157" s="3"/>
      <c r="O157" t="s">
        <v>207</v>
      </c>
    </row>
    <row r="158" spans="1:15" customFormat="1" x14ac:dyDescent="0.2">
      <c r="A158" s="3"/>
      <c r="B158" s="3" t="s">
        <v>13</v>
      </c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"/>
    </row>
    <row r="159" spans="1:15" customFormat="1" x14ac:dyDescent="0.2">
      <c r="A159" s="1"/>
      <c r="B159" s="4" t="s">
        <v>160</v>
      </c>
      <c r="C159" s="344" t="s">
        <v>190</v>
      </c>
      <c r="D159" s="344"/>
      <c r="E159" s="344"/>
      <c r="F159" s="344"/>
      <c r="G159" s="4" t="s">
        <v>109</v>
      </c>
      <c r="H159" s="345" t="s">
        <v>195</v>
      </c>
      <c r="I159" s="345"/>
      <c r="J159" s="345"/>
      <c r="K159" s="345"/>
      <c r="L159" s="345"/>
      <c r="M159" s="1"/>
    </row>
    <row r="160" spans="1:15" customFormat="1" x14ac:dyDescent="0.2">
      <c r="A160" s="26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customFormat="1" ht="19" x14ac:dyDescent="0.25">
      <c r="A161" s="1"/>
      <c r="B161" s="317" t="s">
        <v>3</v>
      </c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</row>
    <row r="162" spans="1:13" customFormat="1" x14ac:dyDescent="0.2">
      <c r="A162" s="5"/>
      <c r="B162" s="328" t="s">
        <v>4</v>
      </c>
      <c r="C162" s="330" t="s">
        <v>127</v>
      </c>
      <c r="D162" s="330"/>
      <c r="E162" s="110" t="s">
        <v>14</v>
      </c>
      <c r="F162" s="120" t="s">
        <v>14</v>
      </c>
      <c r="G162" s="110" t="s">
        <v>14</v>
      </c>
      <c r="H162" s="121" t="s">
        <v>131</v>
      </c>
      <c r="I162" s="121" t="s">
        <v>125</v>
      </c>
      <c r="J162" s="110" t="s">
        <v>15</v>
      </c>
      <c r="K162" s="120" t="s">
        <v>16</v>
      </c>
      <c r="L162" s="120" t="s">
        <v>17</v>
      </c>
      <c r="M162" s="5"/>
    </row>
    <row r="163" spans="1:13" customFormat="1" x14ac:dyDescent="0.2">
      <c r="A163" s="1"/>
      <c r="B163" s="329"/>
      <c r="C163" s="331"/>
      <c r="D163" s="331"/>
      <c r="E163" s="147" t="s">
        <v>18</v>
      </c>
      <c r="F163" s="147" t="s">
        <v>19</v>
      </c>
      <c r="G163" s="147" t="s">
        <v>134</v>
      </c>
      <c r="H163" s="332" t="s">
        <v>144</v>
      </c>
      <c r="I163" s="333"/>
      <c r="J163" s="333"/>
      <c r="K163" s="333"/>
      <c r="L163" s="174" t="s">
        <v>135</v>
      </c>
      <c r="M163" s="1"/>
    </row>
    <row r="164" spans="1:13" customFormat="1" x14ac:dyDescent="0.2">
      <c r="A164" s="1"/>
      <c r="B164" s="253" t="s">
        <v>182</v>
      </c>
      <c r="C164" s="341" t="str">
        <f ca="1">OFFSET('Planilha mestra'!A$2,MATCH(LAUDO!B164,'Planilha mestra'!A$3:A$1048576,0),1,COUNTIF('Planilha mestra'!A$3:A$1048576,LAUDO!B164))</f>
        <v>Área 1 0-20</v>
      </c>
      <c r="D164" s="341"/>
      <c r="E164" s="254">
        <f ca="1">OFFSET('Planilha mestra'!A$2,MATCH(LAUDO!B164,'Planilha mestra'!A$3:A$1048576,0),2,COUNTIF('Planilha mestra'!A$3:A$1048576,LAUDO!B164))</f>
        <v>6.7731227390180866</v>
      </c>
      <c r="F164" s="255" t="str">
        <f ca="1">OFFSET('Planilha mestra'!A$2,MATCH(LAUDO!B164,'Planilha mestra'!A$3:A$1048576,0),3,COUNTIF('Planilha mestra'!A$3:A$1048576,LAUDO!B164))</f>
        <v>*</v>
      </c>
      <c r="G164" s="255" t="str">
        <f ca="1">OFFSET('Planilha mestra'!A$2,MATCH(LAUDO!B164,'Planilha mestra'!A$3:A$1048576,0),4,COUNTIF('Planilha mestra'!A$3:A$1048576,LAUDO!B164))</f>
        <v>*</v>
      </c>
      <c r="H164" s="255">
        <f ca="1">OFFSET('Planilha mestra'!A$2,MATCH(LAUDO!B164,'Planilha mestra'!A$3:A$1048576,0),5,COUNTIF('Planilha mestra'!A$3:A$1048576,LAUDO!B164))</f>
        <v>4.422754173340909</v>
      </c>
      <c r="I164" s="255" t="s">
        <v>107</v>
      </c>
      <c r="J164" s="254">
        <f ca="1">OFFSET('Planilha mestra'!A$2,MATCH(LAUDO!B164,'Planilha mestra'!A$3:A$1048576,0),7,COUNTIF('Planilha mestra'!A$3:A$1048576,LAUDO!B164))</f>
        <v>102.64400377714826</v>
      </c>
      <c r="K164" s="255" t="str">
        <f ca="1">OFFSET('Planilha mestra'!A$2,MATCH(LAUDO!B164,'Planilha mestra'!A$3:A$1048576,0),8,COUNTIF('Planilha mestra'!A$3:A$1048576,LAUDO!B164))</f>
        <v>*</v>
      </c>
      <c r="L164" s="255">
        <f ca="1">OFFSET('Planilha mestra'!A$2,MATCH(LAUDO!B164,'Planilha mestra'!A$3:A$1048576,0),9,COUNTIF('Planilha mestra'!A$3:A$1048576,LAUDO!B164))</f>
        <v>4.6280212189116048</v>
      </c>
      <c r="M164" s="1"/>
    </row>
    <row r="165" spans="1:13" customFormat="1" x14ac:dyDescent="0.2">
      <c r="A165" s="1"/>
      <c r="B165" s="247" t="s">
        <v>185</v>
      </c>
      <c r="C165" s="342" t="str">
        <f ca="1">OFFSET('Planilha mestra'!A$2,MATCH(LAUDO!B165,'Planilha mestra'!A$3:A$1048576,0),1,COUNTIF('Planilha mestra'!A$3:A$1048576,LAUDO!B165))</f>
        <v>Área 1 20-40</v>
      </c>
      <c r="D165" s="342"/>
      <c r="E165" s="248">
        <f ca="1">OFFSET('Planilha mestra'!A$2,MATCH(LAUDO!B165,'Planilha mestra'!A$3:A$1048576,0),2,COUNTIF('Planilha mestra'!A$3:A$1048576,LAUDO!B165))</f>
        <v>6.1023320413436686</v>
      </c>
      <c r="F165" s="249" t="s">
        <v>107</v>
      </c>
      <c r="G165" s="249" t="s">
        <v>107</v>
      </c>
      <c r="H165" s="249">
        <f ca="1">OFFSET('Planilha mestra'!A$2,MATCH(LAUDO!B165,'Planilha mestra'!A$3:A$1048576,0),5,COUNTIF('Planilha mestra'!A$3:A$1048576,LAUDO!B165))</f>
        <v>1.8869987499841465</v>
      </c>
      <c r="I165" s="249" t="s">
        <v>107</v>
      </c>
      <c r="J165" s="248">
        <f ca="1">OFFSET('Planilha mestra'!A$2,MATCH(LAUDO!B165,'Planilha mestra'!A$3:A$1048576,0),7,COUNTIF('Planilha mestra'!A$3:A$1048576,LAUDO!B165))</f>
        <v>92.728989612842327</v>
      </c>
      <c r="K165" s="249" t="s">
        <v>107</v>
      </c>
      <c r="L165" s="249">
        <f ca="1">OFFSET('Planilha mestra'!A$2,MATCH(LAUDO!B165,'Planilha mestra'!A$3:A$1048576,0),9,COUNTIF('Planilha mestra'!A$3:A$1048576,LAUDO!B165))</f>
        <v>2.6739039496028241</v>
      </c>
      <c r="M165" s="1"/>
    </row>
    <row r="166" spans="1:13" customFormat="1" x14ac:dyDescent="0.2">
      <c r="A166" s="1"/>
      <c r="B166" s="247" t="s">
        <v>187</v>
      </c>
      <c r="C166" s="342" t="str">
        <f ca="1">OFFSET('Planilha mestra'!A$2,MATCH(LAUDO!B166,'Planilha mestra'!A$3:A$1048576,0),1,COUNTIF('Planilha mestra'!A$3:A$1048576,LAUDO!B166))</f>
        <v>Área Nova 0-20</v>
      </c>
      <c r="D166" s="342"/>
      <c r="E166" s="248">
        <f ca="1">OFFSET('Planilha mestra'!A$2,MATCH(LAUDO!B166,'Planilha mestra'!A$3:A$1048576,0),2,COUNTIF('Planilha mestra'!A$3:A$1048576,LAUDO!B166))</f>
        <v>6.689273901808785</v>
      </c>
      <c r="F166" s="249" t="s">
        <v>107</v>
      </c>
      <c r="G166" s="249" t="s">
        <v>107</v>
      </c>
      <c r="H166" s="249">
        <f ca="1">OFFSET('Planilha mestra'!A$2,MATCH(LAUDO!B166,'Planilha mestra'!A$3:A$1048576,0),5,COUNTIF('Planilha mestra'!A$3:A$1048576,LAUDO!B166))</f>
        <v>7.655093993578661</v>
      </c>
      <c r="I166" s="249" t="s">
        <v>107</v>
      </c>
      <c r="J166" s="248">
        <f ca="1">OFFSET('Planilha mestra'!A$2,MATCH(LAUDO!B166,'Planilha mestra'!A$3:A$1048576,0),7,COUNTIF('Planilha mestra'!A$3:A$1048576,LAUDO!B166))</f>
        <v>66.949952785646843</v>
      </c>
      <c r="K166" s="249" t="s">
        <v>107</v>
      </c>
      <c r="L166" s="249">
        <f ca="1">OFFSET('Planilha mestra'!A$2,MATCH(LAUDO!B166,'Planilha mestra'!A$3:A$1048576,0),9,COUNTIF('Planilha mestra'!A$3:A$1048576,LAUDO!B166))</f>
        <v>10.456025705092403</v>
      </c>
      <c r="M166" s="1"/>
    </row>
    <row r="167" spans="1:13" customFormat="1" x14ac:dyDescent="0.2">
      <c r="A167" s="1"/>
      <c r="B167" s="247" t="s">
        <v>189</v>
      </c>
      <c r="C167" s="342" t="str">
        <f ca="1">OFFSET('Planilha mestra'!A$2,MATCH(LAUDO!B167,'Planilha mestra'!A$3:A$1048576,0),1,COUNTIF('Planilha mestra'!A$3:A$1048576,LAUDO!B167))</f>
        <v>Área Nova 20-40</v>
      </c>
      <c r="D167" s="342"/>
      <c r="E167" s="248">
        <f ca="1">OFFSET('Planilha mestra'!A$2,MATCH(LAUDO!B167,'Planilha mestra'!A$3:A$1048576,0),2,COUNTIF('Planilha mestra'!A$3:A$1048576,LAUDO!B167))</f>
        <v>6.7265400516795859</v>
      </c>
      <c r="F167" s="249" t="s">
        <v>107</v>
      </c>
      <c r="G167" s="249" t="s">
        <v>107</v>
      </c>
      <c r="H167" s="249">
        <f ca="1">OFFSET('Planilha mestra'!A$2,MATCH(LAUDO!B167,'Planilha mestra'!A$3:A$1048576,0),5,COUNTIF('Planilha mestra'!A$3:A$1048576,LAUDO!B167))</f>
        <v>7.2031756088951902</v>
      </c>
      <c r="I167" s="249" t="s">
        <v>107</v>
      </c>
      <c r="J167" s="248">
        <f ca="1">OFFSET('Planilha mestra'!A$2,MATCH(LAUDO!B167,'Planilha mestra'!A$3:A$1048576,0),7,COUNTIF('Planilha mestra'!A$3:A$1048576,LAUDO!B167))</f>
        <v>57.034938621340892</v>
      </c>
      <c r="K167" s="249" t="s">
        <v>107</v>
      </c>
      <c r="L167" s="249">
        <f ca="1">OFFSET('Planilha mestra'!A$2,MATCH(LAUDO!B167,'Planilha mestra'!A$3:A$1048576,0),9,COUNTIF('Planilha mestra'!A$3:A$1048576,LAUDO!B167))</f>
        <v>8.8662353842988182</v>
      </c>
      <c r="M167" s="1"/>
    </row>
    <row r="168" spans="1:13" customFormat="1" x14ac:dyDescent="0.2">
      <c r="A168" s="1"/>
      <c r="B168" s="247" t="s">
        <v>107</v>
      </c>
      <c r="C168" s="342" t="s">
        <v>107</v>
      </c>
      <c r="D168" s="342"/>
      <c r="E168" s="248" t="s">
        <v>107</v>
      </c>
      <c r="F168" s="249" t="s">
        <v>107</v>
      </c>
      <c r="G168" s="249" t="s">
        <v>107</v>
      </c>
      <c r="H168" s="249" t="s">
        <v>107</v>
      </c>
      <c r="I168" s="249" t="s">
        <v>107</v>
      </c>
      <c r="J168" s="248" t="s">
        <v>107</v>
      </c>
      <c r="K168" s="249" t="s">
        <v>107</v>
      </c>
      <c r="L168" s="249" t="s">
        <v>107</v>
      </c>
      <c r="M168" s="1"/>
    </row>
    <row r="169" spans="1:13" customFormat="1" x14ac:dyDescent="0.2">
      <c r="A169" s="1"/>
      <c r="B169" s="256" t="s">
        <v>107</v>
      </c>
      <c r="C169" s="343" t="s">
        <v>107</v>
      </c>
      <c r="D169" s="343"/>
      <c r="E169" s="257" t="s">
        <v>107</v>
      </c>
      <c r="F169" s="260" t="s">
        <v>107</v>
      </c>
      <c r="G169" s="260" t="s">
        <v>107</v>
      </c>
      <c r="H169" s="260" t="s">
        <v>107</v>
      </c>
      <c r="I169" s="260" t="s">
        <v>107</v>
      </c>
      <c r="J169" s="257" t="s">
        <v>107</v>
      </c>
      <c r="K169" s="260" t="s">
        <v>107</v>
      </c>
      <c r="L169" s="260" t="s">
        <v>107</v>
      </c>
      <c r="M169" s="1"/>
    </row>
    <row r="170" spans="1:13" customForma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customFormat="1" x14ac:dyDescent="0.2">
      <c r="A171" s="1"/>
      <c r="B171" s="328" t="s">
        <v>4</v>
      </c>
      <c r="C171" s="109" t="s">
        <v>136</v>
      </c>
      <c r="D171" s="109" t="s">
        <v>137</v>
      </c>
      <c r="E171" s="110" t="s">
        <v>22</v>
      </c>
      <c r="F171" s="110" t="s">
        <v>23</v>
      </c>
      <c r="G171" s="110" t="s">
        <v>24</v>
      </c>
      <c r="H171" s="110" t="s">
        <v>25</v>
      </c>
      <c r="I171" s="110" t="s">
        <v>146</v>
      </c>
      <c r="J171" s="110" t="s">
        <v>26</v>
      </c>
      <c r="K171" s="110" t="s">
        <v>27</v>
      </c>
      <c r="L171" s="110" t="s">
        <v>28</v>
      </c>
      <c r="M171" s="1"/>
    </row>
    <row r="172" spans="1:13" customFormat="1" x14ac:dyDescent="0.2">
      <c r="A172" s="1"/>
      <c r="B172" s="329"/>
      <c r="C172" s="338" t="s">
        <v>142</v>
      </c>
      <c r="D172" s="339"/>
      <c r="E172" s="339"/>
      <c r="F172" s="339"/>
      <c r="G172" s="339"/>
      <c r="H172" s="340"/>
      <c r="I172" s="146" t="s">
        <v>115</v>
      </c>
      <c r="J172" s="337" t="s">
        <v>143</v>
      </c>
      <c r="K172" s="337"/>
      <c r="L172" s="146" t="s">
        <v>29</v>
      </c>
      <c r="M172" s="1"/>
    </row>
    <row r="173" spans="1:13" customFormat="1" x14ac:dyDescent="0.2">
      <c r="A173" s="1"/>
      <c r="B173" s="253" t="s">
        <v>182</v>
      </c>
      <c r="C173" s="255">
        <f ca="1">OFFSET('Planilha mestra'!A$2,MATCH(LAUDO!B173,'Planilha mestra'!A$3:A$1048576,0),10,COUNTIF('Planilha mestra'!A$3:A$1048576,LAUDO!B173))</f>
        <v>0.74546079369559826</v>
      </c>
      <c r="D173" s="255">
        <f ca="1">OFFSET('Planilha mestra'!A$2,MATCH(LAUDO!B173,'Planilha mestra'!A$3:A$1048576,0),11,COUNTIF('Planilha mestra'!A$3:A$1048576,LAUDO!B173))</f>
        <v>0</v>
      </c>
      <c r="E173" s="255">
        <f ca="1">OFFSET('Planilha mestra'!A$2,MATCH(LAUDO!B173,'Planilha mestra'!A$3:A$1048576,0),12,COUNTIF('Planilha mestra'!A$3:A$1048576,LAUDO!B173))</f>
        <v>0.58577387685420057</v>
      </c>
      <c r="F173" s="255">
        <f ca="1">OFFSET('Planilha mestra'!A$2,MATCH(LAUDO!B173,'Planilha mestra'!A$3:A$1048576,0),13,COUNTIF('Planilha mestra'!A$3:A$1048576,LAUDO!B173))</f>
        <v>5.6366717658819425</v>
      </c>
      <c r="G173" s="255">
        <f ca="1">OFFSET('Planilha mestra'!A$2,MATCH(LAUDO!B173,'Planilha mestra'!A$3:A$1048576,0),14,COUNTIF('Planilha mestra'!A$3:A$1048576,LAUDO!B173))</f>
        <v>5.6366717658819425</v>
      </c>
      <c r="H173" s="255">
        <f ca="1">OFFSET('Planilha mestra'!A$2,MATCH(LAUDO!B173,'Planilha mestra'!A$3:A$1048576,0),15,COUNTIF('Planilha mestra'!A$3:A$1048576,LAUDO!B173))</f>
        <v>6.222445642736143</v>
      </c>
      <c r="I173" s="255">
        <f ca="1">OFFSET('Planilha mestra'!A$2,MATCH(LAUDO!B173,'Planilha mestra'!A$3:A$1048576,0),29,COUNTIF('Planilha mestra'!A$3:A$1048576,LAUDO!B173))</f>
        <v>0.55910840027672049</v>
      </c>
      <c r="J173" s="255">
        <f ca="1">OFFSET('Planilha mestra'!A$2,MATCH(LAUDO!B173,'Planilha mestra'!A$3:A$1048576,0),16,COUNTIF('Planilha mestra'!A$3:A$1048576,LAUDO!B173))</f>
        <v>90.586115002257799</v>
      </c>
      <c r="K173" s="255">
        <f ca="1">OFFSET('Planilha mestra'!A$2,MATCH(LAUDO!B173,'Planilha mestra'!A$3:A$1048576,0),17,COUNTIF('Planilha mestra'!A$3:A$1048576,LAUDO!B173))</f>
        <v>0</v>
      </c>
      <c r="L173" s="255" t="s">
        <v>107</v>
      </c>
      <c r="M173" s="1"/>
    </row>
    <row r="174" spans="1:13" customFormat="1" x14ac:dyDescent="0.2">
      <c r="A174" s="1"/>
      <c r="B174" s="247" t="s">
        <v>185</v>
      </c>
      <c r="C174" s="249">
        <f ca="1">OFFSET('Planilha mestra'!A$2,MATCH(LAUDO!B174,'Planilha mestra'!A$3:A$1048576,0),10,COUNTIF('Planilha mestra'!A$3:A$1048576,LAUDO!B174))</f>
        <v>0.59295390341909215</v>
      </c>
      <c r="D174" s="249">
        <f ca="1">OFFSET('Planilha mestra'!A$2,MATCH(LAUDO!B174,'Planilha mestra'!A$3:A$1048576,0),11,COUNTIF('Planilha mestra'!A$3:A$1048576,LAUDO!B174))</f>
        <v>0</v>
      </c>
      <c r="E174" s="249">
        <f ca="1">OFFSET('Planilha mestra'!A$2,MATCH(LAUDO!B174,'Planilha mestra'!A$3:A$1048576,0),12,COUNTIF('Planilha mestra'!A$3:A$1048576,LAUDO!B174))</f>
        <v>0.88458587437330238</v>
      </c>
      <c r="F174" s="249">
        <f ca="1">OFFSET('Planilha mestra'!A$2,MATCH(LAUDO!B174,'Planilha mestra'!A$3:A$1048576,0),13,COUNTIF('Planilha mestra'!A$3:A$1048576,LAUDO!B174))</f>
        <v>3.5046244930548451</v>
      </c>
      <c r="G174" s="249">
        <f ca="1">OFFSET('Planilha mestra'!A$2,MATCH(LAUDO!B174,'Planilha mestra'!A$3:A$1048576,0),14,COUNTIF('Planilha mestra'!A$3:A$1048576,LAUDO!B174))</f>
        <v>3.5046244930548451</v>
      </c>
      <c r="H174" s="249">
        <f ca="1">OFFSET('Planilha mestra'!A$2,MATCH(LAUDO!B174,'Planilha mestra'!A$3:A$1048576,0),15,COUNTIF('Planilha mestra'!A$3:A$1048576,LAUDO!B174))</f>
        <v>4.3892103674281477</v>
      </c>
      <c r="I174" s="249">
        <f ca="1">OFFSET('Planilha mestra'!A$2,MATCH(LAUDO!B174,'Planilha mestra'!A$3:A$1048576,0),29,COUNTIF('Planilha mestra'!A$3:A$1048576,LAUDO!B174))</f>
        <v>0.23904769894619515</v>
      </c>
      <c r="J174" s="249">
        <f ca="1">OFFSET('Planilha mestra'!A$2,MATCH(LAUDO!B174,'Planilha mestra'!A$3:A$1048576,0),16,COUNTIF('Planilha mestra'!A$3:A$1048576,LAUDO!B174))</f>
        <v>79.846355031471759</v>
      </c>
      <c r="K174" s="249">
        <f ca="1">OFFSET('Planilha mestra'!A$2,MATCH(LAUDO!B174,'Planilha mestra'!A$3:A$1048576,0),17,COUNTIF('Planilha mestra'!A$3:A$1048576,LAUDO!B174))</f>
        <v>0</v>
      </c>
      <c r="L174" s="249" t="s">
        <v>107</v>
      </c>
      <c r="M174" s="1"/>
    </row>
    <row r="175" spans="1:13" customFormat="1" x14ac:dyDescent="0.2">
      <c r="A175" s="1"/>
      <c r="B175" s="247" t="s">
        <v>187</v>
      </c>
      <c r="C175" s="249">
        <f ca="1">OFFSET('Planilha mestra'!A$2,MATCH(LAUDO!B175,'Planilha mestra'!A$3:A$1048576,0),10,COUNTIF('Planilha mestra'!A$3:A$1048576,LAUDO!B175))</f>
        <v>2.0557750958672107</v>
      </c>
      <c r="D175" s="249">
        <f ca="1">OFFSET('Planilha mestra'!A$2,MATCH(LAUDO!B175,'Planilha mestra'!A$3:A$1048576,0),11,COUNTIF('Planilha mestra'!A$3:A$1048576,LAUDO!B175))</f>
        <v>0</v>
      </c>
      <c r="E175" s="249">
        <f ca="1">OFFSET('Planilha mestra'!A$2,MATCH(LAUDO!B175,'Planilha mestra'!A$3:A$1048576,0),12,COUNTIF('Planilha mestra'!A$3:A$1048576,LAUDO!B175))</f>
        <v>1.183313992474462</v>
      </c>
      <c r="F175" s="249">
        <f ca="1">OFFSET('Planilha mestra'!A$2,MATCH(LAUDO!B175,'Planilha mestra'!A$3:A$1048576,0),13,COUNTIF('Planilha mestra'!A$3:A$1048576,LAUDO!B175))</f>
        <v>12.683467346563837</v>
      </c>
      <c r="G175" s="249">
        <f ca="1">OFFSET('Planilha mestra'!A$2,MATCH(LAUDO!B175,'Planilha mestra'!A$3:A$1048576,0),14,COUNTIF('Planilha mestra'!A$3:A$1048576,LAUDO!B175))</f>
        <v>12.683467346563837</v>
      </c>
      <c r="H175" s="249">
        <f ca="1">OFFSET('Planilha mestra'!A$2,MATCH(LAUDO!B175,'Planilha mestra'!A$3:A$1048576,0),15,COUNTIF('Planilha mestra'!A$3:A$1048576,LAUDO!B175))</f>
        <v>13.866781339038299</v>
      </c>
      <c r="I175" s="249">
        <f ca="1">OFFSET('Planilha mestra'!A$2,MATCH(LAUDO!B175,'Planilha mestra'!A$3:A$1048576,0),29,COUNTIF('Planilha mestra'!A$3:A$1048576,LAUDO!B175))</f>
        <v>1.6650662047312161</v>
      </c>
      <c r="J175" s="249">
        <f ca="1">OFFSET('Planilha mestra'!A$2,MATCH(LAUDO!B175,'Planilha mestra'!A$3:A$1048576,0),16,COUNTIF('Planilha mestra'!A$3:A$1048576,LAUDO!B175))</f>
        <v>91.466556199720614</v>
      </c>
      <c r="K175" s="249">
        <f ca="1">OFFSET('Planilha mestra'!A$2,MATCH(LAUDO!B175,'Planilha mestra'!A$3:A$1048576,0),17,COUNTIF('Planilha mestra'!A$3:A$1048576,LAUDO!B175))</f>
        <v>0</v>
      </c>
      <c r="L175" s="251" t="s">
        <v>107</v>
      </c>
      <c r="M175" s="1"/>
    </row>
    <row r="176" spans="1:13" customFormat="1" x14ac:dyDescent="0.2">
      <c r="A176" s="1"/>
      <c r="B176" s="247" t="s">
        <v>189</v>
      </c>
      <c r="C176" s="249">
        <f ca="1">OFFSET('Planilha mestra'!A$2,MATCH(LAUDO!B176,'Planilha mestra'!A$3:A$1048576,0),10,COUNTIF('Planilha mestra'!A$3:A$1048576,LAUDO!B176))</f>
        <v>1.7305308094611933</v>
      </c>
      <c r="D176" s="249">
        <f ca="1">OFFSET('Planilha mestra'!A$2,MATCH(LAUDO!B176,'Planilha mestra'!A$3:A$1048576,0),11,COUNTIF('Planilha mestra'!A$3:A$1048576,LAUDO!B176))</f>
        <v>0</v>
      </c>
      <c r="E176" s="249">
        <f ca="1">OFFSET('Planilha mestra'!A$2,MATCH(LAUDO!B176,'Planilha mestra'!A$3:A$1048576,0),12,COUNTIF('Planilha mestra'!A$3:A$1048576,LAUDO!B176))</f>
        <v>1.2725943771171231</v>
      </c>
      <c r="F176" s="249">
        <f ca="1">OFFSET('Planilha mestra'!A$2,MATCH(LAUDO!B176,'Planilha mestra'!A$3:A$1048576,0),13,COUNTIF('Planilha mestra'!A$3:A$1048576,LAUDO!B176))</f>
        <v>10.743009626122424</v>
      </c>
      <c r="G176" s="249">
        <f ca="1">OFFSET('Planilha mestra'!A$2,MATCH(LAUDO!B176,'Planilha mestra'!A$3:A$1048576,0),14,COUNTIF('Planilha mestra'!A$3:A$1048576,LAUDO!B176))</f>
        <v>10.743009626122424</v>
      </c>
      <c r="H176" s="249">
        <f ca="1">OFFSET('Planilha mestra'!A$2,MATCH(LAUDO!B176,'Planilha mestra'!A$3:A$1048576,0),15,COUNTIF('Planilha mestra'!A$3:A$1048576,LAUDO!B176))</f>
        <v>12.015604003239547</v>
      </c>
      <c r="I176" s="249">
        <f ca="1">OFFSET('Planilha mestra'!A$2,MATCH(LAUDO!B176,'Planilha mestra'!A$3:A$1048576,0),29,COUNTIF('Planilha mestra'!A$3:A$1048576,LAUDO!B176))</f>
        <v>1.20799933555813</v>
      </c>
      <c r="J176" s="249">
        <f ca="1">OFFSET('Planilha mestra'!A$2,MATCH(LAUDO!B176,'Planilha mestra'!A$3:A$1048576,0),16,COUNTIF('Planilha mestra'!A$3:A$1048576,LAUDO!B176))</f>
        <v>89.408818926006404</v>
      </c>
      <c r="K176" s="249">
        <f ca="1">OFFSET('Planilha mestra'!A$2,MATCH(LAUDO!B176,'Planilha mestra'!A$3:A$1048576,0),17,COUNTIF('Planilha mestra'!A$3:A$1048576,LAUDO!B176))</f>
        <v>0</v>
      </c>
      <c r="L176" s="251" t="s">
        <v>107</v>
      </c>
      <c r="M176" s="1"/>
    </row>
    <row r="177" spans="1:13" customFormat="1" x14ac:dyDescent="0.2">
      <c r="A177" s="1"/>
      <c r="B177" s="247" t="s">
        <v>107</v>
      </c>
      <c r="C177" s="251" t="s">
        <v>107</v>
      </c>
      <c r="D177" s="251" t="s">
        <v>107</v>
      </c>
      <c r="E177" s="251" t="s">
        <v>107</v>
      </c>
      <c r="F177" s="251" t="s">
        <v>107</v>
      </c>
      <c r="G177" s="251" t="s">
        <v>107</v>
      </c>
      <c r="H177" s="251" t="s">
        <v>107</v>
      </c>
      <c r="I177" s="251" t="s">
        <v>107</v>
      </c>
      <c r="J177" s="251" t="s">
        <v>107</v>
      </c>
      <c r="K177" s="251" t="s">
        <v>107</v>
      </c>
      <c r="L177" s="251" t="s">
        <v>107</v>
      </c>
      <c r="M177" s="1"/>
    </row>
    <row r="178" spans="1:13" customFormat="1" x14ac:dyDescent="0.2">
      <c r="A178" s="1"/>
      <c r="B178" s="256" t="s">
        <v>107</v>
      </c>
      <c r="C178" s="259" t="s">
        <v>107</v>
      </c>
      <c r="D178" s="259" t="s">
        <v>107</v>
      </c>
      <c r="E178" s="259" t="s">
        <v>107</v>
      </c>
      <c r="F178" s="259" t="s">
        <v>107</v>
      </c>
      <c r="G178" s="259" t="s">
        <v>107</v>
      </c>
      <c r="H178" s="259" t="s">
        <v>107</v>
      </c>
      <c r="I178" s="259" t="s">
        <v>107</v>
      </c>
      <c r="J178" s="259" t="s">
        <v>107</v>
      </c>
      <c r="K178" s="259" t="s">
        <v>107</v>
      </c>
      <c r="L178" s="259" t="s">
        <v>107</v>
      </c>
      <c r="M178" s="1"/>
    </row>
    <row r="179" spans="1:13" customForma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customFormat="1" x14ac:dyDescent="0.2">
      <c r="A180" s="1"/>
      <c r="B180" s="328" t="s">
        <v>4</v>
      </c>
      <c r="C180" s="114" t="s">
        <v>30</v>
      </c>
      <c r="D180" s="114" t="s">
        <v>31</v>
      </c>
      <c r="E180" s="111" t="s">
        <v>35</v>
      </c>
      <c r="F180" s="111" t="s">
        <v>32</v>
      </c>
      <c r="G180" s="111" t="s">
        <v>33</v>
      </c>
      <c r="H180" s="111" t="s">
        <v>34</v>
      </c>
      <c r="I180" s="111" t="s">
        <v>64</v>
      </c>
      <c r="J180" s="111" t="s">
        <v>121</v>
      </c>
      <c r="K180" s="111" t="s">
        <v>123</v>
      </c>
      <c r="L180" s="111" t="s">
        <v>122</v>
      </c>
      <c r="M180" s="1"/>
    </row>
    <row r="181" spans="1:13" customFormat="1" x14ac:dyDescent="0.2">
      <c r="A181" s="1"/>
      <c r="B181" s="329"/>
      <c r="C181" s="337" t="s">
        <v>145</v>
      </c>
      <c r="D181" s="337"/>
      <c r="E181" s="337"/>
      <c r="F181" s="337"/>
      <c r="G181" s="337"/>
      <c r="H181" s="337"/>
      <c r="I181" s="146" t="s">
        <v>115</v>
      </c>
      <c r="J181" s="338"/>
      <c r="K181" s="339"/>
      <c r="L181" s="340"/>
      <c r="M181" s="1"/>
    </row>
    <row r="182" spans="1:13" customFormat="1" x14ac:dyDescent="0.2">
      <c r="A182" s="1"/>
      <c r="B182" s="253" t="s">
        <v>182</v>
      </c>
      <c r="C182" s="258">
        <f ca="1">OFFSET('Planilha mestra'!A$2,MATCH(LAUDO!B182,'Planilha mestra'!A$3:A$1048576,0),19,COUNTIF('Planilha mestra'!A$3:A$1048576,LAUDO!B182))</f>
        <v>0.41390899612210907</v>
      </c>
      <c r="D182" s="255">
        <f ca="1">OFFSET('Planilha mestra'!A$2,MATCH(LAUDO!B182,'Planilha mestra'!A$3:A$1048576,0),20,COUNTIF('Planilha mestra'!A$3:A$1048576,LAUDO!B182))</f>
        <v>6.4190960589569468E-2</v>
      </c>
      <c r="E182" s="255">
        <f ca="1">OFFSET('Planilha mestra'!A$2,MATCH(LAUDO!B182,'Planilha mestra'!A$3:A$1048576,0),21,COUNTIF('Planilha mestra'!A$3:A$1048576,LAUDO!B182))</f>
        <v>1.7176397899289499</v>
      </c>
      <c r="F182" s="255">
        <f ca="1">OFFSET('Planilha mestra'!A$2,MATCH(LAUDO!B182,'Planilha mestra'!A$3:A$1048576,0),22,COUNTIF('Planilha mestra'!A$3:A$1048576,LAUDO!B182))</f>
        <v>0.89717741935483764</v>
      </c>
      <c r="G182" s="255">
        <f ca="1">OFFSET('Planilha mestra'!A$2,MATCH(LAUDO!B182,'Planilha mestra'!A$3:A$1048576,0),23,COUNTIF('Planilha mestra'!A$3:A$1048576,LAUDO!B182))</f>
        <v>139.94608309546462</v>
      </c>
      <c r="H182" s="255">
        <f ca="1">OFFSET('Planilha mestra'!A$2,MATCH(LAUDO!B182,'Planilha mestra'!A$3:A$1048576,0),24,COUNTIF('Planilha mestra'!A$3:A$1048576,LAUDO!B182))</f>
        <v>39.525423728813564</v>
      </c>
      <c r="I182" s="255">
        <f ca="1">OFFSET('Planilha mestra'!A$2,MATCH(LAUDO!B173,'Planilha mestra'!A$3:A$1048576,0),25,COUNTIF('Planilha mestra'!A$3:A$1048576,LAUDO!B173))</f>
        <v>0.96166644847595928</v>
      </c>
      <c r="J182" s="254">
        <f ca="1">OFFSET('Planilha mestra'!A$2,MATCH(LAUDO!B173,'Planilha mestra'!A$3:A$1048576,0),26,COUNTIF('Planilha mestra'!A$3:A$1048576,LAUDO!B173))</f>
        <v>6.2082691109324966</v>
      </c>
      <c r="K182" s="254">
        <f ca="1">OFFSET('Planilha mestra'!A$2,MATCH(LAUDO!B173,'Planilha mestra'!A$3:A$1048576,0),27,COUNTIF('Planilha mestra'!A$3:A$1048576,LAUDO!B173))</f>
        <v>17.584351827255581</v>
      </c>
      <c r="L182" s="254">
        <f ca="1">OFFSET('Planilha mestra'!A$2,MATCH(LAUDO!B173,'Planilha mestra'!A$3:A$1048576,0),28,COUNTIF('Planilha mestra'!A$3:A$1048576,LAUDO!B173))</f>
        <v>2.832408117794103</v>
      </c>
      <c r="M182" s="1"/>
    </row>
    <row r="183" spans="1:13" customFormat="1" x14ac:dyDescent="0.2">
      <c r="A183" s="1"/>
      <c r="B183" s="247" t="s">
        <v>185</v>
      </c>
      <c r="C183" s="251">
        <f ca="1">OFFSET('Planilha mestra'!A$2,MATCH(LAUDO!B183,'Planilha mestra'!A$3:A$1048576,0),19,COUNTIF('Planilha mestra'!A$3:A$1048576,LAUDO!B183))</f>
        <v>0.24809634636673217</v>
      </c>
      <c r="D183" s="249">
        <f ca="1">OFFSET('Planilha mestra'!A$2,MATCH(LAUDO!B183,'Planilha mestra'!A$3:A$1048576,0),20,COUNTIF('Planilha mestra'!A$3:A$1048576,LAUDO!B183))</f>
        <v>6.6230958772856327E-2</v>
      </c>
      <c r="E183" s="249">
        <f ca="1">OFFSET('Planilha mestra'!A$2,MATCH(LAUDO!B183,'Planilha mestra'!A$3:A$1048576,0),21,COUNTIF('Planilha mestra'!A$3:A$1048576,LAUDO!B183))</f>
        <v>1.1615693543404424</v>
      </c>
      <c r="F183" s="249">
        <f ca="1">OFFSET('Planilha mestra'!A$2,MATCH(LAUDO!B183,'Planilha mestra'!A$3:A$1048576,0),22,COUNTIF('Planilha mestra'!A$3:A$1048576,LAUDO!B183))</f>
        <v>0.89717741935483764</v>
      </c>
      <c r="G183" s="249">
        <f ca="1">OFFSET('Planilha mestra'!A$2,MATCH(LAUDO!B183,'Planilha mestra'!A$3:A$1048576,0),23,COUNTIF('Planilha mestra'!A$3:A$1048576,LAUDO!B183))</f>
        <v>87.884554392641903</v>
      </c>
      <c r="H183" s="249">
        <f ca="1">OFFSET('Planilha mestra'!A$2,MATCH(LAUDO!B183,'Planilha mestra'!A$3:A$1048576,0),24,COUNTIF('Planilha mestra'!A$3:A$1048576,LAUDO!B183))</f>
        <v>45.362711864406776</v>
      </c>
      <c r="I183" s="249">
        <f ca="1">OFFSET('Planilha mestra'!A$2,MATCH(LAUDO!B174,'Planilha mestra'!A$3:A$1048576,0),25,COUNTIF('Planilha mestra'!A$3:A$1048576,LAUDO!B174))</f>
        <v>0.41116204218745567</v>
      </c>
      <c r="J183" s="248">
        <f ca="1">OFFSET('Planilha mestra'!A$2,MATCH(LAUDO!B174,'Planilha mestra'!A$3:A$1048576,0),26,COUNTIF('Planilha mestra'!A$3:A$1048576,LAUDO!B174))</f>
        <v>4.5094634408923744</v>
      </c>
      <c r="K183" s="248">
        <f ca="1">OFFSET('Planilha mestra'!A$2,MATCH(LAUDO!B174,'Planilha mestra'!A$3:A$1048576,0),27,COUNTIF('Planilha mestra'!A$3:A$1048576,LAUDO!B174))</f>
        <v>11.245917212071916</v>
      </c>
      <c r="L183" s="248">
        <f ca="1">OFFSET('Planilha mestra'!A$2,MATCH(LAUDO!B174,'Planilha mestra'!A$3:A$1048576,0),28,COUNTIF('Planilha mestra'!A$3:A$1048576,LAUDO!B174))</f>
        <v>2.4938481838199511</v>
      </c>
      <c r="M183" s="1"/>
    </row>
    <row r="184" spans="1:13" customFormat="1" x14ac:dyDescent="0.2">
      <c r="A184" s="1"/>
      <c r="B184" s="247" t="s">
        <v>187</v>
      </c>
      <c r="C184" s="251">
        <f ca="1">OFFSET('Planilha mestra'!A$2,MATCH(LAUDO!B184,'Planilha mestra'!A$3:A$1048576,0),19,COUNTIF('Planilha mestra'!A$3:A$1048576,LAUDO!B184))</f>
        <v>9.2957372621755141</v>
      </c>
      <c r="D184" s="249">
        <f ca="1">OFFSET('Planilha mestra'!A$2,MATCH(LAUDO!B184,'Planilha mestra'!A$3:A$1048576,0),20,COUNTIF('Planilha mestra'!A$3:A$1048576,LAUDO!B184))</f>
        <v>9.5014565711096871E-2</v>
      </c>
      <c r="E184" s="249">
        <f ca="1">OFFSET('Planilha mestra'!A$2,MATCH(LAUDO!B184,'Planilha mestra'!A$3:A$1048576,0),21,COUNTIF('Planilha mestra'!A$3:A$1048576,LAUDO!B184))</f>
        <v>2.1995675007723232</v>
      </c>
      <c r="F184" s="249">
        <f ca="1">OFFSET('Planilha mestra'!A$2,MATCH(LAUDO!B184,'Planilha mestra'!A$3:A$1048576,0),22,COUNTIF('Planilha mestra'!A$3:A$1048576,LAUDO!B184))</f>
        <v>0.75604838709677324</v>
      </c>
      <c r="G184" s="249">
        <f ca="1">OFFSET('Planilha mestra'!A$2,MATCH(LAUDO!B184,'Planilha mestra'!A$3:A$1048576,0),23,COUNTIF('Planilha mestra'!A$3:A$1048576,LAUDO!B184))</f>
        <v>104.0913415794481</v>
      </c>
      <c r="H184" s="249">
        <f ca="1">OFFSET('Planilha mestra'!A$2,MATCH(LAUDO!B184,'Planilha mestra'!A$3:A$1048576,0),24,COUNTIF('Planilha mestra'!A$3:A$1048576,LAUDO!B184))</f>
        <v>55.613559322033886</v>
      </c>
      <c r="I184" s="249">
        <f ca="1">OFFSET('Planilha mestra'!A$2,MATCH(LAUDO!B175,'Planilha mestra'!A$3:A$1048576,0),25,COUNTIF('Planilha mestra'!A$3:A$1048576,LAUDO!B175))</f>
        <v>2.8639138721376916</v>
      </c>
      <c r="J184" s="248">
        <f ca="1">OFFSET('Planilha mestra'!A$2,MATCH(LAUDO!B175,'Planilha mestra'!A$3:A$1048576,0),26,COUNTIF('Planilha mestra'!A$3:A$1048576,LAUDO!B175))</f>
        <v>5.0861719874476927</v>
      </c>
      <c r="K184" s="248">
        <f ca="1">OFFSET('Planilha mestra'!A$2,MATCH(LAUDO!B175,'Planilha mestra'!A$3:A$1048576,0),27,COUNTIF('Planilha mestra'!A$3:A$1048576,LAUDO!B175))</f>
        <v>60.908930556561536</v>
      </c>
      <c r="L184" s="248">
        <f ca="1">OFFSET('Planilha mestra'!A$2,MATCH(LAUDO!B175,'Planilha mestra'!A$3:A$1048576,0),28,COUNTIF('Planilha mestra'!A$3:A$1048576,LAUDO!B175))</f>
        <v>11.975397353231546</v>
      </c>
      <c r="M184" s="1"/>
    </row>
    <row r="185" spans="1:13" customFormat="1" x14ac:dyDescent="0.2">
      <c r="A185" s="1"/>
      <c r="B185" s="247" t="s">
        <v>189</v>
      </c>
      <c r="C185" s="251">
        <f ca="1">OFFSET('Planilha mestra'!A$2,MATCH(LAUDO!B185,'Planilha mestra'!A$3:A$1048576,0),19,COUNTIF('Planilha mestra'!A$3:A$1048576,LAUDO!B185))</f>
        <v>6.5727327338865047</v>
      </c>
      <c r="D185" s="249">
        <f ca="1">OFFSET('Planilha mestra'!A$2,MATCH(LAUDO!B185,'Planilha mestra'!A$3:A$1048576,0),20,COUNTIF('Planilha mestra'!A$3:A$1048576,LAUDO!B185))</f>
        <v>0.12002480195439397</v>
      </c>
      <c r="E185" s="249">
        <f ca="1">OFFSET('Planilha mestra'!A$2,MATCH(LAUDO!B185,'Planilha mestra'!A$3:A$1048576,0),21,COUNTIF('Planilha mestra'!A$3:A$1048576,LAUDO!B185))</f>
        <v>1.5878900216249652</v>
      </c>
      <c r="F185" s="249">
        <f ca="1">OFFSET('Planilha mestra'!A$2,MATCH(LAUDO!B185,'Planilha mestra'!A$3:A$1048576,0),22,COUNTIF('Planilha mestra'!A$3:A$1048576,LAUDO!B185))</f>
        <v>0.75604838709677324</v>
      </c>
      <c r="G185" s="249">
        <f ca="1">OFFSET('Planilha mestra'!A$2,MATCH(LAUDO!B185,'Planilha mestra'!A$3:A$1048576,0),23,COUNTIF('Planilha mestra'!A$3:A$1048576,LAUDO!B185))</f>
        <v>56.747542023469698</v>
      </c>
      <c r="H185" s="249">
        <f ca="1">OFFSET('Planilha mestra'!A$2,MATCH(LAUDO!B185,'Planilha mestra'!A$3:A$1048576,0),24,COUNTIF('Planilha mestra'!A$3:A$1048576,LAUDO!B185))</f>
        <v>47.498305084745773</v>
      </c>
      <c r="I185" s="249">
        <f ca="1">OFFSET('Planilha mestra'!A$2,MATCH(LAUDO!B176,'Planilha mestra'!A$3:A$1048576,0),25,COUNTIF('Planilha mestra'!A$3:A$1048576,LAUDO!B176))</f>
        <v>2.0777588571599837</v>
      </c>
      <c r="J185" s="248">
        <f ca="1">OFFSET('Planilha mestra'!A$2,MATCH(LAUDO!B176,'Planilha mestra'!A$3:A$1048576,0),26,COUNTIF('Planilha mestra'!A$3:A$1048576,LAUDO!B176))</f>
        <v>5.1234195518653323</v>
      </c>
      <c r="K185" s="248">
        <f ca="1">OFFSET('Planilha mestra'!A$2,MATCH(LAUDO!B176,'Planilha mestra'!A$3:A$1048576,0),27,COUNTIF('Planilha mestra'!A$3:A$1048576,LAUDO!B176))</f>
        <v>60.626554239557194</v>
      </c>
      <c r="L185" s="248">
        <f ca="1">OFFSET('Planilha mestra'!A$2,MATCH(LAUDO!B176,'Planilha mestra'!A$3:A$1048576,0),28,COUNTIF('Planilha mestra'!A$3:A$1048576,LAUDO!B176))</f>
        <v>11.833220688999459</v>
      </c>
      <c r="M185" s="1"/>
    </row>
    <row r="186" spans="1:13" customFormat="1" x14ac:dyDescent="0.2">
      <c r="A186" s="1"/>
      <c r="B186" s="247" t="s">
        <v>107</v>
      </c>
      <c r="C186" s="251" t="s">
        <v>107</v>
      </c>
      <c r="D186" s="251" t="s">
        <v>107</v>
      </c>
      <c r="E186" s="251" t="s">
        <v>107</v>
      </c>
      <c r="F186" s="251" t="s">
        <v>107</v>
      </c>
      <c r="G186" s="251" t="s">
        <v>107</v>
      </c>
      <c r="H186" s="251" t="s">
        <v>107</v>
      </c>
      <c r="I186" s="251" t="s">
        <v>107</v>
      </c>
      <c r="J186" s="251" t="s">
        <v>107</v>
      </c>
      <c r="K186" s="251" t="s">
        <v>107</v>
      </c>
      <c r="L186" s="251" t="s">
        <v>107</v>
      </c>
      <c r="M186" s="1"/>
    </row>
    <row r="187" spans="1:13" customFormat="1" x14ac:dyDescent="0.2">
      <c r="A187" s="1"/>
      <c r="B187" s="256" t="s">
        <v>107</v>
      </c>
      <c r="C187" s="259" t="s">
        <v>107</v>
      </c>
      <c r="D187" s="259" t="s">
        <v>107</v>
      </c>
      <c r="E187" s="259" t="s">
        <v>107</v>
      </c>
      <c r="F187" s="259" t="s">
        <v>107</v>
      </c>
      <c r="G187" s="259" t="s">
        <v>107</v>
      </c>
      <c r="H187" s="259" t="s">
        <v>107</v>
      </c>
      <c r="I187" s="259" t="s">
        <v>107</v>
      </c>
      <c r="J187" s="259" t="s">
        <v>107</v>
      </c>
      <c r="K187" s="259" t="s">
        <v>107</v>
      </c>
      <c r="L187" s="259" t="s">
        <v>107</v>
      </c>
      <c r="M187" s="1"/>
    </row>
    <row r="188" spans="1:13" customFormat="1" x14ac:dyDescent="0.2">
      <c r="A188" s="1"/>
      <c r="B188" s="1" t="s">
        <v>132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customFormat="1" x14ac:dyDescent="0.2">
      <c r="A189" s="1"/>
      <c r="B189" s="17" t="s">
        <v>139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15"/>
      <c r="M189" s="1"/>
    </row>
    <row r="190" spans="1:13" customFormat="1" x14ac:dyDescent="0.2">
      <c r="A190" s="1"/>
      <c r="B190" s="19" t="s">
        <v>162</v>
      </c>
      <c r="C190" s="5"/>
      <c r="D190" s="5"/>
      <c r="E190" s="5"/>
      <c r="F190" s="5"/>
      <c r="G190" s="5"/>
      <c r="H190" s="5"/>
      <c r="I190" s="5"/>
      <c r="J190" s="5"/>
      <c r="K190" s="5"/>
      <c r="L190" s="116"/>
      <c r="M190" s="1"/>
    </row>
    <row r="191" spans="1:13" customFormat="1" x14ac:dyDescent="0.2">
      <c r="A191" s="1"/>
      <c r="B191" s="19" t="s">
        <v>163</v>
      </c>
      <c r="C191" s="5"/>
      <c r="D191" s="5"/>
      <c r="E191" s="5"/>
      <c r="F191" s="5"/>
      <c r="G191" s="5"/>
      <c r="H191" s="5"/>
      <c r="I191" s="5"/>
      <c r="J191" s="5"/>
      <c r="K191" s="5"/>
      <c r="L191" s="116"/>
      <c r="M191" s="1"/>
    </row>
    <row r="192" spans="1:13" customFormat="1" x14ac:dyDescent="0.2">
      <c r="A192" s="1"/>
      <c r="B192" s="19" t="s">
        <v>164</v>
      </c>
      <c r="C192" s="5"/>
      <c r="D192" s="5"/>
      <c r="E192" s="5"/>
      <c r="F192" s="5"/>
      <c r="G192" s="5"/>
      <c r="H192" s="5"/>
      <c r="I192" s="5"/>
      <c r="J192" s="5"/>
      <c r="K192" s="5"/>
      <c r="L192" s="116"/>
      <c r="M192" s="1"/>
    </row>
    <row r="193" spans="1:13" customFormat="1" x14ac:dyDescent="0.2">
      <c r="A193" s="1"/>
      <c r="B193" s="19" t="s">
        <v>116</v>
      </c>
      <c r="C193" s="5"/>
      <c r="D193" s="5"/>
      <c r="E193" s="5"/>
      <c r="F193" s="5"/>
      <c r="G193" s="5"/>
      <c r="H193" s="5"/>
      <c r="I193" s="5"/>
      <c r="J193" s="5"/>
      <c r="K193" s="5"/>
      <c r="L193" s="116"/>
      <c r="M193" s="1"/>
    </row>
    <row r="194" spans="1:13" customFormat="1" x14ac:dyDescent="0.2">
      <c r="A194" s="1"/>
      <c r="B194" s="19" t="s">
        <v>36</v>
      </c>
      <c r="C194" s="5"/>
      <c r="D194" s="5"/>
      <c r="E194" s="5"/>
      <c r="F194" s="5"/>
      <c r="G194" s="5"/>
      <c r="H194" s="5"/>
      <c r="I194" s="5"/>
      <c r="J194" s="5"/>
      <c r="K194" s="5"/>
      <c r="L194" s="116"/>
      <c r="M194" s="1"/>
    </row>
    <row r="195" spans="1:13" customFormat="1" x14ac:dyDescent="0.2">
      <c r="A195" s="1"/>
      <c r="B195" s="117" t="s">
        <v>37</v>
      </c>
      <c r="C195" s="118"/>
      <c r="D195" s="118"/>
      <c r="E195" s="118"/>
      <c r="F195" s="118"/>
      <c r="G195" s="118"/>
      <c r="H195" s="118"/>
      <c r="I195" s="118"/>
      <c r="J195" s="118"/>
      <c r="K195" s="118"/>
      <c r="L195" s="119"/>
      <c r="M195" s="1"/>
    </row>
    <row r="196" spans="1:13" customForma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customFormat="1" x14ac:dyDescent="0.2"/>
    <row r="198" spans="1:13" customFormat="1" x14ac:dyDescent="0.2"/>
    <row r="199" spans="1:13" customFormat="1" x14ac:dyDescent="0.2"/>
    <row r="200" spans="1:13" customFormat="1" x14ac:dyDescent="0.2"/>
    <row r="201" spans="1:13" customFormat="1" x14ac:dyDescent="0.2"/>
    <row r="202" spans="1:13" customFormat="1" x14ac:dyDescent="0.2"/>
    <row r="203" spans="1:13" customFormat="1" x14ac:dyDescent="0.2"/>
    <row r="204" spans="1:13" customFormat="1" x14ac:dyDescent="0.2"/>
    <row r="205" spans="1:13" customFormat="1" x14ac:dyDescent="0.2"/>
    <row r="206" spans="1:13" customFormat="1" x14ac:dyDescent="0.2"/>
    <row r="207" spans="1:13" customFormat="1" x14ac:dyDescent="0.2"/>
    <row r="208" spans="1:13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4.25" customHeight="1" x14ac:dyDescent="0.2"/>
    <row r="1058" customFormat="1" ht="14.25" customHeight="1" x14ac:dyDescent="0.2"/>
    <row r="1059" customFormat="1" ht="14.25" customHeight="1" x14ac:dyDescent="0.2"/>
    <row r="1060" customFormat="1" ht="14.25" customHeight="1" x14ac:dyDescent="0.2"/>
    <row r="1061" customFormat="1" ht="14.25" customHeight="1" x14ac:dyDescent="0.2"/>
    <row r="1062" customFormat="1" ht="14.25" customHeight="1" x14ac:dyDescent="0.2"/>
    <row r="1063" customFormat="1" ht="14.25" customHeight="1" x14ac:dyDescent="0.2"/>
    <row r="1064" customFormat="1" ht="14.25" customHeight="1" x14ac:dyDescent="0.2"/>
    <row r="1065" customFormat="1" ht="14.25" customHeight="1" x14ac:dyDescent="0.2"/>
    <row r="1066" customFormat="1" ht="14.25" customHeight="1" x14ac:dyDescent="0.2"/>
    <row r="1067" customFormat="1" ht="14.25" customHeight="1" x14ac:dyDescent="0.2"/>
    <row r="1068" customFormat="1" ht="14.25" customHeight="1" x14ac:dyDescent="0.2"/>
    <row r="1069" customFormat="1" ht="14.25" customHeight="1" x14ac:dyDescent="0.2"/>
    <row r="1070" customFormat="1" ht="14.25" customHeight="1" x14ac:dyDescent="0.2"/>
    <row r="1071" customFormat="1" ht="14.25" customHeight="1" x14ac:dyDescent="0.2"/>
    <row r="1072" customFormat="1" ht="14.25" customHeight="1" x14ac:dyDescent="0.2"/>
    <row r="1073" customFormat="1" ht="14.25" customHeight="1" x14ac:dyDescent="0.2"/>
    <row r="1074" customFormat="1" ht="14.25" customHeight="1" x14ac:dyDescent="0.2"/>
    <row r="1075" customFormat="1" ht="14.25" customHeight="1" x14ac:dyDescent="0.2"/>
    <row r="1076" customFormat="1" ht="14.25" customHeight="1" x14ac:dyDescent="0.2"/>
    <row r="1077" customFormat="1" ht="14.25" customHeight="1" x14ac:dyDescent="0.2"/>
    <row r="1078" customFormat="1" ht="14.25" customHeight="1" x14ac:dyDescent="0.2"/>
    <row r="1079" customFormat="1" ht="14.25" customHeight="1" x14ac:dyDescent="0.2"/>
    <row r="1080" customFormat="1" ht="14.25" customHeight="1" x14ac:dyDescent="0.2"/>
    <row r="1081" customFormat="1" ht="14.25" customHeight="1" x14ac:dyDescent="0.2"/>
    <row r="1082" customFormat="1" ht="14.25" customHeight="1" x14ac:dyDescent="0.2"/>
    <row r="1083" customFormat="1" ht="14.25" customHeight="1" x14ac:dyDescent="0.2"/>
    <row r="1084" customFormat="1" ht="14.25" customHeight="1" x14ac:dyDescent="0.2"/>
    <row r="1085" customFormat="1" ht="14.25" customHeight="1" x14ac:dyDescent="0.2"/>
    <row r="1086" customFormat="1" ht="14.25" customHeigh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</sheetData>
  <mergeCells count="124">
    <mergeCell ref="C169:D169"/>
    <mergeCell ref="B171:B172"/>
    <mergeCell ref="C172:H172"/>
    <mergeCell ref="J172:K172"/>
    <mergeCell ref="B180:B181"/>
    <mergeCell ref="C181:H181"/>
    <mergeCell ref="J181:L181"/>
    <mergeCell ref="C164:D164"/>
    <mergeCell ref="C165:D165"/>
    <mergeCell ref="C166:D166"/>
    <mergeCell ref="C167:D167"/>
    <mergeCell ref="C168:D168"/>
    <mergeCell ref="C158:L158"/>
    <mergeCell ref="C159:F159"/>
    <mergeCell ref="H159:L159"/>
    <mergeCell ref="B161:M161"/>
    <mergeCell ref="B162:B163"/>
    <mergeCell ref="C162:D163"/>
    <mergeCell ref="H163:K163"/>
    <mergeCell ref="D152:J152"/>
    <mergeCell ref="D153:J153"/>
    <mergeCell ref="D154:J154"/>
    <mergeCell ref="C155:K155"/>
    <mergeCell ref="C157:E157"/>
    <mergeCell ref="G157:I157"/>
    <mergeCell ref="K157:L157"/>
    <mergeCell ref="B149:C151"/>
    <mergeCell ref="D149:J149"/>
    <mergeCell ref="K149:M151"/>
    <mergeCell ref="D150:J150"/>
    <mergeCell ref="D151:J151"/>
    <mergeCell ref="C120:D120"/>
    <mergeCell ref="B122:B123"/>
    <mergeCell ref="C123:H123"/>
    <mergeCell ref="J123:K123"/>
    <mergeCell ref="B131:B132"/>
    <mergeCell ref="C132:H132"/>
    <mergeCell ref="J132:L132"/>
    <mergeCell ref="C115:D115"/>
    <mergeCell ref="C116:D116"/>
    <mergeCell ref="C117:D117"/>
    <mergeCell ref="C118:D118"/>
    <mergeCell ref="C119:D119"/>
    <mergeCell ref="C109:L109"/>
    <mergeCell ref="C110:F110"/>
    <mergeCell ref="H110:L110"/>
    <mergeCell ref="B112:M112"/>
    <mergeCell ref="B113:B114"/>
    <mergeCell ref="C113:D114"/>
    <mergeCell ref="H114:K114"/>
    <mergeCell ref="D103:J103"/>
    <mergeCell ref="D104:J104"/>
    <mergeCell ref="D105:J105"/>
    <mergeCell ref="C106:K106"/>
    <mergeCell ref="C108:E108"/>
    <mergeCell ref="G108:I108"/>
    <mergeCell ref="K108:L108"/>
    <mergeCell ref="B100:C102"/>
    <mergeCell ref="D100:J100"/>
    <mergeCell ref="K100:M102"/>
    <mergeCell ref="D101:J101"/>
    <mergeCell ref="D102:J102"/>
    <mergeCell ref="C19:D19"/>
    <mergeCell ref="C12:F12"/>
    <mergeCell ref="H12:L12"/>
    <mergeCell ref="B14:M14"/>
    <mergeCell ref="H16:K16"/>
    <mergeCell ref="B15:B16"/>
    <mergeCell ref="C15:D16"/>
    <mergeCell ref="C17:D17"/>
    <mergeCell ref="C18:D18"/>
    <mergeCell ref="B2:C4"/>
    <mergeCell ref="D2:J2"/>
    <mergeCell ref="D6:J6"/>
    <mergeCell ref="D5:J5"/>
    <mergeCell ref="D7:J7"/>
    <mergeCell ref="C8:K8"/>
    <mergeCell ref="C11:L11"/>
    <mergeCell ref="G10:I10"/>
    <mergeCell ref="K10:L10"/>
    <mergeCell ref="K2:M4"/>
    <mergeCell ref="D3:J3"/>
    <mergeCell ref="D4:J4"/>
    <mergeCell ref="C10:E10"/>
    <mergeCell ref="C20:D20"/>
    <mergeCell ref="C21:D21"/>
    <mergeCell ref="C25:H25"/>
    <mergeCell ref="C22:D22"/>
    <mergeCell ref="B24:B25"/>
    <mergeCell ref="J25:K25"/>
    <mergeCell ref="C61:F61"/>
    <mergeCell ref="H61:L61"/>
    <mergeCell ref="B63:M63"/>
    <mergeCell ref="D54:J54"/>
    <mergeCell ref="D55:J55"/>
    <mergeCell ref="D56:J56"/>
    <mergeCell ref="B51:C53"/>
    <mergeCell ref="D51:J51"/>
    <mergeCell ref="K51:M53"/>
    <mergeCell ref="D52:J52"/>
    <mergeCell ref="D53:J53"/>
    <mergeCell ref="J34:L34"/>
    <mergeCell ref="B33:B34"/>
    <mergeCell ref="C34:H34"/>
    <mergeCell ref="B64:B65"/>
    <mergeCell ref="C64:D65"/>
    <mergeCell ref="H65:K65"/>
    <mergeCell ref="C57:K57"/>
    <mergeCell ref="C59:E59"/>
    <mergeCell ref="G59:I59"/>
    <mergeCell ref="K59:L59"/>
    <mergeCell ref="C60:L60"/>
    <mergeCell ref="B82:B83"/>
    <mergeCell ref="C83:H83"/>
    <mergeCell ref="J83:L83"/>
    <mergeCell ref="C66:D66"/>
    <mergeCell ref="C67:D67"/>
    <mergeCell ref="C68:D68"/>
    <mergeCell ref="C69:D69"/>
    <mergeCell ref="C70:D70"/>
    <mergeCell ref="C71:D71"/>
    <mergeCell ref="B73:B74"/>
    <mergeCell ref="C74:H74"/>
    <mergeCell ref="J74:K74"/>
  </mergeCells>
  <phoneticPr fontId="21" type="noConversion"/>
  <hyperlinks>
    <hyperlink ref="D7" r:id="rId1" xr:uid="{00000000-0004-0000-1500-000000000000}"/>
    <hyperlink ref="D56" r:id="rId2" xr:uid="{CD642010-493A-4DE1-AAC5-E22E9E9D8125}"/>
    <hyperlink ref="D105" r:id="rId3" xr:uid="{7EE3696F-3463-4EC0-8792-DD3C85559252}"/>
    <hyperlink ref="D154" r:id="rId4" xr:uid="{6281AA7F-C7DB-47D6-9026-3E1F6836EBF5}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5"/>
  <drawing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1000000}">
          <x14:formula1>
            <xm:f>Cadastro!$B$2:$B$1048576</xm:f>
          </x14:formula1>
          <xm:sqref>C10:E10 C59:E59 C157:E157 C108:E108</xm:sqref>
        </x14:dataValidation>
        <x14:dataValidation type="list" allowBlank="1" showInputMessage="1" showErrorMessage="1" xr:uid="{00000000-0002-0000-1500-000000000000}">
          <x14:formula1>
            <xm:f>'Planilha mestra'!$A$3:$A$1048576</xm:f>
          </x14:formula1>
          <xm:sqref>B17:B22 B164:B169 B124:B129 B133:B138 B115:B120 B182:B187 B84:B89 B75:B80 B173:B178 B35:B40 B66:B71 B26:B31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Cadastro</vt:lpstr>
      <vt:lpstr>pH_água</vt:lpstr>
      <vt:lpstr>pH_KCl</vt:lpstr>
      <vt:lpstr>pH CaCl2</vt:lpstr>
      <vt:lpstr>P_Mehlich1</vt:lpstr>
      <vt:lpstr>Prem</vt:lpstr>
      <vt:lpstr>P_resina</vt:lpstr>
      <vt:lpstr>K</vt:lpstr>
      <vt:lpstr>Na</vt:lpstr>
      <vt:lpstr>Al³</vt:lpstr>
      <vt:lpstr>H + Al</vt:lpstr>
      <vt:lpstr>B</vt:lpstr>
      <vt:lpstr>S</vt:lpstr>
      <vt:lpstr>M.O</vt:lpstr>
      <vt:lpstr>Ca2+</vt:lpstr>
      <vt:lpstr>Mg²</vt:lpstr>
      <vt:lpstr>Cu</vt:lpstr>
      <vt:lpstr>Fe</vt:lpstr>
      <vt:lpstr>Mn</vt:lpstr>
      <vt:lpstr>Zn</vt:lpstr>
      <vt:lpstr>Absorção atômica</vt:lpstr>
      <vt:lpstr>Planilha mestra</vt:lpstr>
      <vt:lpstr>LAUDO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2026-02-22T00:04:25Z</dcterms:modified>
</cp:coreProperties>
</file>